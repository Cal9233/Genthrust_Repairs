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lvi\Desktop\"/>
    </mc:Choice>
  </mc:AlternateContent>
  <xr:revisionPtr revIDLastSave="0" documentId="13_ncr:1_{C69E7B41-F5DF-4219-8243-E041E6515D7B}" xr6:coauthVersionLast="47" xr6:coauthVersionMax="47" xr10:uidLastSave="{00000000-0000-0000-0000-000000000000}"/>
  <bookViews>
    <workbookView xWindow="31068" yWindow="720" windowWidth="29244" windowHeight="15252" tabRatio="738" firstSheet="1" activeTab="5" xr2:uid="{15321DDF-ED63-40B4-AFDB-FE8D24078EA8}"/>
  </bookViews>
  <sheets>
    <sheet name=" BINS INVENTORY ACTUAL" sheetId="15" r:id="rId1"/>
    <sheet name=" STOCK ROOM ACTUAL " sheetId="1" r:id="rId2"/>
    <sheet name="  PN NO REPARADAS MD82" sheetId="24" r:id="rId3"/>
    <sheet name="  PN NO REPARADAS 727" sheetId="13" r:id="rId4"/>
    <sheet name="TERRA" sheetId="21" r:id="rId5"/>
    <sheet name="B.E.R - R.A.I" sheetId="16" r:id="rId6"/>
    <sheet name="PARTES AR ASIA " sheetId="14" r:id="rId7"/>
    <sheet name="PARTES AR ASIA  SANFORD" sheetId="18" r:id="rId8"/>
    <sheet name="PARTES BOLIVIA" sheetId="20" r:id="rId9"/>
    <sheet name="DELTA APA" sheetId="22" r:id="rId10"/>
  </sheets>
  <externalReferences>
    <externalReference r:id="rId11"/>
  </externalReferences>
  <definedNames>
    <definedName name="_xlnm._FilterDatabase" localSheetId="3" hidden="1">'  PN NO REPARADAS 727'!$A$1:$M$10810</definedName>
    <definedName name="_xlnm._FilterDatabase" localSheetId="2" hidden="1">'  PN NO REPARADAS MD82'!$A$1:$K$603</definedName>
    <definedName name="_xlnm._FilterDatabase" localSheetId="0" hidden="1">' BINS INVENTORY ACTUAL'!#REF!</definedName>
    <definedName name="_xlnm._FilterDatabase" localSheetId="1" hidden="1">' STOCK ROOM ACTUAL '!$A$3:$Y$755</definedName>
    <definedName name="_xlnm._FilterDatabase" localSheetId="5" hidden="1">'B.E.R - R.A.I'!$A$3:$F$10398</definedName>
    <definedName name="_xlnm._FilterDatabase" localSheetId="9" hidden="1">'DELTA APA'!$A$3:$O$118</definedName>
    <definedName name="_xlnm._FilterDatabase" localSheetId="6" hidden="1">'PARTES AR ASIA '!$A$3:$G$136</definedName>
    <definedName name="_xlnm._FilterDatabase" localSheetId="7" hidden="1">'PARTES AR ASIA  SANFORD'!$A$3:$O$19</definedName>
    <definedName name="_xlnm._FilterDatabase" localSheetId="8" hidden="1">'PARTES BOLIVIA'!$A$3:$O$73</definedName>
    <definedName name="_xlnm._FilterDatabase" localSheetId="4" hidden="1">TERRA!$A$1:$M$10643</definedName>
    <definedName name="_xlnm.Print_Titles" localSheetId="0">' BINS INVENTORY ACTUAL'!$1:$1</definedName>
    <definedName name="valHighlight" localSheetId="0">IFERROR(IF(' BINS INVENTORY ACTUAL'!#REF!="Yes", TRUE, FALSE),FALSE)</definedName>
    <definedName name="valHighlight" localSheetId="5">IFERROR(IF('[1]Inventory List'!#REF!="Yes", TRUE, FALSE),FALSE)</definedName>
    <definedName name="valHighlight">IFERROR(IF('[1]Inventory List'!#REF!="Yes",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4" i="1" l="1"/>
  <c r="L1075" i="1"/>
  <c r="L1076" i="1"/>
  <c r="L1077" i="1"/>
  <c r="L1078" i="1"/>
  <c r="L1079" i="1"/>
  <c r="L1080" i="1"/>
  <c r="L1081" i="1"/>
  <c r="L1082" i="1"/>
  <c r="I1667" i="15"/>
  <c r="J1667" i="15"/>
  <c r="L1057" i="1" l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J2925" i="15"/>
  <c r="I2925" i="15"/>
  <c r="L1052" i="1"/>
  <c r="L1053" i="1"/>
  <c r="L1054" i="1"/>
  <c r="L1055" i="1"/>
  <c r="L1056" i="1"/>
  <c r="L1048" i="1"/>
  <c r="L1046" i="1" l="1"/>
  <c r="J1849" i="15" l="1"/>
  <c r="I1849" i="15"/>
  <c r="J2922" i="15"/>
  <c r="I2922" i="15"/>
  <c r="J2725" i="15"/>
  <c r="I2725" i="15"/>
  <c r="L1043" i="1"/>
  <c r="L1044" i="1"/>
  <c r="L1045" i="1"/>
  <c r="L1047" i="1"/>
  <c r="L1049" i="1"/>
  <c r="L1050" i="1"/>
  <c r="L1051" i="1"/>
  <c r="L1039" i="1"/>
  <c r="L1040" i="1"/>
  <c r="L1041" i="1"/>
  <c r="L1042" i="1"/>
  <c r="J3" i="15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J2718" i="15"/>
  <c r="J1977" i="15"/>
  <c r="J2947" i="15"/>
  <c r="J3093" i="15"/>
  <c r="J2399" i="15"/>
  <c r="J2254" i="15"/>
  <c r="J2949" i="15"/>
  <c r="J2453" i="15"/>
  <c r="J3807" i="15"/>
  <c r="J1947" i="15"/>
  <c r="J2330" i="15"/>
  <c r="J1830" i="15"/>
  <c r="J2186" i="15"/>
  <c r="J3939" i="15"/>
  <c r="J3074" i="15"/>
  <c r="J763" i="15"/>
  <c r="J1295" i="15"/>
  <c r="J2160" i="15"/>
  <c r="J2807" i="15"/>
  <c r="J3106" i="15"/>
  <c r="J3789" i="15"/>
  <c r="J1075" i="15"/>
  <c r="J1167" i="15"/>
  <c r="J1770" i="15"/>
  <c r="J3583" i="15"/>
  <c r="J3577" i="15"/>
  <c r="J4058" i="15"/>
  <c r="J1484" i="15"/>
  <c r="J133" i="15"/>
  <c r="J3918" i="15"/>
  <c r="J134" i="15"/>
  <c r="J2241" i="15"/>
  <c r="J2240" i="15"/>
  <c r="J3922" i="15"/>
  <c r="J3430" i="15"/>
  <c r="J3920" i="15"/>
  <c r="J3346" i="15"/>
  <c r="J4127" i="15"/>
  <c r="J3098" i="15"/>
  <c r="J3919" i="15"/>
  <c r="J4131" i="15"/>
  <c r="J4123" i="15"/>
  <c r="J2930" i="15"/>
  <c r="J4126" i="15"/>
  <c r="J2902" i="15"/>
  <c r="J3336" i="15"/>
  <c r="J3923" i="15"/>
  <c r="J2100" i="15"/>
  <c r="J4125" i="15"/>
  <c r="J3429" i="15"/>
  <c r="J2143" i="15"/>
  <c r="J1800" i="15"/>
  <c r="J1791" i="15"/>
  <c r="J135" i="15"/>
  <c r="J3894" i="15"/>
  <c r="J1263" i="15"/>
  <c r="J2630" i="15"/>
  <c r="J136" i="15"/>
  <c r="J2791" i="15"/>
  <c r="J137" i="15"/>
  <c r="J138" i="15"/>
  <c r="J2520" i="15"/>
  <c r="J3564" i="15"/>
  <c r="J3177" i="15"/>
  <c r="J92" i="15"/>
  <c r="J2" i="15"/>
  <c r="J1813" i="15"/>
  <c r="J1079" i="15"/>
  <c r="J2694" i="15"/>
  <c r="J3003" i="15"/>
  <c r="J2064" i="15"/>
  <c r="J4104" i="15"/>
  <c r="J3841" i="15"/>
  <c r="J4142" i="15"/>
  <c r="J3776" i="15"/>
  <c r="J139" i="15"/>
  <c r="J4043" i="15"/>
  <c r="J3508" i="15"/>
  <c r="J3511" i="15"/>
  <c r="J140" i="15"/>
  <c r="J141" i="15"/>
  <c r="J142" i="15"/>
  <c r="J4006" i="15"/>
  <c r="J851" i="15"/>
  <c r="J2654" i="15"/>
  <c r="J2653" i="15"/>
  <c r="J2730" i="15"/>
  <c r="J143" i="15"/>
  <c r="J2678" i="15"/>
  <c r="J1659" i="15"/>
  <c r="J144" i="15"/>
  <c r="J1982" i="15"/>
  <c r="J3689" i="15"/>
  <c r="J4117" i="15"/>
  <c r="J2885" i="15"/>
  <c r="J2889" i="15"/>
  <c r="J145" i="15"/>
  <c r="J2891" i="15"/>
  <c r="J2882" i="15"/>
  <c r="J2894" i="15"/>
  <c r="J2768" i="15"/>
  <c r="J828" i="15"/>
  <c r="J2566" i="15"/>
  <c r="J3015" i="15"/>
  <c r="J146" i="15"/>
  <c r="J1027" i="15"/>
  <c r="J3535" i="15"/>
  <c r="J3012" i="15"/>
  <c r="J2698" i="15"/>
  <c r="J3159" i="15"/>
  <c r="J1870" i="15"/>
  <c r="J1816" i="15"/>
  <c r="J3155" i="15"/>
  <c r="J3416" i="15"/>
  <c r="J2795" i="15"/>
  <c r="J1864" i="15"/>
  <c r="J3152" i="15"/>
  <c r="J1188" i="15"/>
  <c r="J1189" i="15"/>
  <c r="J1824" i="15"/>
  <c r="J4141" i="15"/>
  <c r="J3877" i="15"/>
  <c r="J3860" i="15"/>
  <c r="J147" i="15"/>
  <c r="J1978" i="15"/>
  <c r="J3857" i="15"/>
  <c r="J1712" i="15"/>
  <c r="J2961" i="15"/>
  <c r="J2797" i="15"/>
  <c r="J148" i="15"/>
  <c r="J1818" i="15"/>
  <c r="J3254" i="15"/>
  <c r="J2913" i="15"/>
  <c r="J775" i="15"/>
  <c r="J4033" i="15"/>
  <c r="J2701" i="15"/>
  <c r="J2738" i="15"/>
  <c r="J1264" i="15"/>
  <c r="J1284" i="15"/>
  <c r="J1283" i="15"/>
  <c r="J3872" i="15"/>
  <c r="J4116" i="15"/>
  <c r="J1577" i="15"/>
  <c r="J149" i="15"/>
  <c r="J2109" i="15"/>
  <c r="J1057" i="15"/>
  <c r="J150" i="15"/>
  <c r="J2635" i="15"/>
  <c r="J4143" i="15"/>
  <c r="J1642" i="15"/>
  <c r="J3118" i="15"/>
  <c r="J151" i="15"/>
  <c r="J3104" i="15"/>
  <c r="J3113" i="15"/>
  <c r="J1517" i="15"/>
  <c r="J1020" i="15"/>
  <c r="J152" i="15"/>
  <c r="J3963" i="15"/>
  <c r="J153" i="15"/>
  <c r="J154" i="15"/>
  <c r="J2340" i="15"/>
  <c r="J1912" i="15"/>
  <c r="J1070" i="15"/>
  <c r="J1942" i="15"/>
  <c r="J2283" i="15"/>
  <c r="J2286" i="15"/>
  <c r="J155" i="15"/>
  <c r="J2337" i="15"/>
  <c r="J3391" i="15"/>
  <c r="J3680" i="15"/>
  <c r="J2288" i="15"/>
  <c r="J1375" i="15"/>
  <c r="J1658" i="15"/>
  <c r="J1644" i="15"/>
  <c r="J156" i="15"/>
  <c r="J3930" i="15"/>
  <c r="J1983" i="15"/>
  <c r="J157" i="15"/>
  <c r="J158" i="15"/>
  <c r="J159" i="15"/>
  <c r="J1871" i="15"/>
  <c r="J2271" i="15"/>
  <c r="J3366" i="15"/>
  <c r="J1807" i="15"/>
  <c r="J1619" i="15"/>
  <c r="J1615" i="15"/>
  <c r="J2292" i="15"/>
  <c r="J160" i="15"/>
  <c r="J161" i="15"/>
  <c r="J162" i="15"/>
  <c r="J163" i="15"/>
  <c r="J3874" i="15"/>
  <c r="J2380" i="15"/>
  <c r="J164" i="15"/>
  <c r="J3690" i="15"/>
  <c r="J3371" i="15"/>
  <c r="J2866" i="15"/>
  <c r="J1601" i="15"/>
  <c r="J3692" i="15"/>
  <c r="J165" i="15"/>
  <c r="J166" i="15"/>
  <c r="J167" i="15"/>
  <c r="J31" i="15"/>
  <c r="J2187" i="15"/>
  <c r="J4108" i="15"/>
  <c r="J168" i="15"/>
  <c r="J169" i="15"/>
  <c r="J170" i="15"/>
  <c r="J2796" i="15"/>
  <c r="J171" i="15"/>
  <c r="J172" i="15"/>
  <c r="J2440" i="15"/>
  <c r="J2433" i="15"/>
  <c r="J2441" i="15"/>
  <c r="J2432" i="15"/>
  <c r="J2439" i="15"/>
  <c r="J2431" i="15"/>
  <c r="J2442" i="15"/>
  <c r="J2443" i="15"/>
  <c r="J1909" i="15"/>
  <c r="J1373" i="15"/>
  <c r="J2242" i="15"/>
  <c r="J2314" i="15"/>
  <c r="J2270" i="15"/>
  <c r="J3315" i="15"/>
  <c r="J1808" i="15"/>
  <c r="J2426" i="15"/>
  <c r="J1967" i="15"/>
  <c r="J3045" i="15"/>
  <c r="J1734" i="15"/>
  <c r="J3342" i="15"/>
  <c r="J2401" i="15"/>
  <c r="J173" i="15"/>
  <c r="J1922" i="15"/>
  <c r="J174" i="15"/>
  <c r="J2774" i="15"/>
  <c r="J1999" i="15"/>
  <c r="J1933" i="15"/>
  <c r="J175" i="15"/>
  <c r="J176" i="15"/>
  <c r="J2655" i="15"/>
  <c r="J177" i="15"/>
  <c r="J2792" i="15"/>
  <c r="J1929" i="15"/>
  <c r="J2141" i="15"/>
  <c r="J178" i="15"/>
  <c r="J2139" i="15"/>
  <c r="J2989" i="15"/>
  <c r="J3178" i="15"/>
  <c r="J179" i="15"/>
  <c r="J3244" i="15"/>
  <c r="J3608" i="15"/>
  <c r="J1876" i="15"/>
  <c r="J3808" i="15"/>
  <c r="J2098" i="15"/>
  <c r="J2255" i="15"/>
  <c r="J2000" i="15"/>
  <c r="J2445" i="15"/>
  <c r="J180" i="15"/>
  <c r="J3233" i="15"/>
  <c r="J2758" i="15"/>
  <c r="J3568" i="15"/>
  <c r="J3204" i="15"/>
  <c r="J2281" i="15"/>
  <c r="J3509" i="15"/>
  <c r="J181" i="15"/>
  <c r="J3260" i="15"/>
  <c r="J2338" i="15"/>
  <c r="J182" i="15"/>
  <c r="J183" i="15"/>
  <c r="J184" i="15"/>
  <c r="J2230" i="15"/>
  <c r="J1060" i="15"/>
  <c r="J861" i="15"/>
  <c r="J2952" i="15"/>
  <c r="J185" i="15"/>
  <c r="J186" i="15"/>
  <c r="J2135" i="15"/>
  <c r="J1178" i="15"/>
  <c r="J3625" i="15"/>
  <c r="J1788" i="15"/>
  <c r="J2348" i="15"/>
  <c r="J3576" i="15"/>
  <c r="J1311" i="15"/>
  <c r="J4124" i="15"/>
  <c r="J2347" i="15"/>
  <c r="J187" i="15"/>
  <c r="J188" i="15"/>
  <c r="J4132" i="15"/>
  <c r="J4007" i="15"/>
  <c r="J2629" i="15"/>
  <c r="J2674" i="15"/>
  <c r="J2007" i="15"/>
  <c r="J1969" i="15"/>
  <c r="J1784" i="15"/>
  <c r="J1786" i="15"/>
  <c r="J2784" i="15"/>
  <c r="J1958" i="15"/>
  <c r="J1925" i="15"/>
  <c r="J38" i="15"/>
  <c r="J2631" i="15"/>
  <c r="J1181" i="15"/>
  <c r="J2508" i="15"/>
  <c r="J1796" i="15"/>
  <c r="J3202" i="15"/>
  <c r="J2420" i="15"/>
  <c r="J2421" i="15"/>
  <c r="J3024" i="15"/>
  <c r="J3042" i="15"/>
  <c r="J3039" i="15"/>
  <c r="J3775" i="15"/>
  <c r="J860" i="15"/>
  <c r="J2451" i="15"/>
  <c r="J2707" i="15"/>
  <c r="J2188" i="15"/>
  <c r="J3105" i="15"/>
  <c r="J3115" i="15"/>
  <c r="J189" i="15"/>
  <c r="J3047" i="15"/>
  <c r="J2210" i="15"/>
  <c r="J2121" i="15"/>
  <c r="J3081" i="15"/>
  <c r="J2953" i="15"/>
  <c r="J2245" i="15"/>
  <c r="J3103" i="15"/>
  <c r="J3099" i="15"/>
  <c r="J2086" i="15"/>
  <c r="J190" i="15"/>
  <c r="J191" i="15"/>
  <c r="J2269" i="15"/>
  <c r="J2941" i="15"/>
  <c r="J3424" i="15"/>
  <c r="J2872" i="15"/>
  <c r="J101" i="15"/>
  <c r="J2710" i="15"/>
  <c r="J2318" i="15"/>
  <c r="J1688" i="15"/>
  <c r="J1553" i="15"/>
  <c r="J2505" i="15"/>
  <c r="J989" i="15"/>
  <c r="J3562" i="15"/>
  <c r="J3573" i="15"/>
  <c r="J1401" i="15"/>
  <c r="J2731" i="15"/>
  <c r="J3022" i="15"/>
  <c r="J1346" i="15"/>
  <c r="J3126" i="15"/>
  <c r="J36" i="15"/>
  <c r="J35" i="15"/>
  <c r="J46" i="15"/>
  <c r="J2704" i="15"/>
  <c r="J2664" i="15"/>
  <c r="J3545" i="15"/>
  <c r="J1437" i="15"/>
  <c r="J3658" i="15"/>
  <c r="J1815" i="15"/>
  <c r="J1320" i="15"/>
  <c r="J4029" i="15"/>
  <c r="J2005" i="15"/>
  <c r="J1586" i="15"/>
  <c r="J4042" i="15"/>
  <c r="J3612" i="15"/>
  <c r="J1557" i="15"/>
  <c r="J3906" i="15"/>
  <c r="J777" i="15"/>
  <c r="J192" i="15"/>
  <c r="J1990" i="15"/>
  <c r="J2306" i="15"/>
  <c r="J2447" i="15"/>
  <c r="J2641" i="15"/>
  <c r="J1654" i="15"/>
  <c r="J3189" i="15"/>
  <c r="J4101" i="15"/>
  <c r="J4105" i="15"/>
  <c r="J3878" i="15"/>
  <c r="J2496" i="15"/>
  <c r="J2498" i="15"/>
  <c r="J4106" i="15"/>
  <c r="J4098" i="15"/>
  <c r="J193" i="15"/>
  <c r="J2101" i="15"/>
  <c r="J194" i="15"/>
  <c r="J2091" i="15"/>
  <c r="J3399" i="15"/>
  <c r="J2357" i="15"/>
  <c r="J2277" i="15"/>
  <c r="J2358" i="15"/>
  <c r="J3664" i="15"/>
  <c r="J2119" i="15"/>
  <c r="J195" i="15"/>
  <c r="J196" i="15"/>
  <c r="J197" i="15"/>
  <c r="J3154" i="15"/>
  <c r="J2094" i="15"/>
  <c r="J110" i="15"/>
  <c r="J2082" i="15"/>
  <c r="J2378" i="15"/>
  <c r="J198" i="15"/>
  <c r="J2196" i="15"/>
  <c r="J1054" i="15"/>
  <c r="J1055" i="15"/>
  <c r="J3261" i="15"/>
  <c r="J2529" i="15"/>
  <c r="J3195" i="15"/>
  <c r="J199" i="15"/>
  <c r="J200" i="15"/>
  <c r="J2130" i="15"/>
  <c r="J2252" i="15"/>
  <c r="J201" i="15"/>
  <c r="J202" i="15"/>
  <c r="J3396" i="15"/>
  <c r="J3387" i="15"/>
  <c r="J203" i="15"/>
  <c r="J3397" i="15"/>
  <c r="J204" i="15"/>
  <c r="J3566" i="15"/>
  <c r="J3488" i="15"/>
  <c r="J3487" i="15"/>
  <c r="J1099" i="15"/>
  <c r="J2229" i="15"/>
  <c r="J1873" i="15"/>
  <c r="J1805" i="15"/>
  <c r="J2259" i="15"/>
  <c r="J2308" i="15"/>
  <c r="J3651" i="15"/>
  <c r="J1529" i="15"/>
  <c r="J876" i="15"/>
  <c r="J880" i="15"/>
  <c r="J1741" i="15"/>
  <c r="J3035" i="15"/>
  <c r="J205" i="15"/>
  <c r="J2137" i="15"/>
  <c r="J2506" i="15"/>
  <c r="J3510" i="15"/>
  <c r="J4008" i="15"/>
  <c r="J4004" i="15"/>
  <c r="J206" i="15"/>
  <c r="J1817" i="15"/>
  <c r="J1716" i="15"/>
  <c r="J2956" i="15"/>
  <c r="J1717" i="15"/>
  <c r="J2260" i="15"/>
  <c r="J207" i="15"/>
  <c r="J208" i="15"/>
  <c r="J2246" i="15"/>
  <c r="J2204" i="15"/>
  <c r="J2205" i="15"/>
  <c r="J1061" i="15"/>
  <c r="J1062" i="15"/>
  <c r="J1358" i="15"/>
  <c r="J2177" i="15"/>
  <c r="J787" i="15"/>
  <c r="J209" i="15"/>
  <c r="J1059" i="15"/>
  <c r="J94" i="15"/>
  <c r="J1620" i="15"/>
  <c r="J1616" i="15"/>
  <c r="J210" i="15"/>
  <c r="J2231" i="15"/>
  <c r="J211" i="15"/>
  <c r="J3665" i="15"/>
  <c r="J212" i="15"/>
  <c r="J1868" i="15"/>
  <c r="J2276" i="15"/>
  <c r="J3941" i="15"/>
  <c r="J2365" i="15"/>
  <c r="J3861" i="15"/>
  <c r="J3921" i="15"/>
  <c r="J1627" i="15"/>
  <c r="J1592" i="15"/>
  <c r="J1626" i="15"/>
  <c r="J213" i="15"/>
  <c r="J2963" i="15"/>
  <c r="J1225" i="15"/>
  <c r="J215" i="15"/>
  <c r="J1795" i="15"/>
  <c r="J1997" i="15"/>
  <c r="J1930" i="15"/>
  <c r="J1991" i="15"/>
  <c r="J2006" i="15"/>
  <c r="J920" i="15"/>
  <c r="J1433" i="15"/>
  <c r="J2324" i="15"/>
  <c r="J216" i="15"/>
  <c r="J2325" i="15"/>
  <c r="J2708" i="15"/>
  <c r="J1463" i="15"/>
  <c r="J1464" i="15"/>
  <c r="J806" i="15"/>
  <c r="J217" i="15"/>
  <c r="J809" i="15"/>
  <c r="J1624" i="15"/>
  <c r="J1625" i="15"/>
  <c r="J966" i="15"/>
  <c r="J1045" i="15"/>
  <c r="J218" i="15"/>
  <c r="J3666" i="15"/>
  <c r="J1579" i="15"/>
  <c r="J1578" i="15"/>
  <c r="J219" i="15"/>
  <c r="J220" i="15"/>
  <c r="J221" i="15"/>
  <c r="J2864" i="15"/>
  <c r="J222" i="15"/>
  <c r="J1820" i="15"/>
  <c r="J1046" i="15"/>
  <c r="J223" i="15"/>
  <c r="J224" i="15"/>
  <c r="J225" i="15"/>
  <c r="J854" i="15"/>
  <c r="J2427" i="15"/>
  <c r="J3605" i="15"/>
  <c r="J3555" i="15"/>
  <c r="J4035" i="15"/>
  <c r="J3080" i="15"/>
  <c r="J1500" i="15"/>
  <c r="J2221" i="15"/>
  <c r="J2140" i="15"/>
  <c r="J2217" i="15"/>
  <c r="J2518" i="15"/>
  <c r="J2944" i="15"/>
  <c r="J3623" i="15"/>
  <c r="J3127" i="15"/>
  <c r="J226" i="15"/>
  <c r="J1735" i="15"/>
  <c r="J3205" i="15"/>
  <c r="J2495" i="15"/>
  <c r="J227" i="15"/>
  <c r="J228" i="15"/>
  <c r="J2490" i="15"/>
  <c r="J1312" i="15"/>
  <c r="J229" i="15"/>
  <c r="J230" i="15"/>
  <c r="J15" i="15"/>
  <c r="J1806" i="15"/>
  <c r="J1973" i="15"/>
  <c r="J1964" i="15"/>
  <c r="J231" i="15"/>
  <c r="J232" i="15"/>
  <c r="J913" i="15"/>
  <c r="J1745" i="15"/>
  <c r="J2767" i="15"/>
  <c r="J233" i="15"/>
  <c r="J3211" i="15"/>
  <c r="J3059" i="15"/>
  <c r="J2870" i="15"/>
  <c r="J234" i="15"/>
  <c r="J4024" i="15"/>
  <c r="J2163" i="15"/>
  <c r="J235" i="15"/>
  <c r="J4041" i="15"/>
  <c r="J1730" i="15"/>
  <c r="J2995" i="15"/>
  <c r="J236" i="15"/>
  <c r="J1315" i="15"/>
  <c r="J827" i="15"/>
  <c r="J3627" i="15"/>
  <c r="J237" i="15"/>
  <c r="J852" i="15"/>
  <c r="J2367" i="15"/>
  <c r="J3141" i="15"/>
  <c r="J238" i="15"/>
  <c r="J2090" i="15"/>
  <c r="J978" i="15"/>
  <c r="J3004" i="15"/>
  <c r="J2721" i="15"/>
  <c r="J2099" i="15"/>
  <c r="J239" i="15"/>
  <c r="J2729" i="15"/>
  <c r="J3556" i="15"/>
  <c r="J2942" i="15"/>
  <c r="J1976" i="15"/>
  <c r="J1924" i="15"/>
  <c r="J2089" i="15"/>
  <c r="J1207" i="15"/>
  <c r="J1206" i="15"/>
  <c r="J1398" i="15"/>
  <c r="J2261" i="15"/>
  <c r="J2948" i="15"/>
  <c r="J3369" i="15"/>
  <c r="J2526" i="15"/>
  <c r="J3887" i="15"/>
  <c r="J3880" i="15"/>
  <c r="J240" i="15"/>
  <c r="J3165" i="15"/>
  <c r="J2368" i="15"/>
  <c r="J2532" i="15"/>
  <c r="J3886" i="15"/>
  <c r="J3240" i="15"/>
  <c r="J3283" i="15"/>
  <c r="J241" i="15"/>
  <c r="J242" i="15"/>
  <c r="J243" i="15"/>
  <c r="J244" i="15"/>
  <c r="J1549" i="15"/>
  <c r="J2661" i="15"/>
  <c r="J1544" i="15"/>
  <c r="J245" i="15"/>
  <c r="J2895" i="15"/>
  <c r="J2189" i="15"/>
  <c r="J2183" i="15"/>
  <c r="J3735" i="15"/>
  <c r="J246" i="15"/>
  <c r="J3388" i="15"/>
  <c r="J1759" i="15"/>
  <c r="J2646" i="15"/>
  <c r="J2647" i="15"/>
  <c r="J2996" i="15"/>
  <c r="J2997" i="15"/>
  <c r="J247" i="15"/>
  <c r="J3581" i="15"/>
  <c r="J248" i="15"/>
  <c r="J249" i="15"/>
  <c r="J1230" i="15"/>
  <c r="J4115" i="15"/>
  <c r="J1222" i="15"/>
  <c r="J1518" i="15"/>
  <c r="J3569" i="15"/>
  <c r="J250" i="15"/>
  <c r="J2751" i="15"/>
  <c r="J2755" i="15"/>
  <c r="J251" i="15"/>
  <c r="J2743" i="15"/>
  <c r="J252" i="15"/>
  <c r="J2685" i="15"/>
  <c r="J2634" i="15"/>
  <c r="J84" i="15"/>
  <c r="J2523" i="15"/>
  <c r="J253" i="15"/>
  <c r="J3697" i="15"/>
  <c r="J4032" i="15"/>
  <c r="J2964" i="15"/>
  <c r="J4053" i="15"/>
  <c r="J4072" i="15"/>
  <c r="J4056" i="15"/>
  <c r="J2310" i="15"/>
  <c r="J2290" i="15"/>
  <c r="J1053" i="15"/>
  <c r="J3100" i="15"/>
  <c r="J254" i="15"/>
  <c r="J3667" i="15"/>
  <c r="J255" i="15"/>
  <c r="J1657" i="15"/>
  <c r="J256" i="15"/>
  <c r="J2107" i="15"/>
  <c r="J1224" i="15"/>
  <c r="J2389" i="15"/>
  <c r="J257" i="15"/>
  <c r="J4147" i="15"/>
  <c r="J1842" i="15"/>
  <c r="J3026" i="15"/>
  <c r="J1866" i="15"/>
  <c r="J258" i="15"/>
  <c r="J2931" i="15"/>
  <c r="J1662" i="15"/>
  <c r="J2790" i="15"/>
  <c r="J4010" i="15"/>
  <c r="J3239" i="15"/>
  <c r="J1684" i="15"/>
  <c r="J4005" i="15"/>
  <c r="J2138" i="15"/>
  <c r="J259" i="15"/>
  <c r="J2881" i="15"/>
  <c r="J2398" i="15"/>
  <c r="J2801" i="15"/>
  <c r="J2268" i="15"/>
  <c r="J2374" i="15"/>
  <c r="J2391" i="15"/>
  <c r="J1856" i="15"/>
  <c r="J3502" i="15"/>
  <c r="J3238" i="15"/>
  <c r="J2869" i="15"/>
  <c r="J1303" i="15"/>
  <c r="J2256" i="15"/>
  <c r="J1438" i="15"/>
  <c r="J2265" i="15"/>
  <c r="J2106" i="15"/>
  <c r="J2319" i="15"/>
  <c r="J3501" i="15"/>
  <c r="J3552" i="15"/>
  <c r="J3400" i="15"/>
  <c r="J2946" i="15"/>
  <c r="J2302" i="15"/>
  <c r="J3040" i="15"/>
  <c r="J825" i="15"/>
  <c r="J2929" i="15"/>
  <c r="J934" i="15"/>
  <c r="J933" i="15"/>
  <c r="J2438" i="15"/>
  <c r="J1869" i="15"/>
  <c r="J3037" i="15"/>
  <c r="J2321" i="15"/>
  <c r="J2888" i="15"/>
  <c r="J3038" i="15"/>
  <c r="J3032" i="15"/>
  <c r="J2928" i="15"/>
  <c r="J2789" i="15"/>
  <c r="J2940" i="15"/>
  <c r="J2781" i="15"/>
  <c r="J2793" i="15"/>
  <c r="J2887" i="15"/>
  <c r="J2404" i="15"/>
  <c r="J3384" i="15"/>
  <c r="J3041" i="15"/>
  <c r="J3007" i="15"/>
  <c r="J2315" i="15"/>
  <c r="J3517" i="15"/>
  <c r="J3297" i="15"/>
  <c r="J260" i="15"/>
  <c r="J3043" i="15"/>
  <c r="J4136" i="15"/>
  <c r="J1857" i="15"/>
  <c r="J2169" i="15"/>
  <c r="J3170" i="15"/>
  <c r="J3360" i="15"/>
  <c r="J2798" i="15"/>
  <c r="J2122" i="15"/>
  <c r="J2209" i="15"/>
  <c r="J2804" i="15"/>
  <c r="J2263" i="15"/>
  <c r="J2181" i="15"/>
  <c r="J261" i="15"/>
  <c r="J2208" i="15"/>
  <c r="J2309" i="15"/>
  <c r="J3863" i="15"/>
  <c r="J4012" i="15"/>
  <c r="J1687" i="15"/>
  <c r="J3851" i="15"/>
  <c r="J3513" i="15"/>
  <c r="J3168" i="15"/>
  <c r="J4013" i="15"/>
  <c r="J2945" i="15"/>
  <c r="J2422" i="15"/>
  <c r="J2250" i="15"/>
  <c r="J2115" i="15"/>
  <c r="J2124" i="15"/>
  <c r="J1396" i="15"/>
  <c r="J3925" i="15"/>
  <c r="J1600" i="15"/>
  <c r="J2336" i="15"/>
  <c r="J1589" i="15"/>
  <c r="J1294" i="15"/>
  <c r="J883" i="15"/>
  <c r="J2335" i="15"/>
  <c r="J2475" i="15"/>
  <c r="J2334" i="15"/>
  <c r="J2806" i="15"/>
  <c r="J262" i="15"/>
  <c r="J3344" i="15"/>
  <c r="J4018" i="15"/>
  <c r="J2345" i="15"/>
  <c r="J2146" i="15"/>
  <c r="J2444" i="15"/>
  <c r="J3728" i="15"/>
  <c r="J2154" i="15"/>
  <c r="J263" i="15"/>
  <c r="J2853" i="15"/>
  <c r="J2455" i="15"/>
  <c r="J1799" i="15"/>
  <c r="J264" i="15"/>
  <c r="J2219" i="15"/>
  <c r="J3532" i="15"/>
  <c r="J3522" i="15"/>
  <c r="J2159" i="15"/>
  <c r="J3380" i="15"/>
  <c r="J2939" i="15"/>
  <c r="J2307" i="15"/>
  <c r="J2211" i="15"/>
  <c r="J2194" i="15"/>
  <c r="J1889" i="15"/>
  <c r="J3410" i="15"/>
  <c r="J2359" i="15"/>
  <c r="J2385" i="15"/>
  <c r="J2383" i="15"/>
  <c r="J1115" i="15"/>
  <c r="J3668" i="15"/>
  <c r="J2390" i="15"/>
  <c r="J2225" i="15"/>
  <c r="J2195" i="15"/>
  <c r="J2343" i="15"/>
  <c r="J2197" i="15"/>
  <c r="J3167" i="15"/>
  <c r="J2982" i="15"/>
  <c r="J994" i="15"/>
  <c r="J1058" i="15"/>
  <c r="J2110" i="15"/>
  <c r="J2304" i="15"/>
  <c r="J1056" i="15"/>
  <c r="J265" i="15"/>
  <c r="J1961" i="15"/>
  <c r="J2530" i="15"/>
  <c r="J88" i="15"/>
  <c r="J266" i="15"/>
  <c r="J1789" i="15"/>
  <c r="J2275" i="15"/>
  <c r="J2142" i="15"/>
  <c r="J2384" i="15"/>
  <c r="J3691" i="15"/>
  <c r="J267" i="15"/>
  <c r="J2149" i="15"/>
  <c r="J268" i="15"/>
  <c r="J2362" i="15"/>
  <c r="J1669" i="15"/>
  <c r="J1792" i="15"/>
  <c r="J2559" i="15"/>
  <c r="J269" i="15"/>
  <c r="J2363" i="15"/>
  <c r="J2323" i="15"/>
  <c r="J270" i="15"/>
  <c r="J271" i="15"/>
  <c r="J2322" i="15"/>
  <c r="J272" i="15"/>
  <c r="J3598" i="15"/>
  <c r="J1696" i="15"/>
  <c r="J273" i="15"/>
  <c r="J846" i="15"/>
  <c r="J3806" i="15"/>
  <c r="J1221" i="15"/>
  <c r="J274" i="15"/>
  <c r="J275" i="15"/>
  <c r="J276" i="15"/>
  <c r="J277" i="15"/>
  <c r="J278" i="15"/>
  <c r="J1235" i="15"/>
  <c r="J1278" i="15"/>
  <c r="J2253" i="15"/>
  <c r="J4148" i="15"/>
  <c r="J2200" i="15"/>
  <c r="J2201" i="15"/>
  <c r="J2202" i="15"/>
  <c r="J4044" i="15"/>
  <c r="J4149" i="15"/>
  <c r="J10" i="15"/>
  <c r="J1985" i="15"/>
  <c r="J1975" i="15"/>
  <c r="J3267" i="15"/>
  <c r="J2025" i="15"/>
  <c r="J3618" i="15"/>
  <c r="J1935" i="15"/>
  <c r="J2679" i="15"/>
  <c r="J1994" i="15"/>
  <c r="J279" i="15"/>
  <c r="J1956" i="15"/>
  <c r="J2705" i="15"/>
  <c r="J3101" i="15"/>
  <c r="J2741" i="15"/>
  <c r="J1761" i="15"/>
  <c r="J2012" i="15"/>
  <c r="J280" i="15"/>
  <c r="J1545" i="15"/>
  <c r="J281" i="15"/>
  <c r="J1510" i="15"/>
  <c r="J768" i="15"/>
  <c r="J1837" i="15"/>
  <c r="J3800" i="15"/>
  <c r="J2528" i="15"/>
  <c r="J2156" i="15"/>
  <c r="J4150" i="15"/>
  <c r="J70" i="15"/>
  <c r="J282" i="15"/>
  <c r="J16" i="15"/>
  <c r="J283" i="15"/>
  <c r="J284" i="15"/>
  <c r="J2875" i="15"/>
  <c r="J2862" i="15"/>
  <c r="J2249" i="15"/>
  <c r="J3707" i="15"/>
  <c r="J1309" i="15"/>
  <c r="J3485" i="15"/>
  <c r="J3433" i="15"/>
  <c r="J936" i="15"/>
  <c r="J1384" i="15"/>
  <c r="J3787" i="15"/>
  <c r="J810" i="15"/>
  <c r="J3712" i="15"/>
  <c r="J3356" i="15"/>
  <c r="J3367" i="15"/>
  <c r="J285" i="15"/>
  <c r="J2377" i="15"/>
  <c r="J1442" i="15"/>
  <c r="J3830" i="15"/>
  <c r="J2990" i="15"/>
  <c r="J3347" i="15"/>
  <c r="J1399" i="15"/>
  <c r="J3505" i="15"/>
  <c r="J2458" i="15"/>
  <c r="J3685" i="15"/>
  <c r="J3936" i="15"/>
  <c r="J1877" i="15"/>
  <c r="J3702" i="15"/>
  <c r="J3420" i="15"/>
  <c r="J3408" i="15"/>
  <c r="J3540" i="15"/>
  <c r="J3821" i="15"/>
  <c r="J3870" i="15"/>
  <c r="J4151" i="15"/>
  <c r="J1192" i="15"/>
  <c r="J86" i="15"/>
  <c r="J109" i="15"/>
  <c r="J3869" i="15"/>
  <c r="J1880" i="15"/>
  <c r="J3934" i="15"/>
  <c r="J3759" i="15"/>
  <c r="J3945" i="15"/>
  <c r="J2599" i="15"/>
  <c r="J1133" i="15"/>
  <c r="J3677" i="15"/>
  <c r="J2819" i="15"/>
  <c r="J2557" i="15"/>
  <c r="J963" i="15"/>
  <c r="J1316" i="15"/>
  <c r="J3392" i="15"/>
  <c r="J2785" i="15"/>
  <c r="J1068" i="15"/>
  <c r="J2114" i="15"/>
  <c r="J2131" i="15"/>
  <c r="J3802" i="15"/>
  <c r="J928" i="15"/>
  <c r="J286" i="15"/>
  <c r="J3825" i="15"/>
  <c r="J1691" i="15"/>
  <c r="J3459" i="15"/>
  <c r="J2814" i="15"/>
  <c r="J1447" i="15"/>
  <c r="J1572" i="15"/>
  <c r="J798" i="15"/>
  <c r="J2467" i="15"/>
  <c r="J2369" i="15"/>
  <c r="J2603" i="15"/>
  <c r="J1154" i="15"/>
  <c r="J1342" i="15"/>
  <c r="J1383" i="15"/>
  <c r="J1715" i="15"/>
  <c r="J287" i="15"/>
  <c r="J3673" i="15"/>
  <c r="J1276" i="15"/>
  <c r="J73" i="15"/>
  <c r="J68" i="15"/>
  <c r="J4152" i="15"/>
  <c r="J2468" i="15"/>
  <c r="J2583" i="15"/>
  <c r="J288" i="15"/>
  <c r="J4111" i="15"/>
  <c r="J3888" i="15"/>
  <c r="J1576" i="15"/>
  <c r="J1575" i="15"/>
  <c r="J4118" i="15"/>
  <c r="J3864" i="15"/>
  <c r="J3375" i="15"/>
  <c r="J1678" i="15"/>
  <c r="J1067" i="15"/>
  <c r="J1748" i="15"/>
  <c r="J878" i="15"/>
  <c r="J2349" i="15"/>
  <c r="J1097" i="15"/>
  <c r="J4051" i="15"/>
  <c r="J2356" i="15"/>
  <c r="J3867" i="15"/>
  <c r="J997" i="15"/>
  <c r="J3584" i="15"/>
  <c r="J2522" i="15"/>
  <c r="J1639" i="15"/>
  <c r="J2018" i="15"/>
  <c r="J3206" i="15"/>
  <c r="J1797" i="15"/>
  <c r="J3444" i="15"/>
  <c r="J3351" i="15"/>
  <c r="J3705" i="15"/>
  <c r="J2058" i="15"/>
  <c r="J2621" i="15"/>
  <c r="J8" i="15"/>
  <c r="J1692" i="15"/>
  <c r="J1187" i="15"/>
  <c r="J2932" i="15"/>
  <c r="J3325" i="15"/>
  <c r="J3357" i="15"/>
  <c r="J2551" i="15"/>
  <c r="J1228" i="15"/>
  <c r="J4153" i="15"/>
  <c r="J1397" i="15"/>
  <c r="J967" i="15"/>
  <c r="J3879" i="15"/>
  <c r="J1448" i="15"/>
  <c r="J812" i="15"/>
  <c r="J1400" i="15"/>
  <c r="J289" i="15"/>
  <c r="J900" i="15"/>
  <c r="J1378" i="15"/>
  <c r="J1681" i="15"/>
  <c r="J2536" i="15"/>
  <c r="J930" i="15"/>
  <c r="J1425" i="15"/>
  <c r="J290" i="15"/>
  <c r="J3914" i="15"/>
  <c r="J4037" i="15"/>
  <c r="J3417" i="15"/>
  <c r="J1092" i="15"/>
  <c r="J3711" i="15"/>
  <c r="J3816" i="15"/>
  <c r="J3418" i="15"/>
  <c r="J1302" i="15"/>
  <c r="J3792" i="15"/>
  <c r="J3855" i="15"/>
  <c r="J3723" i="15"/>
  <c r="J3761" i="15"/>
  <c r="J973" i="15"/>
  <c r="J952" i="15"/>
  <c r="J2120" i="15"/>
  <c r="J1588" i="15"/>
  <c r="J3696" i="15"/>
  <c r="J2576" i="15"/>
  <c r="J3720" i="15"/>
  <c r="J3044" i="15"/>
  <c r="J2582" i="15"/>
  <c r="J3475" i="15"/>
  <c r="J3736" i="15"/>
  <c r="J1171" i="15"/>
  <c r="J131" i="15"/>
  <c r="J1239" i="15"/>
  <c r="J1257" i="15"/>
  <c r="J1273" i="15"/>
  <c r="J67" i="15"/>
  <c r="J3932" i="15"/>
  <c r="J4154" i="15"/>
  <c r="J3926" i="15"/>
  <c r="J1547" i="15"/>
  <c r="J2799" i="15"/>
  <c r="J2317" i="15"/>
  <c r="J2816" i="15"/>
  <c r="J836" i="15"/>
  <c r="J2199" i="15"/>
  <c r="J1134" i="15"/>
  <c r="J3550" i="15"/>
  <c r="J2589" i="15"/>
  <c r="J1952" i="15"/>
  <c r="J1120" i="15"/>
  <c r="J830" i="15"/>
  <c r="J4057" i="15"/>
  <c r="J291" i="15"/>
  <c r="J4068" i="15"/>
  <c r="J4102" i="15"/>
  <c r="J2238" i="15"/>
  <c r="J2171" i="15"/>
  <c r="J292" i="15"/>
  <c r="J3815" i="15"/>
  <c r="J3312" i="15"/>
  <c r="J1307" i="15"/>
  <c r="J2148" i="15"/>
  <c r="J1883" i="15"/>
  <c r="J3854" i="15"/>
  <c r="J1122" i="15"/>
  <c r="J3201" i="15"/>
  <c r="J858" i="15"/>
  <c r="J2770" i="15"/>
  <c r="J1076" i="15"/>
  <c r="J2823" i="15"/>
  <c r="J3150" i="15"/>
  <c r="J1516" i="15"/>
  <c r="J3175" i="15"/>
  <c r="J1801" i="15"/>
  <c r="J3514" i="15"/>
  <c r="J293" i="15"/>
  <c r="J1628" i="15"/>
  <c r="J1169" i="15"/>
  <c r="J838" i="15"/>
  <c r="J2527" i="15"/>
  <c r="J2258" i="15"/>
  <c r="J2370" i="15"/>
  <c r="J996" i="15"/>
  <c r="J3752" i="15"/>
  <c r="J2484" i="15"/>
  <c r="J1875" i="15"/>
  <c r="J1368" i="15"/>
  <c r="J2943" i="15"/>
  <c r="J1229" i="15"/>
  <c r="J294" i="15"/>
  <c r="J295" i="15"/>
  <c r="J4155" i="15"/>
  <c r="J2965" i="15"/>
  <c r="J2550" i="15"/>
  <c r="J1107" i="15"/>
  <c r="J1002" i="15"/>
  <c r="J2413" i="15"/>
  <c r="J3868" i="15"/>
  <c r="J3443" i="15"/>
  <c r="J1995" i="15"/>
  <c r="J2715" i="15"/>
  <c r="J1101" i="15"/>
  <c r="J2500" i="15"/>
  <c r="J3978" i="15"/>
  <c r="J3457" i="15"/>
  <c r="J3763" i="15"/>
  <c r="J3458" i="15"/>
  <c r="J3209" i="15"/>
  <c r="J106" i="15"/>
  <c r="J1803" i="15"/>
  <c r="J2873" i="15"/>
  <c r="J1677" i="15"/>
  <c r="J2397" i="15"/>
  <c r="J3504" i="15"/>
  <c r="J1454" i="15"/>
  <c r="J3950" i="15"/>
  <c r="J1581" i="15"/>
  <c r="J1078" i="15"/>
  <c r="J296" i="15"/>
  <c r="J1226" i="15"/>
  <c r="J1275" i="15"/>
  <c r="J4156" i="15"/>
  <c r="J2598" i="15"/>
  <c r="J965" i="15"/>
  <c r="J3298" i="15"/>
  <c r="J3790" i="15"/>
  <c r="J3713" i="15"/>
  <c r="J297" i="15"/>
  <c r="J2371" i="15"/>
  <c r="J1037" i="15"/>
  <c r="J2339" i="15"/>
  <c r="J1915" i="15"/>
  <c r="J3699" i="15"/>
  <c r="J961" i="15"/>
  <c r="J4085" i="15"/>
  <c r="J3521" i="15"/>
  <c r="J1753" i="15"/>
  <c r="J793" i="15"/>
  <c r="J4087" i="15"/>
  <c r="J4091" i="15"/>
  <c r="J4088" i="15"/>
  <c r="J4092" i="15"/>
  <c r="J4089" i="15"/>
  <c r="J4086" i="15"/>
  <c r="J4090" i="15"/>
  <c r="J3951" i="15"/>
  <c r="J1710" i="15"/>
  <c r="J132" i="15"/>
  <c r="J4157" i="15"/>
  <c r="J3425" i="15"/>
  <c r="J819" i="15"/>
  <c r="J2985" i="15"/>
  <c r="J3822" i="15"/>
  <c r="J1394" i="15"/>
  <c r="J3431" i="15"/>
  <c r="J1113" i="15"/>
  <c r="J3377" i="15"/>
  <c r="J3928" i="15"/>
  <c r="J298" i="15"/>
  <c r="J2859" i="15"/>
  <c r="J3448" i="15"/>
  <c r="J299" i="15"/>
  <c r="J3826" i="15"/>
  <c r="J2863" i="15"/>
  <c r="J3747" i="15"/>
  <c r="J898" i="15"/>
  <c r="J2462" i="15"/>
  <c r="J2469" i="15"/>
  <c r="J2207" i="15"/>
  <c r="J2026" i="15"/>
  <c r="J907" i="15"/>
  <c r="J3402" i="15"/>
  <c r="J1737" i="15"/>
  <c r="J2919" i="15"/>
  <c r="J1798" i="15"/>
  <c r="J28" i="15"/>
  <c r="J4083" i="15"/>
  <c r="J3350" i="15"/>
  <c r="J3716" i="15"/>
  <c r="J750" i="15"/>
  <c r="J3142" i="15"/>
  <c r="J3902" i="15"/>
  <c r="J3345" i="15"/>
  <c r="J3330" i="15"/>
  <c r="J1851" i="15"/>
  <c r="J2581" i="15"/>
  <c r="J2552" i="15"/>
  <c r="J3327" i="15"/>
  <c r="J4158" i="15"/>
  <c r="J2586" i="15"/>
  <c r="J3944" i="15"/>
  <c r="J794" i="15"/>
  <c r="J3203" i="15"/>
  <c r="J2088" i="15"/>
  <c r="J3372" i="15"/>
  <c r="J4109" i="15"/>
  <c r="J76" i="15"/>
  <c r="J2579" i="15"/>
  <c r="J2460" i="15"/>
  <c r="J1152" i="15"/>
  <c r="J2831" i="15"/>
  <c r="J1708" i="15"/>
  <c r="J4110" i="15"/>
  <c r="J3398" i="15"/>
  <c r="J3592" i="15"/>
  <c r="J4133" i="15"/>
  <c r="J4061" i="15"/>
  <c r="J2612" i="15"/>
  <c r="J1740" i="15"/>
  <c r="J1651" i="15"/>
  <c r="J3164" i="15"/>
  <c r="J79" i="15"/>
  <c r="J2076" i="15"/>
  <c r="J3935" i="15"/>
  <c r="J2428" i="15"/>
  <c r="J3959" i="15"/>
  <c r="J2818" i="15"/>
  <c r="J1291" i="15"/>
  <c r="J3751" i="15"/>
  <c r="J1910" i="15"/>
  <c r="J1191" i="15"/>
  <c r="J2584" i="15"/>
  <c r="J3774" i="15"/>
  <c r="J2542" i="15"/>
  <c r="J3760" i="15"/>
  <c r="J1161" i="15"/>
  <c r="J2608" i="15"/>
  <c r="J3772" i="15"/>
  <c r="J2095" i="15"/>
  <c r="J2531" i="15"/>
  <c r="J3222" i="15"/>
  <c r="J3089" i="15"/>
  <c r="J2693" i="15"/>
  <c r="J4038" i="15"/>
  <c r="J2849" i="15"/>
  <c r="J1660" i="15"/>
  <c r="J52" i="15"/>
  <c r="J3008" i="15"/>
  <c r="J889" i="15"/>
  <c r="J3943" i="15"/>
  <c r="J948" i="15"/>
  <c r="J2609" i="15"/>
  <c r="J2079" i="15"/>
  <c r="J1098" i="15"/>
  <c r="J3957" i="15"/>
  <c r="J1179" i="15"/>
  <c r="J3413" i="15"/>
  <c r="J3411" i="15"/>
  <c r="J1268" i="15"/>
  <c r="J4159" i="15"/>
  <c r="J120" i="15"/>
  <c r="J940" i="15"/>
  <c r="J3025" i="15"/>
  <c r="J3057" i="15"/>
  <c r="J788" i="15"/>
  <c r="J2896" i="15"/>
  <c r="J4099" i="15"/>
  <c r="J4100" i="15"/>
  <c r="J2191" i="15"/>
  <c r="J3046" i="15"/>
  <c r="J2636" i="15"/>
  <c r="J2512" i="15"/>
  <c r="J300" i="15"/>
  <c r="J3593" i="15"/>
  <c r="J1683" i="15"/>
  <c r="J2998" i="15"/>
  <c r="J2515" i="15"/>
  <c r="J3582" i="15"/>
  <c r="J82" i="15"/>
  <c r="J2892" i="15"/>
  <c r="J2883" i="15"/>
  <c r="J2884" i="15"/>
  <c r="J121" i="15"/>
  <c r="J2038" i="15"/>
  <c r="J2540" i="15"/>
  <c r="J2886" i="15"/>
  <c r="J2893" i="15"/>
  <c r="J301" i="15"/>
  <c r="J124" i="15"/>
  <c r="J1537" i="15"/>
  <c r="J113" i="15"/>
  <c r="J1102" i="15"/>
  <c r="J1266" i="15"/>
  <c r="J4160" i="15"/>
  <c r="J3290" i="15"/>
  <c r="J302" i="15"/>
  <c r="J3323" i="15"/>
  <c r="J3332" i="15"/>
  <c r="J3451" i="15"/>
  <c r="J3321" i="15"/>
  <c r="J3497" i="15"/>
  <c r="J3827" i="15"/>
  <c r="J3498" i="15"/>
  <c r="J3339" i="15"/>
  <c r="J3828" i="15"/>
  <c r="J3352" i="15"/>
  <c r="J3494" i="15"/>
  <c r="J2333" i="15"/>
  <c r="J3419" i="15"/>
  <c r="J3961" i="15"/>
  <c r="J3784" i="15"/>
  <c r="J3445" i="15"/>
  <c r="J3781" i="15"/>
  <c r="J2979" i="15"/>
  <c r="J3845" i="15"/>
  <c r="J3447" i="15"/>
  <c r="J3954" i="15"/>
  <c r="J3423" i="15"/>
  <c r="J3495" i="15"/>
  <c r="J3709" i="15"/>
  <c r="J3353" i="15"/>
  <c r="J3719" i="15"/>
  <c r="J2537" i="15"/>
  <c r="J2824" i="15"/>
  <c r="J4161" i="15"/>
  <c r="J1709" i="15"/>
  <c r="J1652" i="15"/>
  <c r="J2830" i="15"/>
  <c r="J1349" i="15"/>
  <c r="J1595" i="15"/>
  <c r="J2472" i="15"/>
  <c r="J2434" i="15"/>
  <c r="J1426" i="15"/>
  <c r="J3482" i="15"/>
  <c r="J2257" i="15"/>
  <c r="J2986" i="15"/>
  <c r="J3452" i="15"/>
  <c r="J3446" i="15"/>
  <c r="J2461" i="15"/>
  <c r="J1865" i="15"/>
  <c r="J3471" i="15"/>
  <c r="J1858" i="15"/>
  <c r="J1832" i="15"/>
  <c r="J32" i="15"/>
  <c r="J1754" i="15"/>
  <c r="J2435" i="15"/>
  <c r="J2524" i="15"/>
  <c r="J1430" i="15"/>
  <c r="J125" i="15"/>
  <c r="J4162" i="15"/>
  <c r="J3324" i="15"/>
  <c r="J3322" i="15"/>
  <c r="J2470" i="15"/>
  <c r="J2466" i="15"/>
  <c r="J3724" i="15"/>
  <c r="J3470" i="15"/>
  <c r="J3461" i="15"/>
  <c r="J1814" i="15"/>
  <c r="J3903" i="15"/>
  <c r="J4047" i="15"/>
  <c r="J2968" i="15"/>
  <c r="J3441" i="15"/>
  <c r="J2118" i="15"/>
  <c r="J3496" i="15"/>
  <c r="J3439" i="15"/>
  <c r="J1811" i="15"/>
  <c r="J3721" i="15"/>
  <c r="J2813" i="15"/>
  <c r="J4000" i="15"/>
  <c r="J813" i="15"/>
  <c r="J3831" i="15"/>
  <c r="J3962" i="15"/>
  <c r="J1946" i="15"/>
  <c r="J3722" i="15"/>
  <c r="J3442" i="15"/>
  <c r="J1240" i="15"/>
  <c r="J4163" i="15"/>
  <c r="J3804" i="15"/>
  <c r="J3846" i="15"/>
  <c r="J114" i="15"/>
  <c r="J122" i="15"/>
  <c r="J1000" i="15"/>
  <c r="J303" i="15"/>
  <c r="J1570" i="15"/>
  <c r="J3891" i="15"/>
  <c r="J304" i="15"/>
  <c r="J901" i="15"/>
  <c r="J3710" i="15"/>
  <c r="J37" i="15"/>
  <c r="J895" i="15"/>
  <c r="J951" i="15"/>
  <c r="J3837" i="15"/>
  <c r="J3376" i="15"/>
  <c r="J2773" i="15"/>
  <c r="J779" i="15"/>
  <c r="J931" i="15"/>
  <c r="J1017" i="15"/>
  <c r="J1049" i="15"/>
  <c r="J959" i="15"/>
  <c r="J3473" i="15"/>
  <c r="J3421" i="15"/>
  <c r="J305" i="15"/>
  <c r="J90" i="15"/>
  <c r="J2835" i="15"/>
  <c r="J856" i="15"/>
  <c r="J4119" i="15"/>
  <c r="J1569" i="15"/>
  <c r="J1047" i="15"/>
  <c r="J904" i="15"/>
  <c r="J306" i="15"/>
  <c r="J3526" i="15"/>
  <c r="J890" i="15"/>
  <c r="J914" i="15"/>
  <c r="J3362" i="15"/>
  <c r="J1213" i="15"/>
  <c r="J1246" i="15"/>
  <c r="J4164" i="15"/>
  <c r="J1404" i="15"/>
  <c r="J2699" i="15"/>
  <c r="J3617" i="15"/>
  <c r="J1372" i="15"/>
  <c r="J1300" i="15"/>
  <c r="J2085" i="15"/>
  <c r="J2777" i="15"/>
  <c r="J859" i="15"/>
  <c r="J2517" i="15"/>
  <c r="J999" i="15"/>
  <c r="J1015" i="15"/>
  <c r="J2572" i="15"/>
  <c r="J1182" i="15"/>
  <c r="J863" i="15"/>
  <c r="J850" i="15"/>
  <c r="J56" i="15"/>
  <c r="J1614" i="15"/>
  <c r="J2723" i="15"/>
  <c r="J3793" i="15"/>
  <c r="J3055" i="15"/>
  <c r="J1580" i="15"/>
  <c r="J1168" i="15"/>
  <c r="J1183" i="15"/>
  <c r="J1558" i="15"/>
  <c r="J47" i="15"/>
  <c r="J3019" i="15"/>
  <c r="J2570" i="15"/>
  <c r="J1911" i="15"/>
  <c r="J3676" i="15"/>
  <c r="J826" i="15"/>
  <c r="J857" i="15"/>
  <c r="J2175" i="15"/>
  <c r="J2857" i="15"/>
  <c r="J1548" i="15"/>
  <c r="J2125" i="15"/>
  <c r="J4112" i="15"/>
  <c r="J1918" i="15"/>
  <c r="J307" i="15"/>
  <c r="J835" i="15"/>
  <c r="J3068" i="15"/>
  <c r="J308" i="15"/>
  <c r="J2825" i="15"/>
  <c r="J2301" i="15"/>
  <c r="J2382" i="15"/>
  <c r="J3160" i="15"/>
  <c r="J849" i="15"/>
  <c r="J1227" i="15"/>
  <c r="J309" i="15"/>
  <c r="J4165" i="15"/>
  <c r="J2577" i="15"/>
  <c r="J2903" i="15"/>
  <c r="J3839" i="15"/>
  <c r="J2992" i="15"/>
  <c r="J3848" i="15"/>
  <c r="J3500" i="15"/>
  <c r="J3348" i="15"/>
  <c r="J1769" i="15"/>
  <c r="J1827" i="15"/>
  <c r="J3455" i="15"/>
  <c r="J3456" i="15"/>
  <c r="J1339" i="15"/>
  <c r="J3320" i="15"/>
  <c r="J4079" i="15"/>
  <c r="J2031" i="15"/>
  <c r="J2070" i="15"/>
  <c r="J3773" i="15"/>
  <c r="J3753" i="15"/>
  <c r="J1920" i="15"/>
  <c r="J3694" i="15"/>
  <c r="J2662" i="15"/>
  <c r="J1653" i="15"/>
  <c r="J3285" i="15"/>
  <c r="J2776" i="15"/>
  <c r="J3373" i="15"/>
  <c r="J1890" i="15"/>
  <c r="J4166" i="15"/>
  <c r="J40" i="15"/>
  <c r="J214" i="15"/>
  <c r="J1021" i="15"/>
  <c r="J1117" i="15"/>
  <c r="J1640" i="15"/>
  <c r="J2491" i="15"/>
  <c r="J2492" i="15"/>
  <c r="J1389" i="15"/>
  <c r="J1377" i="15"/>
  <c r="J1301" i="15"/>
  <c r="J3842" i="15"/>
  <c r="J1833" i="15"/>
  <c r="J2867" i="15"/>
  <c r="J3745" i="15"/>
  <c r="J2971" i="15"/>
  <c r="J2974" i="15"/>
  <c r="J103" i="15"/>
  <c r="J1819" i="15"/>
  <c r="J1427" i="15"/>
  <c r="J3063" i="15"/>
  <c r="J3955" i="15"/>
  <c r="J2034" i="15"/>
  <c r="J2065" i="15"/>
  <c r="J2724" i="15"/>
  <c r="J3412" i="15"/>
  <c r="J3212" i="15"/>
  <c r="J30" i="15"/>
  <c r="J908" i="15"/>
  <c r="J1371" i="15"/>
  <c r="J4167" i="15"/>
  <c r="J71" i="15"/>
  <c r="J1891" i="15"/>
  <c r="J981" i="15"/>
  <c r="J3472" i="15"/>
  <c r="J2251" i="15"/>
  <c r="J4144" i="15"/>
  <c r="J3349" i="15"/>
  <c r="J4146" i="15"/>
  <c r="J2973" i="15"/>
  <c r="J3780" i="15"/>
  <c r="J2841" i="15"/>
  <c r="J2843" i="15"/>
  <c r="J3527" i="15"/>
  <c r="J3460" i="15"/>
  <c r="J2865" i="15"/>
  <c r="J2547" i="15"/>
  <c r="J3983" i="15"/>
  <c r="J3984" i="15"/>
  <c r="J2544" i="15"/>
  <c r="J2545" i="15"/>
  <c r="J3981" i="15"/>
  <c r="J3985" i="15"/>
  <c r="J3986" i="15"/>
  <c r="J3987" i="15"/>
  <c r="J2546" i="15"/>
  <c r="J3982" i="15"/>
  <c r="J2548" i="15"/>
  <c r="J2844" i="15"/>
  <c r="J3988" i="15"/>
  <c r="J2839" i="15"/>
  <c r="J3980" i="15"/>
  <c r="J3528" i="15"/>
  <c r="J3529" i="15"/>
  <c r="J3530" i="15"/>
  <c r="J3465" i="15"/>
  <c r="J3246" i="15"/>
  <c r="J2543" i="15"/>
  <c r="J740" i="15"/>
  <c r="J2549" i="15"/>
  <c r="J3301" i="15"/>
  <c r="J3303" i="15"/>
  <c r="J3835" i="15"/>
  <c r="J3469" i="15"/>
  <c r="J3990" i="15"/>
  <c r="J3989" i="15"/>
  <c r="J3836" i="15"/>
  <c r="J2842" i="15"/>
  <c r="J4066" i="15"/>
  <c r="J3559" i="15"/>
  <c r="J1605" i="15"/>
  <c r="J1587" i="15"/>
  <c r="J4002" i="15"/>
  <c r="J4059" i="15"/>
  <c r="J3216" i="15"/>
  <c r="J3088" i="15"/>
  <c r="J3213" i="15"/>
  <c r="J2027" i="15"/>
  <c r="J3385" i="15"/>
  <c r="J1943" i="15"/>
  <c r="J2002" i="15"/>
  <c r="J1823" i="15"/>
  <c r="J1802" i="15"/>
  <c r="J310" i="15"/>
  <c r="J4062" i="15"/>
  <c r="J3786" i="15"/>
  <c r="J3785" i="15"/>
  <c r="J1828" i="15"/>
  <c r="J3483" i="15"/>
  <c r="J3486" i="15"/>
  <c r="J1428" i="15"/>
  <c r="J1838" i="15"/>
  <c r="J2514" i="15"/>
  <c r="J2732" i="15"/>
  <c r="J3087" i="15"/>
  <c r="J1530" i="15"/>
  <c r="J3749" i="15"/>
  <c r="J3801" i="15"/>
  <c r="J2575" i="15"/>
  <c r="J1364" i="15"/>
  <c r="J1203" i="15"/>
  <c r="J1202" i="15"/>
  <c r="J4120" i="15"/>
  <c r="J1247" i="15"/>
  <c r="J1285" i="15"/>
  <c r="J1286" i="15"/>
  <c r="J1287" i="15"/>
  <c r="J4168" i="15"/>
  <c r="J3889" i="15"/>
  <c r="J1458" i="15"/>
  <c r="J2066" i="15"/>
  <c r="J1446" i="15"/>
  <c r="J1568" i="15"/>
  <c r="J1451" i="15"/>
  <c r="J2282" i="15"/>
  <c r="J2656" i="15"/>
  <c r="J1938" i="15"/>
  <c r="J3900" i="15"/>
  <c r="J970" i="15"/>
  <c r="J87" i="15"/>
  <c r="J2980" i="15"/>
  <c r="J990" i="15"/>
  <c r="J1707" i="15"/>
  <c r="J881" i="15"/>
  <c r="J1711" i="15"/>
  <c r="J2969" i="15"/>
  <c r="J2877" i="15"/>
  <c r="J2836" i="15"/>
  <c r="J2874" i="15"/>
  <c r="J2059" i="15"/>
  <c r="J1701" i="15"/>
  <c r="J3901" i="15"/>
  <c r="J995" i="15"/>
  <c r="J2972" i="15"/>
  <c r="J3729" i="15"/>
  <c r="J1429" i="15"/>
  <c r="J4169" i="15"/>
  <c r="J941" i="15"/>
  <c r="J2331" i="15"/>
  <c r="J1308" i="15"/>
  <c r="J1551" i="15"/>
  <c r="J2709" i="15"/>
  <c r="J3571" i="15"/>
  <c r="J311" i="15"/>
  <c r="J3641" i="15"/>
  <c r="J1843" i="15"/>
  <c r="J3594" i="15"/>
  <c r="J2890" i="15"/>
  <c r="J4139" i="15"/>
  <c r="J13" i="15"/>
  <c r="J3190" i="15"/>
  <c r="J312" i="15"/>
  <c r="J1629" i="15"/>
  <c r="J3635" i="15"/>
  <c r="J998" i="15"/>
  <c r="J2176" i="15"/>
  <c r="J2193" i="15"/>
  <c r="J1014" i="15"/>
  <c r="J3016" i="15"/>
  <c r="J313" i="15"/>
  <c r="J314" i="15"/>
  <c r="J315" i="15"/>
  <c r="J316" i="15"/>
  <c r="J4170" i="15"/>
  <c r="J317" i="15"/>
  <c r="J1270" i="15"/>
  <c r="J318" i="15"/>
  <c r="J319" i="15"/>
  <c r="J320" i="15"/>
  <c r="J321" i="15"/>
  <c r="J322" i="15"/>
  <c r="J323" i="15"/>
  <c r="J324" i="15"/>
  <c r="J1272" i="15"/>
  <c r="J3507" i="15"/>
  <c r="J325" i="15"/>
  <c r="J1080" i="15"/>
  <c r="J1081" i="15"/>
  <c r="J1846" i="15"/>
  <c r="J2162" i="15"/>
  <c r="J2921" i="15"/>
  <c r="J1848" i="15"/>
  <c r="J2923" i="15"/>
  <c r="J2166" i="15"/>
  <c r="J2222" i="15"/>
  <c r="J2910" i="15"/>
  <c r="J2912" i="15"/>
  <c r="J2264" i="15"/>
  <c r="J3824" i="15"/>
  <c r="J2394" i="15"/>
  <c r="J2381" i="15"/>
  <c r="J3370" i="15"/>
  <c r="J3390" i="15"/>
  <c r="J2833" i="15"/>
  <c r="J4080" i="15"/>
  <c r="J2393" i="15"/>
  <c r="J4171" i="15"/>
  <c r="J2179" i="15"/>
  <c r="J22" i="15"/>
  <c r="J4172" i="15"/>
  <c r="J2901" i="15"/>
  <c r="J2063" i="15"/>
  <c r="J1083" i="15"/>
  <c r="J1220" i="15"/>
  <c r="J4173" i="15"/>
  <c r="J326" i="15"/>
  <c r="J2617" i="15"/>
  <c r="J4174" i="15"/>
  <c r="J2618" i="15"/>
  <c r="J4175" i="15"/>
  <c r="J839" i="15"/>
  <c r="J840" i="15"/>
  <c r="J841" i="15"/>
  <c r="J844" i="15"/>
  <c r="J327" i="15"/>
  <c r="J3263" i="15"/>
  <c r="J3247" i="15"/>
  <c r="J3258" i="15"/>
  <c r="J3383" i="15"/>
  <c r="J3693" i="15"/>
  <c r="J3276" i="15"/>
  <c r="J3269" i="15"/>
  <c r="J2004" i="15"/>
  <c r="J2752" i="15"/>
  <c r="J3273" i="15"/>
  <c r="J2267" i="15"/>
  <c r="J3194" i="15"/>
  <c r="J3255" i="15"/>
  <c r="J1963" i="15"/>
  <c r="J2644" i="15"/>
  <c r="J2567" i="15"/>
  <c r="J2747" i="15"/>
  <c r="J3271" i="15"/>
  <c r="J3000" i="15"/>
  <c r="J3001" i="15"/>
  <c r="J865" i="15"/>
  <c r="J864" i="15"/>
  <c r="J757" i="15"/>
  <c r="J1121" i="15"/>
  <c r="J2622" i="15"/>
  <c r="J328" i="15"/>
  <c r="J4114" i="15"/>
  <c r="J1267" i="15"/>
  <c r="J3477" i="15"/>
  <c r="J2375" i="15"/>
  <c r="J3123" i="15"/>
  <c r="J4176" i="15"/>
  <c r="J1666" i="15"/>
  <c r="J39" i="15"/>
  <c r="J3279" i="15"/>
  <c r="J1988" i="15"/>
  <c r="J2571" i="15"/>
  <c r="J3264" i="15"/>
  <c r="J2716" i="15"/>
  <c r="J3198" i="15"/>
  <c r="J329" i="15"/>
  <c r="J3748" i="15"/>
  <c r="J2379" i="15"/>
  <c r="J3092" i="15"/>
  <c r="J1540" i="15"/>
  <c r="J330" i="15"/>
  <c r="J831" i="15"/>
  <c r="J2917" i="15"/>
  <c r="J2858" i="15"/>
  <c r="J3873" i="15"/>
  <c r="J4177" i="15"/>
  <c r="J867" i="15"/>
  <c r="J3358" i="15"/>
  <c r="J331" i="15"/>
  <c r="J1533" i="15"/>
  <c r="J1532" i="15"/>
  <c r="J1535" i="15"/>
  <c r="J1534" i="15"/>
  <c r="J2788" i="15"/>
  <c r="J4178" i="15"/>
  <c r="J2521" i="15"/>
  <c r="J2625" i="15"/>
  <c r="J4179" i="15"/>
  <c r="J745" i="15"/>
  <c r="J1902" i="15"/>
  <c r="J1778" i="15"/>
  <c r="J1906" i="15"/>
  <c r="J1905" i="15"/>
  <c r="J1904" i="15"/>
  <c r="J1908" i="15"/>
  <c r="J2239" i="15"/>
  <c r="J4180" i="15"/>
  <c r="J4181" i="15"/>
  <c r="J3636" i="15"/>
  <c r="J3646" i="15"/>
  <c r="J3671" i="15"/>
  <c r="J3659" i="15"/>
  <c r="J1643" i="15"/>
  <c r="J2700" i="15"/>
  <c r="J2696" i="15"/>
  <c r="J332" i="15"/>
  <c r="J333" i="15"/>
  <c r="J2236" i="15"/>
  <c r="J2243" i="15"/>
  <c r="J2450" i="15"/>
  <c r="J334" i="15"/>
  <c r="J335" i="15"/>
  <c r="J3580" i="15"/>
  <c r="J2535" i="15"/>
  <c r="J2452" i="15"/>
  <c r="J3355" i="15"/>
  <c r="J4071" i="15"/>
  <c r="J3337" i="15"/>
  <c r="J4040" i="15"/>
  <c r="J2800" i="15"/>
  <c r="J3393" i="15"/>
  <c r="J1590" i="15"/>
  <c r="J2562" i="15"/>
  <c r="J4052" i="15"/>
  <c r="J2692" i="15"/>
  <c r="J3686" i="15"/>
  <c r="J2386" i="15"/>
  <c r="J2387" i="15"/>
  <c r="J2145" i="15"/>
  <c r="J2216" i="15"/>
  <c r="J950" i="15"/>
  <c r="J4182" i="15"/>
  <c r="J2112" i="15"/>
  <c r="J3547" i="15"/>
  <c r="J818" i="15"/>
  <c r="J1841" i="15"/>
  <c r="J2994" i="15"/>
  <c r="J2237" i="15"/>
  <c r="J2003" i="15"/>
  <c r="J3078" i="15"/>
  <c r="J336" i="15"/>
  <c r="J2297" i="15"/>
  <c r="J337" i="15"/>
  <c r="J2762" i="15"/>
  <c r="J2764" i="15"/>
  <c r="J3137" i="15"/>
  <c r="J1966" i="15"/>
  <c r="J3604" i="15"/>
  <c r="J1989" i="15"/>
  <c r="J3614" i="15"/>
  <c r="J2305" i="15"/>
  <c r="J3621" i="15"/>
  <c r="J3595" i="15"/>
  <c r="J2494" i="15"/>
  <c r="J2295" i="15"/>
  <c r="J2248" i="15"/>
  <c r="J2936" i="15"/>
  <c r="J1617" i="15"/>
  <c r="J817" i="15"/>
  <c r="J3002" i="15"/>
  <c r="J1888" i="15"/>
  <c r="J3422" i="15"/>
  <c r="J2023" i="15"/>
  <c r="J338" i="15"/>
  <c r="J339" i="15"/>
  <c r="J4001" i="15"/>
  <c r="J3633" i="15"/>
  <c r="J2771" i="15"/>
  <c r="J340" i="15"/>
  <c r="J3553" i="15"/>
  <c r="J2564" i="15"/>
  <c r="J2769" i="15"/>
  <c r="J3557" i="15"/>
  <c r="J2300" i="15"/>
  <c r="J3174" i="15"/>
  <c r="J3138" i="15"/>
  <c r="J2920" i="15"/>
  <c r="J1861" i="15"/>
  <c r="J1847" i="15"/>
  <c r="J2914" i="15"/>
  <c r="J3911" i="15"/>
  <c r="J3683" i="15"/>
  <c r="J4183" i="15"/>
  <c r="J853" i="15"/>
  <c r="J1505" i="15"/>
  <c r="J3603" i="15"/>
  <c r="J1348" i="15"/>
  <c r="J2449" i="15"/>
  <c r="J3193" i="15"/>
  <c r="J1528" i="15"/>
  <c r="J3192" i="15"/>
  <c r="J3622" i="15"/>
  <c r="J2759" i="15"/>
  <c r="J1970" i="15"/>
  <c r="J25" i="15"/>
  <c r="J2802" i="15"/>
  <c r="J2028" i="15"/>
  <c r="J3602" i="15"/>
  <c r="J3076" i="15"/>
  <c r="J1720" i="15"/>
  <c r="J2962" i="15"/>
  <c r="J1063" i="15"/>
  <c r="J1065" i="15"/>
  <c r="J2691" i="15"/>
  <c r="J2750" i="15"/>
  <c r="J2361" i="15"/>
  <c r="J2525" i="15"/>
  <c r="J2157" i="15"/>
  <c r="J2155" i="15"/>
  <c r="J2134" i="15"/>
  <c r="J341" i="15"/>
  <c r="J2533" i="15"/>
  <c r="J2538" i="15"/>
  <c r="J2126" i="15"/>
  <c r="J2158" i="15"/>
  <c r="J342" i="15"/>
  <c r="J4184" i="15"/>
  <c r="J1084" i="15"/>
  <c r="J1085" i="15"/>
  <c r="J1086" i="15"/>
  <c r="J343" i="15"/>
  <c r="J344" i="15"/>
  <c r="J345" i="15"/>
  <c r="J346" i="15"/>
  <c r="J347" i="15"/>
  <c r="J348" i="15"/>
  <c r="J349" i="15"/>
  <c r="J350" i="15"/>
  <c r="J1087" i="15"/>
  <c r="J1088" i="15"/>
  <c r="J1089" i="15"/>
  <c r="J1090" i="15"/>
  <c r="J1091" i="15"/>
  <c r="J1898" i="15"/>
  <c r="J1897" i="15"/>
  <c r="J1896" i="15"/>
  <c r="J1895" i="15"/>
  <c r="J2519" i="15"/>
  <c r="J1727" i="15"/>
  <c r="J1763" i="15"/>
  <c r="J1241" i="15"/>
  <c r="J1242" i="15"/>
  <c r="J1243" i="15"/>
  <c r="J4185" i="15"/>
  <c r="J23" i="15"/>
  <c r="J1519" i="15"/>
  <c r="J1359" i="15"/>
  <c r="J3904" i="15"/>
  <c r="J48" i="15"/>
  <c r="J1212" i="15"/>
  <c r="J4186" i="15"/>
  <c r="J2918" i="15"/>
  <c r="J1593" i="15"/>
  <c r="J910" i="15"/>
  <c r="J1016" i="15"/>
  <c r="J3401" i="15"/>
  <c r="J3292" i="15"/>
  <c r="J3293" i="15"/>
  <c r="J1194" i="15"/>
  <c r="J1845" i="15"/>
  <c r="J3737" i="15"/>
  <c r="J2966" i="15"/>
  <c r="J1809" i="15"/>
  <c r="J3435" i="15"/>
  <c r="J3769" i="15"/>
  <c r="J962" i="15"/>
  <c r="J2416" i="15"/>
  <c r="J3454" i="15"/>
  <c r="J3949" i="15"/>
  <c r="J3335" i="15"/>
  <c r="J2852" i="15"/>
  <c r="J2279" i="15"/>
  <c r="J823" i="15"/>
  <c r="J1953" i="15"/>
  <c r="J2590" i="15"/>
  <c r="J2817" i="15"/>
  <c r="J822" i="15"/>
  <c r="J3029" i="15"/>
  <c r="J3232" i="15"/>
  <c r="J3033" i="15"/>
  <c r="J2327" i="15"/>
  <c r="J2329" i="15"/>
  <c r="J2328" i="15"/>
  <c r="J4065" i="15"/>
  <c r="J739" i="15"/>
  <c r="J3214" i="15"/>
  <c r="J776" i="15"/>
  <c r="J1340" i="15"/>
  <c r="J1760" i="15"/>
  <c r="J1218" i="15"/>
  <c r="J4187" i="15"/>
  <c r="J4003" i="15"/>
  <c r="J1751" i="15"/>
  <c r="J1151" i="15"/>
  <c r="J3381" i="15"/>
  <c r="J3051" i="15"/>
  <c r="J2488" i="15"/>
  <c r="J3814" i="15"/>
  <c r="J3905" i="15"/>
  <c r="J2951" i="15"/>
  <c r="J814" i="15"/>
  <c r="J1440" i="15"/>
  <c r="J743" i="15"/>
  <c r="J2081" i="15"/>
  <c r="J3220" i="15"/>
  <c r="J1343" i="15"/>
  <c r="J1338" i="15"/>
  <c r="J3852" i="15"/>
  <c r="J1297" i="15"/>
  <c r="J2733" i="15"/>
  <c r="J1954" i="15"/>
  <c r="J769" i="15"/>
  <c r="J351" i="15"/>
  <c r="J1993" i="15"/>
  <c r="J1835" i="15"/>
  <c r="J2827" i="15"/>
  <c r="J2850" i="15"/>
  <c r="J1623" i="15"/>
  <c r="J1104" i="15"/>
  <c r="J1381" i="15"/>
  <c r="J1195" i="15"/>
  <c r="J3005" i="15"/>
  <c r="J3176" i="15"/>
  <c r="J1685" i="15"/>
  <c r="J1197" i="15"/>
  <c r="J1073" i="15"/>
  <c r="J3560" i="15"/>
  <c r="J1211" i="15"/>
  <c r="J1649" i="15"/>
  <c r="J1722" i="15"/>
  <c r="J1127" i="15"/>
  <c r="J352" i="15"/>
  <c r="J4188" i="15"/>
  <c r="J353" i="15"/>
  <c r="J354" i="15"/>
  <c r="J2116" i="15"/>
  <c r="J3338" i="15"/>
  <c r="J1916" i="15"/>
  <c r="J2897" i="15"/>
  <c r="J3788" i="15"/>
  <c r="J3771" i="15"/>
  <c r="J2988" i="15"/>
  <c r="J2838" i="15"/>
  <c r="J3173" i="15"/>
  <c r="J2967" i="15"/>
  <c r="J3756" i="15"/>
  <c r="J3862" i="15"/>
  <c r="J3466" i="15"/>
  <c r="J3172" i="15"/>
  <c r="J3833" i="15"/>
  <c r="J3437" i="15"/>
  <c r="J1329" i="15"/>
  <c r="J1825" i="15"/>
  <c r="J3286" i="15"/>
  <c r="J1794" i="15"/>
  <c r="J3810" i="15"/>
  <c r="J3319" i="15"/>
  <c r="J4036" i="15"/>
  <c r="J3434" i="15"/>
  <c r="J4189" i="15"/>
  <c r="J1105" i="15"/>
  <c r="J3438" i="15"/>
  <c r="J3489" i="15"/>
  <c r="J3453" i="15"/>
  <c r="J3341" i="15"/>
  <c r="J2978" i="15"/>
  <c r="J2906" i="15"/>
  <c r="J2803" i="15"/>
  <c r="J4084" i="15"/>
  <c r="J1334" i="15"/>
  <c r="J1332" i="15"/>
  <c r="J1917" i="15"/>
  <c r="J3313" i="15"/>
  <c r="J3700" i="15"/>
  <c r="J1299" i="15"/>
  <c r="J1367" i="15"/>
  <c r="J1804" i="15"/>
  <c r="J1460" i="15"/>
  <c r="J1457" i="15"/>
  <c r="J1431" i="15"/>
  <c r="J1109" i="15"/>
  <c r="J1477" i="15"/>
  <c r="J2096" i="15"/>
  <c r="J111" i="15"/>
  <c r="J3818" i="15"/>
  <c r="J96" i="15"/>
  <c r="J355" i="15"/>
  <c r="J1215" i="15"/>
  <c r="J1250" i="15"/>
  <c r="J1279" i="15"/>
  <c r="J4190" i="15"/>
  <c r="J4191" i="15"/>
  <c r="J117" i="15"/>
  <c r="J123" i="15"/>
  <c r="J2507" i="15"/>
  <c r="J3048" i="15"/>
  <c r="J3574" i="15"/>
  <c r="J3578" i="15"/>
  <c r="J1546" i="15"/>
  <c r="J3660" i="15"/>
  <c r="J1180" i="15"/>
  <c r="J1435" i="15"/>
  <c r="J3674" i="15"/>
  <c r="J356" i="15"/>
  <c r="J357" i="15"/>
  <c r="J3049" i="15"/>
  <c r="J4129" i="15"/>
  <c r="J1560" i="15"/>
  <c r="J358" i="15"/>
  <c r="J1186" i="15"/>
  <c r="J359" i="15"/>
  <c r="J360" i="15"/>
  <c r="J3050" i="15"/>
  <c r="J1184" i="15"/>
  <c r="J3620" i="15"/>
  <c r="J2061" i="15"/>
  <c r="J1661" i="15"/>
  <c r="J361" i="15"/>
  <c r="J1493" i="15"/>
  <c r="J3013" i="15"/>
  <c r="J1185" i="15"/>
  <c r="J362" i="15"/>
  <c r="J363" i="15"/>
  <c r="J1565" i="15"/>
  <c r="J797" i="15"/>
  <c r="J4192" i="15"/>
  <c r="J364" i="15"/>
  <c r="J365" i="15"/>
  <c r="J366" i="15"/>
  <c r="J367" i="15"/>
  <c r="J845" i="15"/>
  <c r="J1305" i="15"/>
  <c r="J803" i="15"/>
  <c r="J3652" i="15"/>
  <c r="J3070" i="15"/>
  <c r="J2983" i="15"/>
  <c r="J1555" i="15"/>
  <c r="J866" i="15"/>
  <c r="J1128" i="15"/>
  <c r="J1766" i="15"/>
  <c r="J4054" i="15"/>
  <c r="J2019" i="15"/>
  <c r="J368" i="15"/>
  <c r="J1130" i="15"/>
  <c r="J3537" i="15"/>
  <c r="J1790" i="15"/>
  <c r="J2689" i="15"/>
  <c r="J1773" i="15"/>
  <c r="J3817" i="15"/>
  <c r="J2821" i="15"/>
  <c r="J2687" i="15"/>
  <c r="J4193" i="15"/>
  <c r="J1732" i="15"/>
  <c r="J1452" i="15"/>
  <c r="J2457" i="15"/>
  <c r="J2262" i="15"/>
  <c r="J2117" i="15"/>
  <c r="J4077" i="15"/>
  <c r="J2820" i="15"/>
  <c r="J2395" i="15"/>
  <c r="J2396" i="15"/>
  <c r="J2364" i="15"/>
  <c r="J2400" i="15"/>
  <c r="J1208" i="15"/>
  <c r="J2190" i="15"/>
  <c r="J1365" i="15"/>
  <c r="J1872" i="15"/>
  <c r="J2976" i="15"/>
  <c r="J3744" i="15"/>
  <c r="J982" i="15"/>
  <c r="J1632" i="15"/>
  <c r="J61" i="15"/>
  <c r="J2846" i="15"/>
  <c r="J24" i="15"/>
  <c r="J1567" i="15"/>
  <c r="J3329" i="15"/>
  <c r="J1082" i="15"/>
  <c r="J369" i="15"/>
  <c r="J370" i="15"/>
  <c r="J1292" i="15"/>
  <c r="J2808" i="15"/>
  <c r="J2423" i="15"/>
  <c r="J2810" i="15"/>
  <c r="J2987" i="15"/>
  <c r="J99" i="15"/>
  <c r="J1022" i="15"/>
  <c r="J1591" i="15"/>
  <c r="J1671" i="15"/>
  <c r="J972" i="15"/>
  <c r="J1602" i="15"/>
  <c r="J1382" i="15"/>
  <c r="J1821" i="15"/>
  <c r="J3866" i="15"/>
  <c r="J2509" i="15"/>
  <c r="J1903" i="15"/>
  <c r="J1219" i="15"/>
  <c r="J1271" i="15"/>
  <c r="J371" i="15"/>
  <c r="J372" i="15"/>
  <c r="J373" i="15"/>
  <c r="J374" i="15"/>
  <c r="J1907" i="15"/>
  <c r="J75" i="15"/>
  <c r="J1106" i="15"/>
  <c r="J4194" i="15"/>
  <c r="J3354" i="15"/>
  <c r="J3394" i="15"/>
  <c r="J1385" i="15"/>
  <c r="J1682" i="15"/>
  <c r="J1674" i="15"/>
  <c r="J1313" i="15"/>
  <c r="J1066" i="15"/>
  <c r="J1040" i="15"/>
  <c r="J2486" i="15"/>
  <c r="J3090" i="15"/>
  <c r="J3217" i="15"/>
  <c r="J2017" i="15"/>
  <c r="J3034" i="15"/>
  <c r="J2840" i="15"/>
  <c r="J3838" i="15"/>
  <c r="J3326" i="15"/>
  <c r="J3333" i="15"/>
  <c r="J4195" i="15"/>
  <c r="J1443" i="15"/>
  <c r="J1003" i="15"/>
  <c r="J2097" i="15"/>
  <c r="J2756" i="15"/>
  <c r="J824" i="15"/>
  <c r="J1432" i="15"/>
  <c r="J1594" i="15"/>
  <c r="J3687" i="15"/>
  <c r="J3908" i="15"/>
  <c r="J3767" i="15"/>
  <c r="J2900" i="15"/>
  <c r="J1478" i="15"/>
  <c r="J375" i="15"/>
  <c r="J3538" i="15"/>
  <c r="J376" i="15"/>
  <c r="J1449" i="15"/>
  <c r="J4078" i="15"/>
  <c r="J83" i="15"/>
  <c r="J377" i="15"/>
  <c r="J3976" i="15"/>
  <c r="J1944" i="15"/>
  <c r="J2977" i="15"/>
  <c r="J2036" i="15"/>
  <c r="J3642" i="15"/>
  <c r="J1729" i="15"/>
  <c r="J3136" i="15"/>
  <c r="J4196" i="15"/>
  <c r="J834" i="15"/>
  <c r="J847" i="15"/>
  <c r="J3253" i="15"/>
  <c r="J2981" i="15"/>
  <c r="J833" i="15"/>
  <c r="J3199" i="15"/>
  <c r="J378" i="15"/>
  <c r="J2366" i="15"/>
  <c r="J3536" i="15"/>
  <c r="J1369" i="15"/>
  <c r="J2860" i="15"/>
  <c r="J758" i="15"/>
  <c r="J752" i="15"/>
  <c r="J2568" i="15"/>
  <c r="J1024" i="15"/>
  <c r="J2429" i="15"/>
  <c r="J975" i="15"/>
  <c r="J762" i="15"/>
  <c r="J746" i="15"/>
  <c r="J3615" i="15"/>
  <c r="J379" i="15"/>
  <c r="J408" i="15"/>
  <c r="J3023" i="15"/>
  <c r="J979" i="15"/>
  <c r="J1603" i="15"/>
  <c r="J380" i="15"/>
  <c r="J2127" i="15"/>
  <c r="J381" i="15"/>
  <c r="J1719" i="15"/>
  <c r="J2649" i="15"/>
  <c r="J1482" i="15"/>
  <c r="J3275" i="15"/>
  <c r="J3650" i="15"/>
  <c r="J3073" i="15"/>
  <c r="J3858" i="15"/>
  <c r="J3542" i="15"/>
  <c r="J2087" i="15"/>
  <c r="J2136" i="15"/>
  <c r="J382" i="15"/>
  <c r="J3656" i="15"/>
  <c r="J855" i="15"/>
  <c r="J1112" i="15"/>
  <c r="J2430" i="15"/>
  <c r="J2152" i="15"/>
  <c r="J1237" i="15"/>
  <c r="J1245" i="15"/>
  <c r="J383" i="15"/>
  <c r="J384" i="15"/>
  <c r="J385" i="15"/>
  <c r="J386" i="15"/>
  <c r="J387" i="15"/>
  <c r="J388" i="15"/>
  <c r="J389" i="15"/>
  <c r="J390" i="15"/>
  <c r="J391" i="15"/>
  <c r="J392" i="15"/>
  <c r="J3613" i="15"/>
  <c r="J2916" i="15"/>
  <c r="J118" i="15"/>
  <c r="J4197" i="15"/>
  <c r="J1552" i="15"/>
  <c r="J2970" i="15"/>
  <c r="J2409" i="15"/>
  <c r="J2223" i="15"/>
  <c r="J2350" i="15"/>
  <c r="J1421" i="15"/>
  <c r="J1422" i="15"/>
  <c r="J2351" i="15"/>
  <c r="J2226" i="15"/>
  <c r="J2411" i="15"/>
  <c r="J2975" i="15"/>
  <c r="J3782" i="15"/>
  <c r="J1408" i="15"/>
  <c r="J1407" i="15"/>
  <c r="J1410" i="15"/>
  <c r="J1409" i="15"/>
  <c r="J1411" i="15"/>
  <c r="J2955" i="15"/>
  <c r="J1310" i="15"/>
  <c r="J1622" i="15"/>
  <c r="J2228" i="15"/>
  <c r="J1413" i="15"/>
  <c r="J1414" i="15"/>
  <c r="J2476" i="15"/>
  <c r="J2478" i="15"/>
  <c r="J2352" i="15"/>
  <c r="J1420" i="15"/>
  <c r="J2479" i="15"/>
  <c r="J1034" i="15"/>
  <c r="J1415" i="15"/>
  <c r="J1416" i="15"/>
  <c r="J1417" i="15"/>
  <c r="J1418" i="15"/>
  <c r="J1419" i="15"/>
  <c r="J1412" i="15"/>
  <c r="J1424" i="15"/>
  <c r="J1423" i="15"/>
  <c r="J2410" i="15"/>
  <c r="J2580" i="15"/>
  <c r="J3405" i="15"/>
  <c r="J3020" i="15"/>
  <c r="J3518" i="15"/>
  <c r="J3829" i="15"/>
  <c r="J2861" i="15"/>
  <c r="J2779" i="15"/>
  <c r="J3361" i="15"/>
  <c r="J1114" i="15"/>
  <c r="J3812" i="15"/>
  <c r="J3403" i="15"/>
  <c r="J3819" i="15"/>
  <c r="J3156" i="15"/>
  <c r="J3758" i="15"/>
  <c r="J3409" i="15"/>
  <c r="J2822" i="15"/>
  <c r="J3162" i="15"/>
  <c r="J2855" i="15"/>
  <c r="J3823" i="15"/>
  <c r="J786" i="15"/>
  <c r="J1979" i="15"/>
  <c r="J3218" i="15"/>
  <c r="J1006" i="15"/>
  <c r="J1480" i="15"/>
  <c r="J2637" i="15"/>
  <c r="J1839" i="15"/>
  <c r="J1867" i="15"/>
  <c r="J1390" i="15"/>
  <c r="J1541" i="15"/>
  <c r="J3770" i="15"/>
  <c r="J3228" i="15"/>
  <c r="J2405" i="15"/>
  <c r="J754" i="15"/>
  <c r="J873" i="15"/>
  <c r="J1159" i="15"/>
  <c r="J3876" i="15"/>
  <c r="J3952" i="15"/>
  <c r="J1386" i="15"/>
  <c r="J2414" i="15"/>
  <c r="J3499" i="15"/>
  <c r="J3188" i="15"/>
  <c r="J2991" i="15"/>
  <c r="J3314" i="15"/>
  <c r="J393" i="15"/>
  <c r="J3316" i="15"/>
  <c r="J3146" i="15"/>
  <c r="J3185" i="15"/>
  <c r="J742" i="15"/>
  <c r="J4049" i="15"/>
  <c r="J3490" i="15"/>
  <c r="J3708" i="15"/>
  <c r="J2561" i="15"/>
  <c r="J3493" i="15"/>
  <c r="J3331" i="15"/>
  <c r="J3727" i="15"/>
  <c r="J1282" i="15"/>
  <c r="J1563" i="15"/>
  <c r="J4198" i="15"/>
  <c r="J1131" i="15"/>
  <c r="J4199" i="15"/>
  <c r="J74" i="15"/>
  <c r="J394" i="15"/>
  <c r="J395" i="15"/>
  <c r="J3163" i="15"/>
  <c r="J3834" i="15"/>
  <c r="J3750" i="15"/>
  <c r="J2933" i="15"/>
  <c r="J3462" i="15"/>
  <c r="J1331" i="15"/>
  <c r="J3295" i="15"/>
  <c r="J3678" i="15"/>
  <c r="J3746" i="15"/>
  <c r="J1344" i="15"/>
  <c r="J980" i="15"/>
  <c r="J985" i="15"/>
  <c r="J3266" i="15"/>
  <c r="J983" i="15"/>
  <c r="J984" i="15"/>
  <c r="J2341" i="15"/>
  <c r="J2463" i="15"/>
  <c r="J3030" i="15"/>
  <c r="J2600" i="15"/>
  <c r="J1636" i="15"/>
  <c r="J1862" i="15"/>
  <c r="J2437" i="15"/>
  <c r="J104" i="15"/>
  <c r="J1774" i="15"/>
  <c r="J2780" i="15"/>
  <c r="J3586" i="15"/>
  <c r="J3541" i="15"/>
  <c r="J34" i="15"/>
  <c r="J1260" i="15"/>
  <c r="J4200" i="15"/>
  <c r="J1767" i="15"/>
  <c r="J791" i="15"/>
  <c r="J1223" i="15"/>
  <c r="J802" i="15"/>
  <c r="J119" i="15"/>
  <c r="J3064" i="15"/>
  <c r="J805" i="15"/>
  <c r="J57" i="15"/>
  <c r="J1094" i="15"/>
  <c r="J1129" i="15"/>
  <c r="J1124" i="15"/>
  <c r="J3653" i="15"/>
  <c r="J396" i="15"/>
  <c r="J3071" i="15"/>
  <c r="J3975" i="15"/>
  <c r="J790" i="15"/>
  <c r="J397" i="15"/>
  <c r="J4063" i="15"/>
  <c r="J2493" i="15"/>
  <c r="J1764" i="15"/>
  <c r="J1556" i="15"/>
  <c r="J398" i="15"/>
  <c r="J399" i="15"/>
  <c r="J4201" i="15"/>
  <c r="J1177" i="15"/>
  <c r="J4138" i="15"/>
  <c r="J1074" i="15"/>
  <c r="J1071" i="15"/>
  <c r="J2108" i="15"/>
  <c r="J2312" i="15"/>
  <c r="J2907" i="15"/>
  <c r="J1612" i="15"/>
  <c r="J1921" i="15"/>
  <c r="J1370" i="15"/>
  <c r="J1700" i="15"/>
  <c r="J2448" i="15"/>
  <c r="J1362" i="15"/>
  <c r="J1607" i="15"/>
  <c r="J2113" i="15"/>
  <c r="J2871" i="15"/>
  <c r="J3310" i="15"/>
  <c r="J1747" i="15"/>
  <c r="J400" i="15"/>
  <c r="J401" i="15"/>
  <c r="J1670" i="15"/>
  <c r="J3407" i="15"/>
  <c r="J2172" i="15"/>
  <c r="J1319" i="15"/>
  <c r="J2446" i="15"/>
  <c r="J4011" i="15"/>
  <c r="J402" i="15"/>
  <c r="J403" i="15"/>
  <c r="J3191" i="15"/>
  <c r="J2060" i="15"/>
  <c r="J2597" i="15"/>
  <c r="J3972" i="15"/>
  <c r="J3909" i="15"/>
  <c r="J2464" i="15"/>
  <c r="J2392" i="15"/>
  <c r="J404" i="15"/>
  <c r="J3843" i="15"/>
  <c r="J2786" i="15"/>
  <c r="J405" i="15"/>
  <c r="J2924" i="15"/>
  <c r="J2355" i="15"/>
  <c r="J406" i="15"/>
  <c r="J3340" i="15"/>
  <c r="J2170" i="15"/>
  <c r="J2483" i="15"/>
  <c r="J1656" i="15"/>
  <c r="J1536" i="15"/>
  <c r="J2402" i="15"/>
  <c r="J1855" i="15"/>
  <c r="J2224" i="15"/>
  <c r="J2346" i="15"/>
  <c r="J2497" i="15"/>
  <c r="J3311" i="15"/>
  <c r="J3478" i="15"/>
  <c r="J2904" i="15"/>
  <c r="J2669" i="15"/>
  <c r="J2320" i="15"/>
  <c r="J1355" i="15"/>
  <c r="J2787" i="15"/>
  <c r="J2878" i="15"/>
  <c r="J1357" i="15"/>
  <c r="J837" i="15"/>
  <c r="J1663" i="15"/>
  <c r="J3028" i="15"/>
  <c r="J2993" i="15"/>
  <c r="J2573" i="15"/>
  <c r="J409" i="15"/>
  <c r="J2937" i="15"/>
  <c r="J410" i="15"/>
  <c r="J2332" i="15"/>
  <c r="J411" i="15"/>
  <c r="J1731" i="15"/>
  <c r="J2313" i="15"/>
  <c r="J1822" i="15"/>
  <c r="J1874" i="15"/>
  <c r="J1350" i="15"/>
  <c r="J3768" i="15"/>
  <c r="J3797" i="15"/>
  <c r="J412" i="15"/>
  <c r="J562" i="15"/>
  <c r="J3916" i="15"/>
  <c r="J2123" i="15"/>
  <c r="J2772" i="15"/>
  <c r="J2805" i="15"/>
  <c r="J3847" i="15"/>
  <c r="J4130" i="15"/>
  <c r="J3169" i="15"/>
  <c r="J1023" i="15"/>
  <c r="J3308" i="15"/>
  <c r="J2344" i="15"/>
  <c r="J2372" i="15"/>
  <c r="J3309" i="15"/>
  <c r="J41" i="15"/>
  <c r="J761" i="15"/>
  <c r="J3740" i="15"/>
  <c r="J4137" i="15"/>
  <c r="J3865" i="15"/>
  <c r="J413" i="15"/>
  <c r="J414" i="15"/>
  <c r="J124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1259" i="15"/>
  <c r="J832" i="15"/>
  <c r="J842" i="15"/>
  <c r="J848" i="15"/>
  <c r="J1318" i="15"/>
  <c r="J428" i="15"/>
  <c r="J3284" i="15"/>
  <c r="J429" i="15"/>
  <c r="J1170" i="15"/>
  <c r="J2212" i="15"/>
  <c r="J756" i="15"/>
  <c r="J753" i="15"/>
  <c r="J3287" i="15"/>
  <c r="J2151" i="15"/>
  <c r="J3237" i="15"/>
  <c r="J2837" i="15"/>
  <c r="J964" i="15"/>
  <c r="J1631" i="15"/>
  <c r="J3197" i="15"/>
  <c r="J2569" i="15"/>
  <c r="J3516" i="15"/>
  <c r="J3149" i="15"/>
  <c r="J2511" i="15"/>
  <c r="J1293" i="15"/>
  <c r="J3679" i="15"/>
  <c r="J2905" i="15"/>
  <c r="J749" i="15"/>
  <c r="J1026" i="15"/>
  <c r="J1618" i="15"/>
  <c r="J430" i="15"/>
  <c r="J2403" i="15"/>
  <c r="J3688" i="15"/>
  <c r="J431" i="15"/>
  <c r="J432" i="15"/>
  <c r="J2247" i="15"/>
  <c r="J1324" i="15"/>
  <c r="J3681" i="15"/>
  <c r="J433" i="15"/>
  <c r="J434" i="15"/>
  <c r="J2868" i="15"/>
  <c r="J1881" i="15"/>
  <c r="J927" i="15"/>
  <c r="J435" i="15"/>
  <c r="J1233" i="15"/>
  <c r="J1254" i="15"/>
  <c r="J2934" i="15"/>
  <c r="J2938" i="15"/>
  <c r="J4202" i="15"/>
  <c r="J1214" i="15"/>
  <c r="J66" i="15"/>
  <c r="J1939" i="15"/>
  <c r="J1160" i="15"/>
  <c r="J3703" i="15"/>
  <c r="J977" i="15"/>
  <c r="J2485" i="15"/>
  <c r="J3856" i="15"/>
  <c r="J3296" i="15"/>
  <c r="J3695" i="15"/>
  <c r="J3805" i="15"/>
  <c r="J3481" i="15"/>
  <c r="J3147" i="15"/>
  <c r="J3871" i="15"/>
  <c r="J3519" i="15"/>
  <c r="J3524" i="15"/>
  <c r="J3933" i="15"/>
  <c r="J829" i="15"/>
  <c r="J3762" i="15"/>
  <c r="J3503" i="15"/>
  <c r="J3531" i="15"/>
  <c r="J3484" i="15"/>
  <c r="J3491" i="15"/>
  <c r="J3766" i="15"/>
  <c r="J1860" i="15"/>
  <c r="J1542" i="15"/>
  <c r="J1749" i="15"/>
  <c r="J4067" i="15"/>
  <c r="J3436" i="15"/>
  <c r="J2604" i="15"/>
  <c r="J2077" i="15"/>
  <c r="J954" i="15"/>
  <c r="J2080" i="15"/>
  <c r="J932" i="15"/>
  <c r="J1028" i="15"/>
  <c r="J3977" i="15"/>
  <c r="J1566" i="15"/>
  <c r="J2926" i="15"/>
  <c r="J1859" i="15"/>
  <c r="J4203" i="15"/>
  <c r="J1137" i="15"/>
  <c r="J2651" i="15"/>
  <c r="J3543" i="15"/>
  <c r="J2657" i="15"/>
  <c r="J1765" i="15"/>
  <c r="J436" i="15"/>
  <c r="J804" i="15"/>
  <c r="J738" i="15"/>
  <c r="J437" i="15"/>
  <c r="J3647" i="15"/>
  <c r="J3463" i="15"/>
  <c r="J3765" i="15"/>
  <c r="J2585" i="15"/>
  <c r="J2144" i="15"/>
  <c r="J3924" i="15"/>
  <c r="J3525" i="15"/>
  <c r="J2482" i="15"/>
  <c r="J2908" i="15"/>
  <c r="J1704" i="15"/>
  <c r="J2298" i="15"/>
  <c r="J1676" i="15"/>
  <c r="J2376" i="15"/>
  <c r="J2342" i="15"/>
  <c r="J438" i="15"/>
  <c r="J1011" i="15"/>
  <c r="J2578" i="15"/>
  <c r="J2244" i="15"/>
  <c r="J3993" i="15"/>
  <c r="J3890" i="15"/>
  <c r="J3899" i="15"/>
  <c r="J1136" i="15"/>
  <c r="J1941" i="15"/>
  <c r="J3995" i="15"/>
  <c r="J3996" i="15"/>
  <c r="J3997" i="15"/>
  <c r="J3994" i="15"/>
  <c r="J2876" i="15"/>
  <c r="J1001" i="15"/>
  <c r="J3364" i="15"/>
  <c r="J9" i="15"/>
  <c r="J105" i="15"/>
  <c r="J33" i="15"/>
  <c r="J100" i="15"/>
  <c r="J3661" i="15"/>
  <c r="J3637" i="15"/>
  <c r="J1584" i="15"/>
  <c r="J1444" i="15"/>
  <c r="J1919" i="15"/>
  <c r="J1744" i="15"/>
  <c r="J439" i="15"/>
  <c r="J440" i="15"/>
  <c r="J441" i="15"/>
  <c r="J442" i="15"/>
  <c r="J443" i="15"/>
  <c r="J444" i="15"/>
  <c r="J4204" i="15"/>
  <c r="J1093" i="15"/>
  <c r="J2558" i="15"/>
  <c r="J2022" i="15"/>
  <c r="J58" i="15"/>
  <c r="J1125" i="15"/>
  <c r="J59" i="15"/>
  <c r="J3183" i="15"/>
  <c r="J2020" i="15"/>
  <c r="J445" i="15"/>
  <c r="J2658" i="15"/>
  <c r="J1768" i="15"/>
  <c r="J3662" i="15"/>
  <c r="J3539" i="15"/>
  <c r="J446" i="15"/>
  <c r="J1306" i="15"/>
  <c r="J4205" i="15"/>
  <c r="J1216" i="15"/>
  <c r="J2765" i="15"/>
  <c r="J2726" i="15"/>
  <c r="J3229" i="15"/>
  <c r="J782" i="15"/>
  <c r="J1928" i="15"/>
  <c r="J3638" i="15"/>
  <c r="J2565" i="15"/>
  <c r="J4069" i="15"/>
  <c r="J3628" i="15"/>
  <c r="J55" i="15"/>
  <c r="J893" i="15"/>
  <c r="J1153" i="15"/>
  <c r="J2834" i="15"/>
  <c r="J3378" i="15"/>
  <c r="J2851" i="15"/>
  <c r="J1585" i="15"/>
  <c r="J1039" i="15"/>
  <c r="J800" i="15"/>
  <c r="J2826" i="15"/>
  <c r="J3221" i="15"/>
  <c r="J2688" i="15"/>
  <c r="J3917" i="15"/>
  <c r="J3706" i="15"/>
  <c r="J4031" i="15"/>
  <c r="J3382" i="15"/>
  <c r="J1029" i="15"/>
  <c r="J3991" i="15"/>
  <c r="J1321" i="15"/>
  <c r="J3054" i="15"/>
  <c r="J2474" i="15"/>
  <c r="J2016" i="15"/>
  <c r="J3404" i="15"/>
  <c r="J85" i="15"/>
  <c r="J2052" i="15"/>
  <c r="J891" i="15"/>
  <c r="J1697" i="15"/>
  <c r="J2473" i="15"/>
  <c r="J2638" i="15"/>
  <c r="J1455" i="15"/>
  <c r="J2809" i="15"/>
  <c r="J1393" i="15"/>
  <c r="J1787" i="15"/>
  <c r="J2927" i="15"/>
  <c r="J2847" i="15"/>
  <c r="J1812" i="15"/>
  <c r="J3960" i="15"/>
  <c r="J3223" i="15"/>
  <c r="J3186" i="15"/>
  <c r="J4050" i="15"/>
  <c r="J1209" i="15"/>
  <c r="J3726" i="15"/>
  <c r="J2740" i="15"/>
  <c r="J1713" i="15"/>
  <c r="J3910" i="15"/>
  <c r="J4206" i="15"/>
  <c r="J69" i="15"/>
  <c r="J1665" i="15"/>
  <c r="J3588" i="15"/>
  <c r="J2668" i="15"/>
  <c r="J1123" i="15"/>
  <c r="J2178" i="15"/>
  <c r="J2627" i="15"/>
  <c r="J3010" i="15"/>
  <c r="J969" i="15"/>
  <c r="J447" i="15"/>
  <c r="J448" i="15"/>
  <c r="J991" i="15"/>
  <c r="J3110" i="15"/>
  <c r="J449" i="15"/>
  <c r="J3619" i="15"/>
  <c r="J3242" i="15"/>
  <c r="J2591" i="15"/>
  <c r="J1543" i="15"/>
  <c r="J1937" i="15"/>
  <c r="J450" i="15"/>
  <c r="J2360" i="15"/>
  <c r="J2481" i="15"/>
  <c r="J3940" i="15"/>
  <c r="J3234" i="15"/>
  <c r="J3157" i="15"/>
  <c r="J451" i="15"/>
  <c r="J748" i="15"/>
  <c r="J3302" i="15"/>
  <c r="J452" i="15"/>
  <c r="J2632" i="15"/>
  <c r="J1959" i="15"/>
  <c r="J453" i="15"/>
  <c r="J1914" i="15"/>
  <c r="J4103" i="15"/>
  <c r="J1550" i="15"/>
  <c r="J2001" i="15"/>
  <c r="J2794" i="15"/>
  <c r="J1948" i="15"/>
  <c r="J454" i="15"/>
  <c r="J1069" i="15"/>
  <c r="J1926" i="15"/>
  <c r="J2666" i="15"/>
  <c r="J3249" i="15"/>
  <c r="J3979" i="15"/>
  <c r="J2296" i="15"/>
  <c r="J3809" i="15"/>
  <c r="J455" i="15"/>
  <c r="J456" i="15"/>
  <c r="J2633" i="15"/>
  <c r="J457" i="15"/>
  <c r="J2915" i="15"/>
  <c r="J1236" i="15"/>
  <c r="J1238" i="15"/>
  <c r="J458" i="15"/>
  <c r="J459" i="15"/>
  <c r="J460" i="15"/>
  <c r="J3210" i="15"/>
  <c r="J807" i="15"/>
  <c r="J4207" i="15"/>
  <c r="J1274" i="15"/>
  <c r="J2615" i="15"/>
  <c r="J2614" i="15"/>
  <c r="J2620" i="15"/>
  <c r="J1201" i="15"/>
  <c r="J461" i="15"/>
  <c r="J4208" i="15"/>
  <c r="J18" i="15"/>
  <c r="J4209" i="15"/>
  <c r="J115" i="15"/>
  <c r="J2516" i="15"/>
  <c r="J1630" i="15"/>
  <c r="J2782" i="15"/>
  <c r="J462" i="15"/>
  <c r="J463" i="15"/>
  <c r="J464" i="15"/>
  <c r="J465" i="15"/>
  <c r="J4009" i="15"/>
  <c r="J2960" i="15"/>
  <c r="J2958" i="15"/>
  <c r="J466" i="15"/>
  <c r="J467" i="15"/>
  <c r="J1829" i="15"/>
  <c r="J468" i="15"/>
  <c r="J4026" i="15"/>
  <c r="J3796" i="15"/>
  <c r="J469" i="15"/>
  <c r="J2879" i="15"/>
  <c r="J3139" i="15"/>
  <c r="J470" i="15"/>
  <c r="J471" i="15"/>
  <c r="J472" i="15"/>
  <c r="J2954" i="15"/>
  <c r="J2477" i="15"/>
  <c r="J1689" i="15"/>
  <c r="J1252" i="15"/>
  <c r="J1255" i="15"/>
  <c r="J3171" i="15"/>
  <c r="J473" i="15"/>
  <c r="J474" i="15"/>
  <c r="J1366" i="15"/>
  <c r="J475" i="15"/>
  <c r="J476" i="15"/>
  <c r="J2959" i="15"/>
  <c r="J477" i="15"/>
  <c r="J2957" i="15"/>
  <c r="J2161" i="15"/>
  <c r="J2182" i="15"/>
  <c r="J3506" i="15"/>
  <c r="J821" i="15"/>
  <c r="J4210" i="15"/>
  <c r="J923" i="15"/>
  <c r="J2594" i="15"/>
  <c r="J2592" i="15"/>
  <c r="J3715" i="15"/>
  <c r="J747" i="15"/>
  <c r="J81" i="15"/>
  <c r="J1785" i="15"/>
  <c r="J2595" i="15"/>
  <c r="J2828" i="15"/>
  <c r="J1199" i="15"/>
  <c r="J2727" i="15"/>
  <c r="J2033" i="15"/>
  <c r="J3534" i="15"/>
  <c r="J1844" i="15"/>
  <c r="J4094" i="15"/>
  <c r="J4095" i="15"/>
  <c r="J1352" i="15"/>
  <c r="J1353" i="15"/>
  <c r="J1354" i="15"/>
  <c r="J1351" i="15"/>
  <c r="J2233" i="15"/>
  <c r="J4211" i="15"/>
  <c r="J1392" i="15"/>
  <c r="J2623" i="15"/>
  <c r="J1539" i="15"/>
  <c r="J2616" i="15"/>
  <c r="J478" i="15"/>
  <c r="J479" i="15"/>
  <c r="J4212" i="15"/>
  <c r="J2619" i="15"/>
  <c r="J4213" i="15"/>
  <c r="J811" i="15"/>
  <c r="J3701" i="15"/>
  <c r="J1782" i="15"/>
  <c r="J3449" i="15"/>
  <c r="J1032" i="15"/>
  <c r="J3052" i="15"/>
  <c r="J2487" i="15"/>
  <c r="J915" i="15"/>
  <c r="J3585" i="15"/>
  <c r="J2628" i="15"/>
  <c r="J3654" i="15"/>
  <c r="J3648" i="15"/>
  <c r="J3544" i="15"/>
  <c r="J2563" i="15"/>
  <c r="J2601" i="15"/>
  <c r="J2670" i="15"/>
  <c r="J2763" i="15"/>
  <c r="J1900" i="15"/>
  <c r="J3717" i="15"/>
  <c r="J3318" i="15"/>
  <c r="J2388" i="15"/>
  <c r="J2605" i="15"/>
  <c r="J26" i="15"/>
  <c r="J3512" i="15"/>
  <c r="J1878" i="15"/>
  <c r="J2373" i="15"/>
  <c r="J3368" i="15"/>
  <c r="J3294" i="15"/>
  <c r="J1757" i="15"/>
  <c r="J2766" i="15"/>
  <c r="J3675" i="15"/>
  <c r="J4122" i="15"/>
  <c r="J3134" i="15"/>
  <c r="J4082" i="15"/>
  <c r="J3704" i="15"/>
  <c r="J108" i="15"/>
  <c r="J1886" i="15"/>
  <c r="J2299" i="15"/>
  <c r="J935" i="15"/>
  <c r="J1314" i="15"/>
  <c r="J480" i="15"/>
  <c r="J1256" i="15"/>
  <c r="J1277" i="15"/>
  <c r="J1288" i="15"/>
  <c r="J2273" i="15"/>
  <c r="J1885" i="15"/>
  <c r="J4214" i="15"/>
  <c r="J112" i="15"/>
  <c r="J1733" i="15"/>
  <c r="J2935" i="15"/>
  <c r="J98" i="15"/>
  <c r="J42" i="15"/>
  <c r="J2436" i="15"/>
  <c r="J1655" i="15"/>
  <c r="J116" i="15"/>
  <c r="J3479" i="15"/>
  <c r="J3299" i="15"/>
  <c r="J3148" i="15"/>
  <c r="J3161" i="15"/>
  <c r="J2880" i="15"/>
  <c r="J2829" i="15"/>
  <c r="J1335" i="15"/>
  <c r="J481" i="15"/>
  <c r="J1333" i="15"/>
  <c r="J2652" i="15"/>
  <c r="J482" i="15"/>
  <c r="J483" i="15"/>
  <c r="J2510" i="15"/>
  <c r="J484" i="15"/>
  <c r="J485" i="15"/>
  <c r="J1810" i="15"/>
  <c r="J1361" i="15"/>
  <c r="J2480" i="15"/>
  <c r="J4019" i="15"/>
  <c r="J4023" i="15"/>
  <c r="J3682" i="15"/>
  <c r="J3684" i="15"/>
  <c r="J1863" i="15"/>
  <c r="J3151" i="15"/>
  <c r="J3153" i="15"/>
  <c r="J3798" i="15"/>
  <c r="J486" i="15"/>
  <c r="J2150" i="15"/>
  <c r="J1882" i="15"/>
  <c r="J4215" i="15"/>
  <c r="J1465" i="15"/>
  <c r="J487" i="15"/>
  <c r="J1462" i="15"/>
  <c r="J1471" i="15"/>
  <c r="J43" i="15"/>
  <c r="J488" i="15"/>
  <c r="J489" i="15"/>
  <c r="J490" i="15"/>
  <c r="J491" i="15"/>
  <c r="J1466" i="15"/>
  <c r="J1470" i="15"/>
  <c r="J767" i="15"/>
  <c r="J764" i="15"/>
  <c r="J4216" i="15"/>
  <c r="J1173" i="15"/>
  <c r="J2593" i="15"/>
  <c r="J492" i="15"/>
  <c r="J493" i="15"/>
  <c r="J494" i="15"/>
  <c r="J495" i="15"/>
  <c r="J2624" i="15"/>
  <c r="J1610" i="15"/>
  <c r="J4217" i="15"/>
  <c r="J2037" i="15"/>
  <c r="J2035" i="15"/>
  <c r="J3250" i="15"/>
  <c r="J1072" i="15"/>
  <c r="J496" i="15"/>
  <c r="J2760" i="15"/>
  <c r="J2642" i="15"/>
  <c r="J2728" i="15"/>
  <c r="J3027" i="15"/>
  <c r="J497" i="15"/>
  <c r="J2128" i="15"/>
  <c r="J2129" i="15"/>
  <c r="J2165" i="15"/>
  <c r="J2534" i="15"/>
  <c r="J2539" i="15"/>
  <c r="J2153" i="15"/>
  <c r="J4218" i="15"/>
  <c r="J3386" i="15"/>
  <c r="J3395" i="15"/>
  <c r="J2272" i="15"/>
  <c r="J2274" i="15"/>
  <c r="J498" i="15"/>
  <c r="J2180" i="15"/>
  <c r="J2235" i="15"/>
  <c r="J499" i="15"/>
  <c r="J1262" i="15"/>
  <c r="J500" i="15"/>
  <c r="J29" i="15"/>
  <c r="J2266" i="15"/>
  <c r="J2147" i="15"/>
  <c r="J501" i="15"/>
  <c r="J49" i="15"/>
  <c r="J1971" i="15"/>
  <c r="J3277" i="15"/>
  <c r="J3256" i="15"/>
  <c r="J2643" i="15"/>
  <c r="J3272" i="15"/>
  <c r="J2748" i="15"/>
  <c r="J2761" i="15"/>
  <c r="J2645" i="15"/>
  <c r="J3270" i="15"/>
  <c r="J3259" i="15"/>
  <c r="J3274" i="15"/>
  <c r="J3251" i="15"/>
  <c r="J3248" i="15"/>
  <c r="J3265" i="15"/>
  <c r="J3196" i="15"/>
  <c r="J3200" i="15"/>
  <c r="J3280" i="15"/>
  <c r="J1641" i="15"/>
  <c r="J4219" i="15"/>
  <c r="J1095" i="15"/>
  <c r="J64" i="15"/>
  <c r="J4" i="15"/>
  <c r="J1044" i="15"/>
  <c r="J1042" i="15"/>
  <c r="J1043" i="15"/>
  <c r="J1048" i="15"/>
  <c r="J4220" i="15"/>
  <c r="J1664" i="15"/>
  <c r="J4221" i="15"/>
  <c r="J19" i="15"/>
  <c r="J4222" i="15"/>
  <c r="J1108" i="15"/>
  <c r="J1118" i="15"/>
  <c r="J1135" i="15"/>
  <c r="J1172" i="15"/>
  <c r="J1198" i="15"/>
  <c r="J502" i="15"/>
  <c r="J503" i="15"/>
  <c r="J504" i="15"/>
  <c r="J505" i="15"/>
  <c r="J506" i="15"/>
  <c r="J507" i="15"/>
  <c r="J1336" i="15"/>
  <c r="J1387" i="15"/>
  <c r="J1327" i="15"/>
  <c r="J4074" i="15"/>
  <c r="J1574" i="15"/>
  <c r="J870" i="15"/>
  <c r="J3591" i="15"/>
  <c r="J2639" i="15"/>
  <c r="J4034" i="15"/>
  <c r="J508" i="15"/>
  <c r="J760" i="15"/>
  <c r="J3791" i="15"/>
  <c r="J1450" i="15"/>
  <c r="J3215" i="15"/>
  <c r="J1980" i="15"/>
  <c r="J509" i="15"/>
  <c r="J1672" i="15"/>
  <c r="J3799" i="15"/>
  <c r="J3224" i="15"/>
  <c r="J2640" i="15"/>
  <c r="J1742" i="15"/>
  <c r="J3515" i="15"/>
  <c r="J2084" i="15"/>
  <c r="J2734" i="15"/>
  <c r="J1445" i="15"/>
  <c r="J4223" i="15"/>
  <c r="J897" i="15"/>
  <c r="J899" i="15"/>
  <c r="J896" i="15"/>
  <c r="J902" i="15"/>
  <c r="J4224" i="15"/>
  <c r="J2659" i="15"/>
  <c r="J2029" i="15"/>
  <c r="J1126" i="15"/>
  <c r="J3600" i="15"/>
  <c r="J801" i="15"/>
  <c r="J3072" i="15"/>
  <c r="J2021" i="15"/>
  <c r="J1554" i="15"/>
  <c r="J60" i="15"/>
  <c r="J792" i="15"/>
  <c r="J510" i="15"/>
  <c r="J511" i="15"/>
  <c r="J741" i="15"/>
  <c r="J1132" i="15"/>
  <c r="J3631" i="15"/>
  <c r="J3626" i="15"/>
  <c r="J2660" i="15"/>
  <c r="J3611" i="15"/>
  <c r="J3053" i="15"/>
  <c r="J512" i="15"/>
  <c r="J3649" i="15"/>
  <c r="J1562" i="15"/>
  <c r="J4225" i="15"/>
  <c r="J2071" i="15"/>
  <c r="J1728" i="15"/>
  <c r="J2587" i="15"/>
  <c r="J1526" i="15"/>
  <c r="J3225" i="15"/>
  <c r="J3948" i="15"/>
  <c r="J3953" i="15"/>
  <c r="J4140" i="15"/>
  <c r="J1481" i="15"/>
  <c r="J781" i="15"/>
  <c r="J4096" i="15"/>
  <c r="J3467" i="15"/>
  <c r="J1298" i="15"/>
  <c r="J1675" i="15"/>
  <c r="J3813" i="15"/>
  <c r="J3937" i="15"/>
  <c r="J1604" i="15"/>
  <c r="J1836" i="15"/>
  <c r="J1036" i="15"/>
  <c r="J2848" i="15"/>
  <c r="J2845" i="15"/>
  <c r="J1680" i="15"/>
  <c r="J3714" i="15"/>
  <c r="J1679" i="15"/>
  <c r="J2407" i="15"/>
  <c r="J2471" i="15"/>
  <c r="J1251" i="15"/>
  <c r="J4226" i="15"/>
  <c r="J129" i="15"/>
  <c r="J1110" i="15"/>
  <c r="J1143" i="15"/>
  <c r="J1148" i="15"/>
  <c r="J1525" i="15"/>
  <c r="J3973" i="15"/>
  <c r="J1391" i="15"/>
  <c r="J796" i="15"/>
  <c r="J3931" i="15"/>
  <c r="J1781" i="15"/>
  <c r="J1699" i="15"/>
  <c r="J1403" i="15"/>
  <c r="J1608" i="15"/>
  <c r="J2706" i="15"/>
  <c r="J2051" i="15"/>
  <c r="J1007" i="15"/>
  <c r="J3964" i="15"/>
  <c r="J80" i="15"/>
  <c r="J3885" i="15"/>
  <c r="J1718" i="15"/>
  <c r="J1035" i="15"/>
  <c r="J1779" i="15"/>
  <c r="J2417" i="15"/>
  <c r="J1376" i="15"/>
  <c r="J1698" i="15"/>
  <c r="J1004" i="15"/>
  <c r="J1374" i="15"/>
  <c r="J921" i="15"/>
  <c r="J1459" i="15"/>
  <c r="J2424" i="15"/>
  <c r="J4107" i="15"/>
  <c r="J3883" i="15"/>
  <c r="J993" i="15"/>
  <c r="J2050" i="15"/>
  <c r="J1752" i="15"/>
  <c r="J2185" i="15"/>
  <c r="J2049" i="15"/>
  <c r="J3359" i="15"/>
  <c r="J2415" i="15"/>
  <c r="J1265" i="15"/>
  <c r="J4227" i="15"/>
  <c r="J513" i="15"/>
  <c r="J888" i="15"/>
  <c r="J912" i="15"/>
  <c r="J911" i="15"/>
  <c r="J946" i="15"/>
  <c r="J947" i="15"/>
  <c r="J3587" i="15"/>
  <c r="J2671" i="15"/>
  <c r="J3036" i="15"/>
  <c r="J2719" i="15"/>
  <c r="J2014" i="15"/>
  <c r="J2011" i="15"/>
  <c r="J4064" i="15"/>
  <c r="J887" i="15"/>
  <c r="J3561" i="15"/>
  <c r="J875" i="15"/>
  <c r="J885" i="15"/>
  <c r="J925" i="15"/>
  <c r="J1041" i="15"/>
  <c r="J107" i="15"/>
  <c r="J7" i="15"/>
  <c r="J976" i="15"/>
  <c r="J1402" i="15"/>
  <c r="J4228" i="15"/>
  <c r="J14" i="15"/>
  <c r="J1138" i="15"/>
  <c r="J1142" i="15"/>
  <c r="J1144" i="15"/>
  <c r="J1149" i="15"/>
  <c r="J1157" i="15"/>
  <c r="J514" i="15"/>
  <c r="J515" i="15"/>
  <c r="J516" i="15"/>
  <c r="J517" i="15"/>
  <c r="J518" i="15"/>
  <c r="J519" i="15"/>
  <c r="J520" i="15"/>
  <c r="J521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2909" i="15"/>
  <c r="J563" i="15"/>
  <c r="J564" i="15"/>
  <c r="J565" i="15"/>
  <c r="J566" i="15"/>
  <c r="J567" i="15"/>
  <c r="J1166" i="15"/>
  <c r="J1269" i="15"/>
  <c r="J3124" i="15"/>
  <c r="J3601" i="15"/>
  <c r="J2502" i="15"/>
  <c r="J2663" i="15"/>
  <c r="J4093" i="15"/>
  <c r="J1780" i="15"/>
  <c r="J1013" i="15"/>
  <c r="J744" i="15"/>
  <c r="J2053" i="15"/>
  <c r="J1637" i="15"/>
  <c r="J1019" i="15"/>
  <c r="J568" i="15"/>
  <c r="J53" i="15"/>
  <c r="J3125" i="15"/>
  <c r="J2057" i="15"/>
  <c r="J799" i="15"/>
  <c r="J2667" i="15"/>
  <c r="J3912" i="15"/>
  <c r="J3913" i="15"/>
  <c r="J868" i="15"/>
  <c r="J4229" i="15"/>
  <c r="J127" i="15"/>
  <c r="J128" i="15"/>
  <c r="J407" i="15"/>
  <c r="J1111" i="15"/>
  <c r="J569" i="15"/>
  <c r="J1145" i="15"/>
  <c r="J1147" i="15"/>
  <c r="J1162" i="15"/>
  <c r="J1163" i="15"/>
  <c r="J1164" i="15"/>
  <c r="J1165" i="15"/>
  <c r="J1217" i="15"/>
  <c r="J1248" i="15"/>
  <c r="J3468" i="15"/>
  <c r="J3732" i="15"/>
  <c r="J4055" i="15"/>
  <c r="J1140" i="15"/>
  <c r="J3739" i="15"/>
  <c r="J3738" i="15"/>
  <c r="J3795" i="15"/>
  <c r="J2465" i="15"/>
  <c r="J1296" i="15"/>
  <c r="J3734" i="15"/>
  <c r="J3927" i="15"/>
  <c r="J1793" i="15"/>
  <c r="J2574" i="15"/>
  <c r="J3731" i="15"/>
  <c r="J1008" i="15"/>
  <c r="J3832" i="15"/>
  <c r="J2278" i="15"/>
  <c r="J1852" i="15"/>
  <c r="J2043" i="15"/>
  <c r="J2783" i="15"/>
  <c r="J95" i="15"/>
  <c r="J3145" i="15"/>
  <c r="J3291" i="15"/>
  <c r="J2556" i="15"/>
  <c r="J3992" i="15"/>
  <c r="J2009" i="15"/>
  <c r="J2047" i="15"/>
  <c r="J570" i="15"/>
  <c r="J3881" i="15"/>
  <c r="J77" i="15"/>
  <c r="J869" i="15"/>
  <c r="J926" i="15"/>
  <c r="J3956" i="15"/>
  <c r="J939" i="15"/>
  <c r="J884" i="15"/>
  <c r="J2048" i="15"/>
  <c r="J3741" i="15"/>
  <c r="J886" i="15"/>
  <c r="J1453" i="15"/>
  <c r="J1559" i="15"/>
  <c r="J571" i="15"/>
  <c r="J3915" i="15"/>
  <c r="J2046" i="15"/>
  <c r="J3289" i="15"/>
  <c r="J3733" i="15"/>
  <c r="J3725" i="15"/>
  <c r="J3754" i="15"/>
  <c r="J1755" i="15"/>
  <c r="J905" i="15"/>
  <c r="J3317" i="15"/>
  <c r="J4113" i="15"/>
  <c r="J3307" i="15"/>
  <c r="J2045" i="15"/>
  <c r="J3946" i="15"/>
  <c r="J1945" i="15"/>
  <c r="J4030" i="15"/>
  <c r="J3304" i="15"/>
  <c r="J1038" i="15"/>
  <c r="J755" i="15"/>
  <c r="J922" i="15"/>
  <c r="J2044" i="15"/>
  <c r="J1325" i="15"/>
  <c r="J1940" i="15"/>
  <c r="J2419" i="15"/>
  <c r="J3853" i="15"/>
  <c r="J572" i="15"/>
  <c r="J2418" i="15"/>
  <c r="J573" i="15"/>
  <c r="J574" i="15"/>
  <c r="J575" i="15"/>
  <c r="J576" i="15"/>
  <c r="J577" i="15"/>
  <c r="J578" i="15"/>
  <c r="J1724" i="15"/>
  <c r="J579" i="15"/>
  <c r="J1884" i="15"/>
  <c r="J580" i="15"/>
  <c r="J581" i="15"/>
  <c r="J582" i="15"/>
  <c r="J3144" i="15"/>
  <c r="J3974" i="15"/>
  <c r="J583" i="15"/>
  <c r="J584" i="15"/>
  <c r="J585" i="15"/>
  <c r="J3882" i="15"/>
  <c r="J3432" i="15"/>
  <c r="J2280" i="15"/>
  <c r="J1281" i="15"/>
  <c r="J4230" i="15"/>
  <c r="J1200" i="15"/>
  <c r="J1030" i="15"/>
  <c r="J1025" i="15"/>
  <c r="J1150" i="15"/>
  <c r="J1613" i="15"/>
  <c r="J54" i="15"/>
  <c r="J586" i="15"/>
  <c r="J587" i="15"/>
  <c r="J2039" i="15"/>
  <c r="J3958" i="15"/>
  <c r="J2606" i="15"/>
  <c r="J909" i="15"/>
  <c r="J588" i="15"/>
  <c r="J589" i="15"/>
  <c r="J590" i="15"/>
  <c r="J591" i="15"/>
  <c r="J872" i="15"/>
  <c r="J2513" i="15"/>
  <c r="J3492" i="15"/>
  <c r="J3811" i="15"/>
  <c r="J2541" i="15"/>
  <c r="J2610" i="15"/>
  <c r="J1018" i="15"/>
  <c r="J592" i="15"/>
  <c r="J593" i="15"/>
  <c r="J594" i="15"/>
  <c r="J595" i="15"/>
  <c r="J596" i="15"/>
  <c r="J597" i="15"/>
  <c r="J3476" i="15"/>
  <c r="J877" i="15"/>
  <c r="J1706" i="15"/>
  <c r="J1031" i="15"/>
  <c r="J919" i="15"/>
  <c r="J598" i="15"/>
  <c r="J2289" i="15"/>
  <c r="J599" i="15"/>
  <c r="J1702" i="15"/>
  <c r="J3523" i="15"/>
  <c r="J906" i="15"/>
  <c r="J1116" i="15"/>
  <c r="J600" i="15"/>
  <c r="J601" i="15"/>
  <c r="J602" i="15"/>
  <c r="J603" i="15"/>
  <c r="J604" i="15"/>
  <c r="J2856" i="15"/>
  <c r="J605" i="15"/>
  <c r="J2073" i="15"/>
  <c r="J606" i="15"/>
  <c r="J607" i="15"/>
  <c r="J608" i="15"/>
  <c r="J609" i="15"/>
  <c r="J3520" i="15"/>
  <c r="J4231" i="15"/>
  <c r="J1158" i="15"/>
  <c r="J1174" i="15"/>
  <c r="J1196" i="15"/>
  <c r="J1210" i="15"/>
  <c r="J610" i="15"/>
  <c r="J611" i="15"/>
  <c r="J612" i="15"/>
  <c r="J613" i="15"/>
  <c r="J1234" i="15"/>
  <c r="J614" i="15"/>
  <c r="J615" i="15"/>
  <c r="J616" i="15"/>
  <c r="J617" i="15"/>
  <c r="J1253" i="15"/>
  <c r="J618" i="15"/>
  <c r="J619" i="15"/>
  <c r="J620" i="15"/>
  <c r="J778" i="15"/>
  <c r="J78" i="15"/>
  <c r="J974" i="15"/>
  <c r="J621" i="15"/>
  <c r="J622" i="15"/>
  <c r="J623" i="15"/>
  <c r="J2072" i="15"/>
  <c r="J1893" i="15"/>
  <c r="J624" i="15"/>
  <c r="J968" i="15"/>
  <c r="J1714" i="15"/>
  <c r="J1050" i="15"/>
  <c r="J1051" i="15"/>
  <c r="J751" i="15"/>
  <c r="J625" i="15"/>
  <c r="J1609" i="15"/>
  <c r="J97" i="15"/>
  <c r="J1379" i="15"/>
  <c r="J2054" i="15"/>
  <c r="J2950" i="15"/>
  <c r="J1380" i="15"/>
  <c r="J759" i="15"/>
  <c r="J1690" i="15"/>
  <c r="J3892" i="15"/>
  <c r="J1341" i="15"/>
  <c r="J626" i="15"/>
  <c r="J627" i="15"/>
  <c r="J3006" i="15"/>
  <c r="J91" i="15"/>
  <c r="J628" i="15"/>
  <c r="J780" i="15"/>
  <c r="J2083" i="15"/>
  <c r="J1009" i="15"/>
  <c r="J1736" i="15"/>
  <c r="J2489" i="15"/>
  <c r="J629" i="15"/>
  <c r="J630" i="15"/>
  <c r="J2353" i="15"/>
  <c r="J1951" i="15"/>
  <c r="J3440" i="15"/>
  <c r="J631" i="15"/>
  <c r="J2220" i="15"/>
  <c r="J2218" i="15"/>
  <c r="J2164" i="15"/>
  <c r="J632" i="15"/>
  <c r="J2168" i="15"/>
  <c r="J1280" i="15"/>
  <c r="J2677" i="15"/>
  <c r="J2227" i="15"/>
  <c r="J2167" i="15"/>
  <c r="J633" i="15"/>
  <c r="J634" i="15"/>
  <c r="J4232" i="15"/>
  <c r="J2174" i="15"/>
  <c r="J2712" i="15"/>
  <c r="J1012" i="15"/>
  <c r="J1469" i="15"/>
  <c r="J2744" i="15"/>
  <c r="J635" i="15"/>
  <c r="J636" i="15"/>
  <c r="J637" i="15"/>
  <c r="J638" i="15"/>
  <c r="J3572" i="15"/>
  <c r="J639" i="15"/>
  <c r="J640" i="15"/>
  <c r="J641" i="15"/>
  <c r="J642" i="15"/>
  <c r="J3546" i="15"/>
  <c r="J643" i="15"/>
  <c r="J3624" i="15"/>
  <c r="J2999" i="15"/>
  <c r="J2702" i="15"/>
  <c r="J4233" i="15"/>
  <c r="J4145" i="15"/>
  <c r="J843" i="15"/>
  <c r="J862" i="15"/>
  <c r="J815" i="15"/>
  <c r="J4234" i="15"/>
  <c r="J126" i="15"/>
  <c r="J1077" i="15"/>
  <c r="J6" i="15"/>
  <c r="J644" i="15"/>
  <c r="J645" i="15"/>
  <c r="J646" i="15"/>
  <c r="J971" i="15"/>
  <c r="J2056" i="15"/>
  <c r="J1141" i="15"/>
  <c r="J2068" i="15"/>
  <c r="J647" i="15"/>
  <c r="J648" i="15"/>
  <c r="J1783" i="15"/>
  <c r="J4027" i="15"/>
  <c r="J3757" i="15"/>
  <c r="J3755" i="15"/>
  <c r="J2030" i="15"/>
  <c r="J1388" i="15"/>
  <c r="J3742" i="15"/>
  <c r="J2899" i="15"/>
  <c r="J2588" i="15"/>
  <c r="J2984" i="15"/>
  <c r="J2456" i="15"/>
  <c r="J2454" i="15"/>
  <c r="J27" i="15"/>
  <c r="J4070" i="15"/>
  <c r="J1564" i="15"/>
  <c r="J3236" i="15"/>
  <c r="J2560" i="15"/>
  <c r="J3718" i="15"/>
  <c r="J1193" i="15"/>
  <c r="J649" i="15"/>
  <c r="J1894" i="15"/>
  <c r="J3743" i="15"/>
  <c r="J3365" i="15"/>
  <c r="J2812" i="15"/>
  <c r="J3450" i="15"/>
  <c r="J2408" i="15"/>
  <c r="J4235" i="15"/>
  <c r="J986" i="15"/>
  <c r="J2062" i="15"/>
  <c r="J3820" i="15"/>
  <c r="J1363" i="15"/>
  <c r="J3406" i="15"/>
  <c r="J1693" i="15"/>
  <c r="J650" i="15"/>
  <c r="J2602" i="15"/>
  <c r="J3947" i="15"/>
  <c r="J1330" i="15"/>
  <c r="J2069" i="15"/>
  <c r="J3783" i="15"/>
  <c r="J1176" i="15"/>
  <c r="J651" i="15"/>
  <c r="J1634" i="15"/>
  <c r="J63" i="15"/>
  <c r="J871" i="15"/>
  <c r="J1703" i="15"/>
  <c r="J3474" i="15"/>
  <c r="J1673" i="15"/>
  <c r="J2832" i="15"/>
  <c r="J1758" i="15"/>
  <c r="J2303" i="15"/>
  <c r="J1750" i="15"/>
  <c r="J1901" i="15"/>
  <c r="J1337" i="15"/>
  <c r="J3187" i="15"/>
  <c r="J4039" i="15"/>
  <c r="J3091" i="15"/>
  <c r="J3363" i="15"/>
  <c r="J1290" i="15"/>
  <c r="J4236" i="15"/>
  <c r="J2680" i="15"/>
  <c r="J2757" i="15"/>
  <c r="J652" i="15"/>
  <c r="J4020" i="15"/>
  <c r="J1468" i="15"/>
  <c r="J653" i="15"/>
  <c r="J654" i="15"/>
  <c r="J3643" i="15"/>
  <c r="J655" i="15"/>
  <c r="J2284" i="15"/>
  <c r="J3606" i="15"/>
  <c r="J4237" i="15"/>
  <c r="J774" i="15"/>
  <c r="J3698" i="15"/>
  <c r="J3875" i="15"/>
  <c r="J2749" i="15"/>
  <c r="J4238" i="15"/>
  <c r="J1064" i="15"/>
  <c r="J656" i="15"/>
  <c r="J657" i="15"/>
  <c r="J658" i="15"/>
  <c r="J659" i="15"/>
  <c r="J660" i="15"/>
  <c r="J661" i="15"/>
  <c r="J2293" i="15"/>
  <c r="J1456" i="15"/>
  <c r="J772" i="15"/>
  <c r="J2075" i="15"/>
  <c r="J4239" i="15"/>
  <c r="J662" i="15"/>
  <c r="J1232" i="15"/>
  <c r="J929" i="15"/>
  <c r="J663" i="15"/>
  <c r="J664" i="15"/>
  <c r="J665" i="15"/>
  <c r="J666" i="15"/>
  <c r="J2501" i="15"/>
  <c r="J3859" i="15"/>
  <c r="J1913" i="15"/>
  <c r="J3730" i="15"/>
  <c r="J1345" i="15"/>
  <c r="J4076" i="15"/>
  <c r="J988" i="15"/>
  <c r="J1850" i="15"/>
  <c r="J1668" i="15"/>
  <c r="J1573" i="15"/>
  <c r="J2354" i="15"/>
  <c r="J2553" i="15"/>
  <c r="J2815" i="15"/>
  <c r="J2425" i="15"/>
  <c r="J3999" i="15"/>
  <c r="J1582" i="15"/>
  <c r="J1052" i="15"/>
  <c r="J879" i="15"/>
  <c r="J1899" i="15"/>
  <c r="J1190" i="15"/>
  <c r="J1395" i="15"/>
  <c r="J2203" i="15"/>
  <c r="J667" i="15"/>
  <c r="J3850" i="15"/>
  <c r="J3343" i="15"/>
  <c r="J3334" i="15"/>
  <c r="J3849" i="15"/>
  <c r="J3764" i="15"/>
  <c r="J2074" i="15"/>
  <c r="J2198" i="15"/>
  <c r="J4240" i="15"/>
  <c r="J1261" i="15"/>
  <c r="J17" i="15"/>
  <c r="J130" i="15"/>
  <c r="J938" i="15"/>
  <c r="J957" i="15"/>
  <c r="J3415" i="15"/>
  <c r="J2406" i="15"/>
  <c r="J2898" i="15"/>
  <c r="J3480" i="15"/>
  <c r="J3374" i="15"/>
  <c r="J1826" i="15"/>
  <c r="J3140" i="15"/>
  <c r="J3300" i="15"/>
  <c r="J3328" i="15"/>
  <c r="J1650" i="15"/>
  <c r="J2499" i="15"/>
  <c r="J1694" i="15"/>
  <c r="J4048" i="15"/>
  <c r="J1571" i="15"/>
  <c r="J1096" i="15"/>
  <c r="J894" i="15"/>
  <c r="J1721" i="15"/>
  <c r="J3464" i="15"/>
  <c r="J4046" i="15"/>
  <c r="J1705" i="15"/>
  <c r="J924" i="15"/>
  <c r="J1746" i="15"/>
  <c r="J3009" i="15"/>
  <c r="J2611" i="15"/>
  <c r="J3840" i="15"/>
  <c r="J942" i="15"/>
  <c r="J1596" i="15"/>
  <c r="J945" i="15"/>
  <c r="J1205" i="15"/>
  <c r="J1204" i="15"/>
  <c r="J3219" i="15"/>
  <c r="J1981" i="15"/>
  <c r="J1955" i="15"/>
  <c r="J2735" i="15"/>
  <c r="J3226" i="15"/>
  <c r="J2811" i="15"/>
  <c r="J1322" i="15"/>
  <c r="J987" i="15"/>
  <c r="J1323" i="15"/>
  <c r="J960" i="15"/>
  <c r="J1289" i="15"/>
  <c r="J4241" i="15"/>
  <c r="J1231" i="15"/>
  <c r="J1304" i="15"/>
  <c r="J4045" i="15"/>
  <c r="J668" i="15"/>
  <c r="J4081" i="15"/>
  <c r="J2024" i="15"/>
  <c r="J2648" i="15"/>
  <c r="J3207" i="15"/>
  <c r="J3907" i="15"/>
  <c r="J3143" i="15"/>
  <c r="J2311" i="15"/>
  <c r="J2232" i="15"/>
  <c r="J669" i="15"/>
  <c r="J3639" i="15"/>
  <c r="J4028" i="15"/>
  <c r="J2111" i="15"/>
  <c r="J1756" i="15"/>
  <c r="J1879" i="15"/>
  <c r="J3599" i="15"/>
  <c r="J2206" i="15"/>
  <c r="J3565" i="15"/>
  <c r="J1949" i="15"/>
  <c r="J3632" i="15"/>
  <c r="J3655" i="15"/>
  <c r="J3590" i="15"/>
  <c r="J1436" i="15"/>
  <c r="J1648" i="15"/>
  <c r="J1762" i="15"/>
  <c r="J1647" i="15"/>
  <c r="J4242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2596" i="15"/>
  <c r="J2613" i="15"/>
  <c r="J685" i="15"/>
  <c r="J4243" i="15"/>
  <c r="J1146" i="15"/>
  <c r="J2078" i="15"/>
  <c r="J1606" i="15"/>
  <c r="J2055" i="15"/>
  <c r="J3117" i="15"/>
  <c r="J1725" i="15"/>
  <c r="J51" i="15"/>
  <c r="J1328" i="15"/>
  <c r="J1441" i="15"/>
  <c r="J2555" i="15"/>
  <c r="J2032" i="15"/>
  <c r="J1738" i="15"/>
  <c r="J1739" i="15"/>
  <c r="J4244" i="15"/>
  <c r="J1695" i="15"/>
  <c r="J3230" i="15"/>
  <c r="J1726" i="15"/>
  <c r="J3305" i="15"/>
  <c r="J795" i="15"/>
  <c r="J3998" i="15"/>
  <c r="J882" i="15"/>
  <c r="J992" i="15"/>
  <c r="J1892" i="15"/>
  <c r="J808" i="15"/>
  <c r="J2184" i="15"/>
  <c r="J1005" i="15"/>
  <c r="J2911" i="15"/>
  <c r="J3306" i="15"/>
  <c r="J2554" i="15"/>
  <c r="J1326" i="15"/>
  <c r="J1723" i="15"/>
  <c r="J1347" i="15"/>
  <c r="J2042" i="15"/>
  <c r="J4075" i="15"/>
  <c r="J3278" i="15"/>
  <c r="J1033" i="15"/>
  <c r="J874" i="15"/>
  <c r="J2690" i="15"/>
  <c r="J2607" i="15"/>
  <c r="J1405" i="15"/>
  <c r="J2459" i="15"/>
  <c r="J1406" i="15"/>
  <c r="J2173" i="15"/>
  <c r="J3158" i="15"/>
  <c r="J1010" i="15"/>
  <c r="J4097" i="15"/>
  <c r="J2626" i="15"/>
  <c r="J820" i="15"/>
  <c r="J2681" i="15"/>
  <c r="J686" i="15"/>
  <c r="J2736" i="15"/>
  <c r="J687" i="15"/>
  <c r="J3575" i="15"/>
  <c r="J4128" i="15"/>
  <c r="J2067" i="15"/>
  <c r="J3803" i="15"/>
  <c r="J2650" i="15"/>
  <c r="J2291" i="15"/>
  <c r="J2093" i="15"/>
  <c r="J2092" i="15"/>
  <c r="J102" i="15"/>
  <c r="J688" i="15"/>
  <c r="J3965" i="15"/>
  <c r="J3966" i="15"/>
  <c r="J3967" i="15"/>
  <c r="J3968" i="15"/>
  <c r="J3969" i="15"/>
  <c r="J3970" i="15"/>
  <c r="J3971" i="15"/>
  <c r="J1538" i="15"/>
  <c r="J1155" i="15"/>
  <c r="J1156" i="15"/>
  <c r="J1175" i="15"/>
  <c r="J1249" i="15"/>
  <c r="J1100" i="15"/>
  <c r="J1119" i="15"/>
  <c r="J1139" i="15"/>
  <c r="J4245" i="15"/>
  <c r="J2720" i="15"/>
  <c r="J1772" i="15"/>
  <c r="J4021" i="15"/>
  <c r="J765" i="15"/>
  <c r="J773" i="15"/>
  <c r="J2722" i="15"/>
  <c r="J689" i="15"/>
  <c r="J690" i="15"/>
  <c r="J691" i="15"/>
  <c r="J692" i="15"/>
  <c r="J693" i="15"/>
  <c r="J694" i="15"/>
  <c r="J695" i="15"/>
  <c r="J696" i="15"/>
  <c r="J697" i="15"/>
  <c r="J698" i="15"/>
  <c r="J699" i="15"/>
  <c r="J700" i="15"/>
  <c r="J701" i="15"/>
  <c r="J702" i="15"/>
  <c r="J703" i="15"/>
  <c r="J704" i="15"/>
  <c r="J705" i="15"/>
  <c r="J706" i="15"/>
  <c r="J707" i="15"/>
  <c r="J708" i="15"/>
  <c r="J709" i="15"/>
  <c r="J710" i="15"/>
  <c r="J3017" i="15"/>
  <c r="J3579" i="15"/>
  <c r="J711" i="15"/>
  <c r="J3208" i="15"/>
  <c r="J3414" i="15"/>
  <c r="J712" i="15"/>
  <c r="J3014" i="15"/>
  <c r="J2234" i="15"/>
  <c r="J2192" i="15"/>
  <c r="J4246" i="15"/>
  <c r="J3179" i="15"/>
  <c r="J1927" i="15"/>
  <c r="J2675" i="15"/>
  <c r="J2742" i="15"/>
  <c r="J1931" i="15"/>
  <c r="J713" i="15"/>
  <c r="J2041" i="15"/>
  <c r="J714" i="15"/>
  <c r="J715" i="15"/>
  <c r="J716" i="15"/>
  <c r="J717" i="15"/>
  <c r="J718" i="15"/>
  <c r="J719" i="15"/>
  <c r="J720" i="15"/>
  <c r="J721" i="15"/>
  <c r="J722" i="15"/>
  <c r="J4022" i="15"/>
  <c r="J2665" i="15"/>
  <c r="J3281" i="15"/>
  <c r="J3268" i="15"/>
  <c r="J2287" i="15"/>
  <c r="J2285" i="15"/>
  <c r="J2294" i="15"/>
  <c r="J723" i="15"/>
  <c r="J3102" i="15"/>
  <c r="J3551" i="15"/>
  <c r="J3669" i="15"/>
  <c r="J3257" i="15"/>
  <c r="J3644" i="15"/>
  <c r="J3031" i="15"/>
  <c r="J1986" i="15"/>
  <c r="J1936" i="15"/>
  <c r="J1992" i="15"/>
  <c r="J1998" i="15"/>
  <c r="J4247" i="15"/>
  <c r="J1996" i="15"/>
  <c r="J3245" i="15"/>
  <c r="J1968" i="15"/>
  <c r="J2008" i="15"/>
  <c r="J3629" i="15"/>
  <c r="J3548" i="15"/>
  <c r="J3549" i="15"/>
  <c r="J2737" i="15"/>
  <c r="J2753" i="15"/>
  <c r="J3657" i="15"/>
  <c r="J1972" i="15"/>
  <c r="J2717" i="15"/>
  <c r="J1934" i="15"/>
  <c r="J2745" i="15"/>
  <c r="J3634" i="15"/>
  <c r="J1932" i="15"/>
  <c r="J3252" i="15"/>
  <c r="J1965" i="15"/>
  <c r="J3630" i="15"/>
  <c r="J1962" i="15"/>
  <c r="J3282" i="15"/>
  <c r="J4248" i="15"/>
  <c r="J724" i="15"/>
  <c r="J3609" i="15"/>
  <c r="J3607" i="15"/>
  <c r="J1960" i="15"/>
  <c r="J2686" i="15"/>
  <c r="J725" i="15"/>
  <c r="J3554" i="15"/>
  <c r="J2703" i="15"/>
  <c r="J3558" i="15"/>
  <c r="J3645" i="15"/>
  <c r="J3589" i="15"/>
  <c r="J1987" i="15"/>
  <c r="J3672" i="15"/>
  <c r="J3663" i="15"/>
  <c r="J3610" i="15"/>
  <c r="J726" i="15"/>
  <c r="J3563" i="15"/>
  <c r="J3112" i="15"/>
  <c r="J3262" i="15"/>
  <c r="J2676" i="15"/>
  <c r="J1923" i="15"/>
  <c r="J1974" i="15"/>
  <c r="J2682" i="15"/>
  <c r="J1957" i="15"/>
  <c r="J1950" i="15"/>
  <c r="J1984" i="15"/>
  <c r="J3243" i="15"/>
  <c r="J1561" i="15"/>
  <c r="J1611" i="15"/>
  <c r="J1621" i="15"/>
  <c r="J4249" i="15"/>
  <c r="J1360" i="15"/>
  <c r="J5" i="15"/>
  <c r="J11" i="15"/>
  <c r="J20" i="15"/>
  <c r="J4250" i="15"/>
  <c r="J785" i="15"/>
  <c r="J4251" i="15"/>
  <c r="J21" i="15"/>
  <c r="J727" i="15"/>
  <c r="J4252" i="15"/>
  <c r="J789" i="15"/>
  <c r="J4253" i="15"/>
  <c r="J918" i="15"/>
  <c r="J2684" i="15"/>
  <c r="J1258" i="15"/>
  <c r="J2013" i="15"/>
  <c r="J3094" i="15"/>
  <c r="J2695" i="15"/>
  <c r="J3129" i="15"/>
  <c r="J728" i="15"/>
  <c r="J729" i="15"/>
  <c r="J730" i="15"/>
  <c r="J731" i="15"/>
  <c r="J4060" i="15"/>
  <c r="J3135" i="15"/>
  <c r="J2673" i="15"/>
  <c r="J3567" i="15"/>
  <c r="J3084" i="15"/>
  <c r="J2697" i="15"/>
  <c r="J3121" i="15"/>
  <c r="J3231" i="15"/>
  <c r="J1497" i="15"/>
  <c r="J1645" i="15"/>
  <c r="J1513" i="15"/>
  <c r="J4016" i="15"/>
  <c r="J1501" i="15"/>
  <c r="J1646" i="15"/>
  <c r="J1472" i="15"/>
  <c r="J4254" i="15"/>
  <c r="J2854" i="15"/>
  <c r="J2213" i="15"/>
  <c r="J3616" i="15"/>
  <c r="J3596" i="15"/>
  <c r="J3077" i="15"/>
  <c r="J3082" i="15"/>
  <c r="J766" i="15"/>
  <c r="J2214" i="15"/>
  <c r="J1507" i="15"/>
  <c r="J1514" i="15"/>
  <c r="J953" i="15"/>
  <c r="J1490" i="15"/>
  <c r="J3095" i="15"/>
  <c r="J4025" i="15"/>
  <c r="J3132" i="15"/>
  <c r="J3884" i="15"/>
  <c r="J1467" i="15"/>
  <c r="J3128" i="15"/>
  <c r="J4014" i="15"/>
  <c r="J3130" i="15"/>
  <c r="J2215" i="15"/>
  <c r="J2778" i="15"/>
  <c r="J958" i="15"/>
  <c r="J1495" i="15"/>
  <c r="J1508" i="15"/>
  <c r="J1502" i="15"/>
  <c r="J1486" i="15"/>
  <c r="J1506" i="15"/>
  <c r="J732" i="15"/>
  <c r="J1483" i="15"/>
  <c r="J1775" i="15"/>
  <c r="J4017" i="15"/>
  <c r="J1494" i="15"/>
  <c r="J944" i="15"/>
  <c r="J1491" i="15"/>
  <c r="J45" i="15"/>
  <c r="J943" i="15"/>
  <c r="J1777" i="15"/>
  <c r="J1771" i="15"/>
  <c r="J89" i="15"/>
  <c r="J1498" i="15"/>
  <c r="J1743" i="15"/>
  <c r="J3085" i="15"/>
  <c r="J93" i="15"/>
  <c r="J1499" i="15"/>
  <c r="J1434" i="15"/>
  <c r="J3079" i="15"/>
  <c r="J3427" i="15"/>
  <c r="J3570" i="15"/>
  <c r="J3075" i="15"/>
  <c r="J1317" i="15"/>
  <c r="J733" i="15"/>
  <c r="J734" i="15"/>
  <c r="J735" i="15"/>
  <c r="J4255" i="15"/>
  <c r="J1473" i="15"/>
  <c r="J816" i="15"/>
  <c r="J1461" i="15"/>
  <c r="J3428" i="15"/>
  <c r="J72" i="15"/>
  <c r="J4256" i="15"/>
  <c r="J2672" i="15"/>
  <c r="J3288" i="15"/>
  <c r="J1776" i="15"/>
  <c r="J2104" i="15"/>
  <c r="J2102" i="15"/>
  <c r="J3777" i="15"/>
  <c r="J1503" i="15"/>
  <c r="J1520" i="15"/>
  <c r="J3241" i="15"/>
  <c r="J3778" i="15"/>
  <c r="J2105" i="15"/>
  <c r="J2132" i="15"/>
  <c r="J3379" i="15"/>
  <c r="J3779" i="15"/>
  <c r="J3844" i="15"/>
  <c r="J2133" i="15"/>
  <c r="J2326" i="15"/>
  <c r="J3896" i="15"/>
  <c r="J1511" i="15"/>
  <c r="J3895" i="15"/>
  <c r="J1638" i="15"/>
  <c r="J2103" i="15"/>
  <c r="J3235" i="15"/>
  <c r="J1834" i="15"/>
  <c r="J3389" i="15"/>
  <c r="J1887" i="15"/>
  <c r="J736" i="15"/>
  <c r="J1103" i="15"/>
  <c r="J3893" i="15"/>
  <c r="J3533" i="15"/>
  <c r="J1492" i="15"/>
  <c r="J1487" i="15"/>
  <c r="J1356" i="15"/>
  <c r="J4257" i="15"/>
  <c r="J1527" i="15"/>
  <c r="J4258" i="15"/>
  <c r="J1474" i="15"/>
  <c r="J1439" i="15"/>
  <c r="J1509" i="15"/>
  <c r="J4259" i="15"/>
  <c r="J1522" i="15"/>
  <c r="J4260" i="15"/>
  <c r="J1496" i="15"/>
  <c r="J771" i="15"/>
  <c r="J784" i="15"/>
  <c r="J4261" i="15"/>
  <c r="J2503" i="15"/>
  <c r="J44" i="15"/>
  <c r="J3133" i="15"/>
  <c r="J3794" i="15"/>
  <c r="J3114" i="15"/>
  <c r="J2714" i="15"/>
  <c r="J2711" i="15"/>
  <c r="J2746" i="15"/>
  <c r="J2412" i="15"/>
  <c r="J3119" i="15"/>
  <c r="J903" i="15"/>
  <c r="J3107" i="15"/>
  <c r="J3086" i="15"/>
  <c r="J50" i="15"/>
  <c r="J3227" i="15"/>
  <c r="J3120" i="15"/>
  <c r="J2015" i="15"/>
  <c r="J3182" i="15"/>
  <c r="J3065" i="15"/>
  <c r="J3181" i="15"/>
  <c r="J2683" i="15"/>
  <c r="J3640" i="15"/>
  <c r="J2040" i="15"/>
  <c r="J3108" i="15"/>
  <c r="J3056" i="15"/>
  <c r="J3670" i="15"/>
  <c r="J3122" i="15"/>
  <c r="J2713" i="15"/>
  <c r="J3166" i="15"/>
  <c r="J3597" i="15"/>
  <c r="J3060" i="15"/>
  <c r="J3180" i="15"/>
  <c r="J2754" i="15"/>
  <c r="J3069" i="15"/>
  <c r="J4135" i="15"/>
  <c r="J3096" i="15"/>
  <c r="J3061" i="15"/>
  <c r="J1854" i="15"/>
  <c r="J3109" i="15"/>
  <c r="J3066" i="15"/>
  <c r="J3111" i="15"/>
  <c r="J65" i="15"/>
  <c r="J4134" i="15"/>
  <c r="J2010" i="15"/>
  <c r="J3116" i="15"/>
  <c r="J917" i="15"/>
  <c r="J892" i="15"/>
  <c r="J1488" i="15"/>
  <c r="J1475" i="15"/>
  <c r="J3058" i="15"/>
  <c r="J1686" i="15"/>
  <c r="J1485" i="15"/>
  <c r="J937" i="15"/>
  <c r="J916" i="15"/>
  <c r="J1597" i="15"/>
  <c r="J4262" i="15"/>
  <c r="J1504" i="15"/>
  <c r="J4263" i="15"/>
  <c r="J1523" i="15"/>
  <c r="J4264" i="15"/>
  <c r="J1524" i="15"/>
  <c r="J4265" i="15"/>
  <c r="J3131" i="15"/>
  <c r="J4266" i="15"/>
  <c r="J956" i="15"/>
  <c r="J955" i="15"/>
  <c r="J1479" i="15"/>
  <c r="J949" i="15"/>
  <c r="J1512" i="15"/>
  <c r="J1599" i="15"/>
  <c r="J1531" i="15"/>
  <c r="J3898" i="15"/>
  <c r="J1598" i="15"/>
  <c r="J770" i="15"/>
  <c r="J1583" i="15"/>
  <c r="J2739" i="15"/>
  <c r="J1853" i="15"/>
  <c r="J4121" i="15"/>
  <c r="J2316" i="15"/>
  <c r="J3942" i="15"/>
  <c r="J3011" i="15"/>
  <c r="J3018" i="15"/>
  <c r="J3021" i="15"/>
  <c r="J3184" i="15"/>
  <c r="J62" i="15"/>
  <c r="J4073" i="15"/>
  <c r="J737" i="15"/>
  <c r="J1515" i="15"/>
  <c r="J4015" i="15"/>
  <c r="J3067" i="15"/>
  <c r="J3062" i="15"/>
  <c r="J3083" i="15"/>
  <c r="J1633" i="15"/>
  <c r="J3929" i="15"/>
  <c r="J1831" i="15"/>
  <c r="J4267" i="15"/>
  <c r="J3938" i="15"/>
  <c r="J3426" i="15"/>
  <c r="J1521" i="15"/>
  <c r="J3897" i="15"/>
  <c r="J783" i="15"/>
  <c r="J2504" i="15"/>
  <c r="J1840" i="15"/>
  <c r="J12" i="15"/>
  <c r="J1635" i="15"/>
  <c r="J2775" i="15"/>
  <c r="J1476" i="15"/>
  <c r="J1489" i="15"/>
  <c r="J3097" i="15"/>
  <c r="J4268" i="15"/>
  <c r="J4269" i="15"/>
  <c r="J4270" i="15"/>
  <c r="J4271" i="15"/>
  <c r="J4272" i="15"/>
  <c r="J4273" i="15"/>
  <c r="J4274" i="15"/>
  <c r="J4275" i="15"/>
  <c r="J4276" i="15"/>
  <c r="I2718" i="15"/>
  <c r="I1977" i="15"/>
  <c r="I2947" i="15"/>
  <c r="I3093" i="15"/>
  <c r="I2399" i="15"/>
  <c r="I2254" i="15"/>
  <c r="I2949" i="15"/>
  <c r="I2453" i="15"/>
  <c r="I3807" i="15"/>
  <c r="I1947" i="15"/>
  <c r="I2330" i="15"/>
  <c r="I1830" i="15"/>
  <c r="I2186" i="15"/>
  <c r="I3939" i="15"/>
  <c r="I3074" i="15"/>
  <c r="I763" i="15"/>
  <c r="I1295" i="15"/>
  <c r="I2160" i="15"/>
  <c r="I2807" i="15"/>
  <c r="I3106" i="15"/>
  <c r="I3789" i="15"/>
  <c r="I1075" i="15"/>
  <c r="I1167" i="15"/>
  <c r="I1770" i="15"/>
  <c r="I3583" i="15"/>
  <c r="I3577" i="15"/>
  <c r="I4058" i="15"/>
  <c r="I1484" i="15"/>
  <c r="I133" i="15"/>
  <c r="I3918" i="15"/>
  <c r="I134" i="15"/>
  <c r="I2241" i="15"/>
  <c r="I2240" i="15"/>
  <c r="I3922" i="15"/>
  <c r="I3430" i="15"/>
  <c r="I3920" i="15"/>
  <c r="I3346" i="15"/>
  <c r="I4127" i="15"/>
  <c r="I3098" i="15"/>
  <c r="I3919" i="15"/>
  <c r="I4131" i="15"/>
  <c r="I4123" i="15"/>
  <c r="I2930" i="15"/>
  <c r="I4126" i="15"/>
  <c r="I2902" i="15"/>
  <c r="I3336" i="15"/>
  <c r="I3923" i="15"/>
  <c r="I2100" i="15"/>
  <c r="I4125" i="15"/>
  <c r="I3429" i="15"/>
  <c r="I2143" i="15"/>
  <c r="I1800" i="15"/>
  <c r="I1791" i="15"/>
  <c r="I135" i="15"/>
  <c r="I3894" i="15"/>
  <c r="I1263" i="15"/>
  <c r="I2630" i="15"/>
  <c r="I136" i="15"/>
  <c r="I2791" i="15"/>
  <c r="I137" i="15"/>
  <c r="I138" i="15"/>
  <c r="I2520" i="15"/>
  <c r="I3564" i="15"/>
  <c r="I3177" i="15"/>
  <c r="I92" i="15"/>
  <c r="I2" i="15"/>
  <c r="I1813" i="15"/>
  <c r="I1079" i="15"/>
  <c r="I2694" i="15"/>
  <c r="I3003" i="15"/>
  <c r="I2064" i="15"/>
  <c r="I4104" i="15"/>
  <c r="I3841" i="15"/>
  <c r="I4142" i="15"/>
  <c r="I3776" i="15"/>
  <c r="I139" i="15"/>
  <c r="I4043" i="15"/>
  <c r="I3508" i="15"/>
  <c r="I3511" i="15"/>
  <c r="I140" i="15"/>
  <c r="I141" i="15"/>
  <c r="I142" i="15"/>
  <c r="I4006" i="15"/>
  <c r="I851" i="15"/>
  <c r="I2654" i="15"/>
  <c r="I2653" i="15"/>
  <c r="I2730" i="15"/>
  <c r="I143" i="15"/>
  <c r="I2678" i="15"/>
  <c r="I1659" i="15"/>
  <c r="I144" i="15"/>
  <c r="I1982" i="15"/>
  <c r="I3689" i="15"/>
  <c r="I4117" i="15"/>
  <c r="I2885" i="15"/>
  <c r="I2889" i="15"/>
  <c r="I145" i="15"/>
  <c r="I2891" i="15"/>
  <c r="I2882" i="15"/>
  <c r="I2894" i="15"/>
  <c r="I2768" i="15"/>
  <c r="I828" i="15"/>
  <c r="I2566" i="15"/>
  <c r="I3015" i="15"/>
  <c r="I146" i="15"/>
  <c r="I1027" i="15"/>
  <c r="I3535" i="15"/>
  <c r="I3012" i="15"/>
  <c r="I2698" i="15"/>
  <c r="I3159" i="15"/>
  <c r="I1870" i="15"/>
  <c r="I1816" i="15"/>
  <c r="I3155" i="15"/>
  <c r="I3416" i="15"/>
  <c r="I2795" i="15"/>
  <c r="I1864" i="15"/>
  <c r="I3152" i="15"/>
  <c r="I1188" i="15"/>
  <c r="I1189" i="15"/>
  <c r="I1824" i="15"/>
  <c r="I4141" i="15"/>
  <c r="I3877" i="15"/>
  <c r="I3860" i="15"/>
  <c r="I147" i="15"/>
  <c r="I1978" i="15"/>
  <c r="I3857" i="15"/>
  <c r="I1712" i="15"/>
  <c r="I2961" i="15"/>
  <c r="I2797" i="15"/>
  <c r="I148" i="15"/>
  <c r="I1818" i="15"/>
  <c r="I3254" i="15"/>
  <c r="I2913" i="15"/>
  <c r="I775" i="15"/>
  <c r="I4033" i="15"/>
  <c r="I2701" i="15"/>
  <c r="I2738" i="15"/>
  <c r="I1264" i="15"/>
  <c r="I1284" i="15"/>
  <c r="I1283" i="15"/>
  <c r="I3872" i="15"/>
  <c r="I4116" i="15"/>
  <c r="I1577" i="15"/>
  <c r="I149" i="15"/>
  <c r="I2109" i="15"/>
  <c r="I1057" i="15"/>
  <c r="I150" i="15"/>
  <c r="I2635" i="15"/>
  <c r="I4143" i="15"/>
  <c r="I1642" i="15"/>
  <c r="I3118" i="15"/>
  <c r="I151" i="15"/>
  <c r="I3104" i="15"/>
  <c r="I3113" i="15"/>
  <c r="I1517" i="15"/>
  <c r="I1020" i="15"/>
  <c r="I152" i="15"/>
  <c r="I3963" i="15"/>
  <c r="I153" i="15"/>
  <c r="I154" i="15"/>
  <c r="I2340" i="15"/>
  <c r="I1912" i="15"/>
  <c r="I1070" i="15"/>
  <c r="I1942" i="15"/>
  <c r="I2283" i="15"/>
  <c r="I2286" i="15"/>
  <c r="I155" i="15"/>
  <c r="I2337" i="15"/>
  <c r="I3391" i="15"/>
  <c r="I3680" i="15"/>
  <c r="I2288" i="15"/>
  <c r="I1375" i="15"/>
  <c r="I1658" i="15"/>
  <c r="I1644" i="15"/>
  <c r="I156" i="15"/>
  <c r="I3930" i="15"/>
  <c r="I1983" i="15"/>
  <c r="I157" i="15"/>
  <c r="I158" i="15"/>
  <c r="I159" i="15"/>
  <c r="I1871" i="15"/>
  <c r="I2271" i="15"/>
  <c r="I3366" i="15"/>
  <c r="I1807" i="15"/>
  <c r="I1619" i="15"/>
  <c r="I1615" i="15"/>
  <c r="I2292" i="15"/>
  <c r="I160" i="15"/>
  <c r="I161" i="15"/>
  <c r="I162" i="15"/>
  <c r="I163" i="15"/>
  <c r="I3874" i="15"/>
  <c r="I2380" i="15"/>
  <c r="I164" i="15"/>
  <c r="I3690" i="15"/>
  <c r="I3371" i="15"/>
  <c r="I2866" i="15"/>
  <c r="I1601" i="15"/>
  <c r="I3692" i="15"/>
  <c r="I165" i="15"/>
  <c r="I166" i="15"/>
  <c r="I167" i="15"/>
  <c r="I31" i="15"/>
  <c r="I2187" i="15"/>
  <c r="I4108" i="15"/>
  <c r="I168" i="15"/>
  <c r="I169" i="15"/>
  <c r="I170" i="15"/>
  <c r="I2796" i="15"/>
  <c r="I171" i="15"/>
  <c r="I172" i="15"/>
  <c r="I2440" i="15"/>
  <c r="I2433" i="15"/>
  <c r="I2441" i="15"/>
  <c r="I2432" i="15"/>
  <c r="I2439" i="15"/>
  <c r="I2431" i="15"/>
  <c r="I2442" i="15"/>
  <c r="I2443" i="15"/>
  <c r="I1909" i="15"/>
  <c r="I1373" i="15"/>
  <c r="I2242" i="15"/>
  <c r="I2314" i="15"/>
  <c r="I2270" i="15"/>
  <c r="I3315" i="15"/>
  <c r="I1808" i="15"/>
  <c r="I2426" i="15"/>
  <c r="I1967" i="15"/>
  <c r="I3045" i="15"/>
  <c r="I1734" i="15"/>
  <c r="I3342" i="15"/>
  <c r="I2401" i="15"/>
  <c r="I173" i="15"/>
  <c r="I1922" i="15"/>
  <c r="I174" i="15"/>
  <c r="I2774" i="15"/>
  <c r="I1999" i="15"/>
  <c r="I1933" i="15"/>
  <c r="I175" i="15"/>
  <c r="I176" i="15"/>
  <c r="I2655" i="15"/>
  <c r="I177" i="15"/>
  <c r="I2792" i="15"/>
  <c r="I1929" i="15"/>
  <c r="I2141" i="15"/>
  <c r="I178" i="15"/>
  <c r="I2139" i="15"/>
  <c r="I2989" i="15"/>
  <c r="I3178" i="15"/>
  <c r="I179" i="15"/>
  <c r="I3244" i="15"/>
  <c r="I3608" i="15"/>
  <c r="I1876" i="15"/>
  <c r="I3808" i="15"/>
  <c r="I2098" i="15"/>
  <c r="I2255" i="15"/>
  <c r="I2000" i="15"/>
  <c r="I2445" i="15"/>
  <c r="I180" i="15"/>
  <c r="I3233" i="15"/>
  <c r="I2758" i="15"/>
  <c r="I3568" i="15"/>
  <c r="I3204" i="15"/>
  <c r="I2281" i="15"/>
  <c r="I3509" i="15"/>
  <c r="I181" i="15"/>
  <c r="I3260" i="15"/>
  <c r="I2338" i="15"/>
  <c r="I182" i="15"/>
  <c r="I183" i="15"/>
  <c r="I184" i="15"/>
  <c r="I2230" i="15"/>
  <c r="I1060" i="15"/>
  <c r="I861" i="15"/>
  <c r="I2952" i="15"/>
  <c r="I185" i="15"/>
  <c r="I186" i="15"/>
  <c r="I2135" i="15"/>
  <c r="I1178" i="15"/>
  <c r="I3625" i="15"/>
  <c r="I1788" i="15"/>
  <c r="I2348" i="15"/>
  <c r="I3576" i="15"/>
  <c r="I1311" i="15"/>
  <c r="I4124" i="15"/>
  <c r="I2347" i="15"/>
  <c r="I187" i="15"/>
  <c r="I188" i="15"/>
  <c r="I4132" i="15"/>
  <c r="I4007" i="15"/>
  <c r="I2629" i="15"/>
  <c r="I2674" i="15"/>
  <c r="I2007" i="15"/>
  <c r="I1969" i="15"/>
  <c r="I1784" i="15"/>
  <c r="I1786" i="15"/>
  <c r="I2784" i="15"/>
  <c r="I1958" i="15"/>
  <c r="I1925" i="15"/>
  <c r="I38" i="15"/>
  <c r="I2631" i="15"/>
  <c r="I1181" i="15"/>
  <c r="I2508" i="15"/>
  <c r="I1796" i="15"/>
  <c r="I3202" i="15"/>
  <c r="I2420" i="15"/>
  <c r="I2421" i="15"/>
  <c r="I3024" i="15"/>
  <c r="I3042" i="15"/>
  <c r="I3039" i="15"/>
  <c r="I3775" i="15"/>
  <c r="I860" i="15"/>
  <c r="I2451" i="15"/>
  <c r="I2707" i="15"/>
  <c r="I2188" i="15"/>
  <c r="I3105" i="15"/>
  <c r="I3115" i="15"/>
  <c r="I189" i="15"/>
  <c r="I3047" i="15"/>
  <c r="I2210" i="15"/>
  <c r="I2121" i="15"/>
  <c r="I3081" i="15"/>
  <c r="I2953" i="15"/>
  <c r="I2245" i="15"/>
  <c r="I3103" i="15"/>
  <c r="I3099" i="15"/>
  <c r="I2086" i="15"/>
  <c r="I190" i="15"/>
  <c r="I191" i="15"/>
  <c r="I2269" i="15"/>
  <c r="I2941" i="15"/>
  <c r="I3424" i="15"/>
  <c r="I2872" i="15"/>
  <c r="I101" i="15"/>
  <c r="I2710" i="15"/>
  <c r="I2318" i="15"/>
  <c r="I1688" i="15"/>
  <c r="I1553" i="15"/>
  <c r="I2505" i="15"/>
  <c r="I989" i="15"/>
  <c r="I3562" i="15"/>
  <c r="I3573" i="15"/>
  <c r="I1401" i="15"/>
  <c r="I2731" i="15"/>
  <c r="I3022" i="15"/>
  <c r="I1346" i="15"/>
  <c r="I3126" i="15"/>
  <c r="I36" i="15"/>
  <c r="I35" i="15"/>
  <c r="I46" i="15"/>
  <c r="I2704" i="15"/>
  <c r="I2664" i="15"/>
  <c r="I3545" i="15"/>
  <c r="I1437" i="15"/>
  <c r="I3658" i="15"/>
  <c r="I1815" i="15"/>
  <c r="I1320" i="15"/>
  <c r="I4029" i="15"/>
  <c r="I2005" i="15"/>
  <c r="I1586" i="15"/>
  <c r="I4042" i="15"/>
  <c r="I3612" i="15"/>
  <c r="I1557" i="15"/>
  <c r="I3906" i="15"/>
  <c r="I777" i="15"/>
  <c r="I192" i="15"/>
  <c r="I1990" i="15"/>
  <c r="I2306" i="15"/>
  <c r="I2447" i="15"/>
  <c r="I2641" i="15"/>
  <c r="I1654" i="15"/>
  <c r="I3189" i="15"/>
  <c r="I4101" i="15"/>
  <c r="I4105" i="15"/>
  <c r="I3878" i="15"/>
  <c r="I2496" i="15"/>
  <c r="I2498" i="15"/>
  <c r="I4106" i="15"/>
  <c r="I4098" i="15"/>
  <c r="I193" i="15"/>
  <c r="I2101" i="15"/>
  <c r="I194" i="15"/>
  <c r="I2091" i="15"/>
  <c r="I3399" i="15"/>
  <c r="I2357" i="15"/>
  <c r="I2277" i="15"/>
  <c r="I2358" i="15"/>
  <c r="I3664" i="15"/>
  <c r="I2119" i="15"/>
  <c r="I195" i="15"/>
  <c r="I196" i="15"/>
  <c r="I197" i="15"/>
  <c r="I3154" i="15"/>
  <c r="I2094" i="15"/>
  <c r="I110" i="15"/>
  <c r="I2082" i="15"/>
  <c r="I2378" i="15"/>
  <c r="I198" i="15"/>
  <c r="I2196" i="15"/>
  <c r="I1054" i="15"/>
  <c r="I1055" i="15"/>
  <c r="I3261" i="15"/>
  <c r="I2529" i="15"/>
  <c r="I3195" i="15"/>
  <c r="I199" i="15"/>
  <c r="I200" i="15"/>
  <c r="I2130" i="15"/>
  <c r="I2252" i="15"/>
  <c r="I201" i="15"/>
  <c r="I202" i="15"/>
  <c r="I3396" i="15"/>
  <c r="I3387" i="15"/>
  <c r="I203" i="15"/>
  <c r="I3397" i="15"/>
  <c r="I204" i="15"/>
  <c r="I3566" i="15"/>
  <c r="I3488" i="15"/>
  <c r="I3487" i="15"/>
  <c r="I1099" i="15"/>
  <c r="I2229" i="15"/>
  <c r="I1873" i="15"/>
  <c r="I1805" i="15"/>
  <c r="I2259" i="15"/>
  <c r="I2308" i="15"/>
  <c r="I3651" i="15"/>
  <c r="I1529" i="15"/>
  <c r="I876" i="15"/>
  <c r="I880" i="15"/>
  <c r="I1741" i="15"/>
  <c r="I3035" i="15"/>
  <c r="I205" i="15"/>
  <c r="I2137" i="15"/>
  <c r="I2506" i="15"/>
  <c r="I3510" i="15"/>
  <c r="I4008" i="15"/>
  <c r="I4004" i="15"/>
  <c r="I206" i="15"/>
  <c r="I1817" i="15"/>
  <c r="I1716" i="15"/>
  <c r="I2956" i="15"/>
  <c r="I1717" i="15"/>
  <c r="I2260" i="15"/>
  <c r="I207" i="15"/>
  <c r="I208" i="15"/>
  <c r="I2246" i="15"/>
  <c r="I2204" i="15"/>
  <c r="I2205" i="15"/>
  <c r="I1061" i="15"/>
  <c r="I1062" i="15"/>
  <c r="I1358" i="15"/>
  <c r="I2177" i="15"/>
  <c r="I787" i="15"/>
  <c r="I209" i="15"/>
  <c r="I1059" i="15"/>
  <c r="I94" i="15"/>
  <c r="I1620" i="15"/>
  <c r="I1616" i="15"/>
  <c r="I210" i="15"/>
  <c r="I2231" i="15"/>
  <c r="I211" i="15"/>
  <c r="I3665" i="15"/>
  <c r="I212" i="15"/>
  <c r="I1868" i="15"/>
  <c r="I2276" i="15"/>
  <c r="I3941" i="15"/>
  <c r="I2365" i="15"/>
  <c r="I3861" i="15"/>
  <c r="I3921" i="15"/>
  <c r="I1627" i="15"/>
  <c r="I1592" i="15"/>
  <c r="I1626" i="15"/>
  <c r="I213" i="15"/>
  <c r="I2963" i="15"/>
  <c r="I1225" i="15"/>
  <c r="I215" i="15"/>
  <c r="I1795" i="15"/>
  <c r="I1997" i="15"/>
  <c r="I1930" i="15"/>
  <c r="I1991" i="15"/>
  <c r="I2006" i="15"/>
  <c r="I920" i="15"/>
  <c r="I1433" i="15"/>
  <c r="I2324" i="15"/>
  <c r="I216" i="15"/>
  <c r="I2325" i="15"/>
  <c r="I2708" i="15"/>
  <c r="I1463" i="15"/>
  <c r="I1464" i="15"/>
  <c r="I806" i="15"/>
  <c r="I217" i="15"/>
  <c r="I809" i="15"/>
  <c r="I1624" i="15"/>
  <c r="I1625" i="15"/>
  <c r="I966" i="15"/>
  <c r="I1045" i="15"/>
  <c r="I218" i="15"/>
  <c r="I3666" i="15"/>
  <c r="I1579" i="15"/>
  <c r="I1578" i="15"/>
  <c r="I219" i="15"/>
  <c r="I220" i="15"/>
  <c r="I221" i="15"/>
  <c r="I2864" i="15"/>
  <c r="I222" i="15"/>
  <c r="I1820" i="15"/>
  <c r="I1046" i="15"/>
  <c r="I223" i="15"/>
  <c r="I224" i="15"/>
  <c r="I225" i="15"/>
  <c r="I854" i="15"/>
  <c r="I2427" i="15"/>
  <c r="I3605" i="15"/>
  <c r="I3555" i="15"/>
  <c r="I4035" i="15"/>
  <c r="I3080" i="15"/>
  <c r="I1500" i="15"/>
  <c r="I2221" i="15"/>
  <c r="I2140" i="15"/>
  <c r="I2217" i="15"/>
  <c r="I2518" i="15"/>
  <c r="I2944" i="15"/>
  <c r="I3623" i="15"/>
  <c r="I3127" i="15"/>
  <c r="I226" i="15"/>
  <c r="I1735" i="15"/>
  <c r="I3205" i="15"/>
  <c r="I2495" i="15"/>
  <c r="I227" i="15"/>
  <c r="I228" i="15"/>
  <c r="I2490" i="15"/>
  <c r="I1312" i="15"/>
  <c r="I229" i="15"/>
  <c r="I230" i="15"/>
  <c r="I15" i="15"/>
  <c r="I1806" i="15"/>
  <c r="I1973" i="15"/>
  <c r="I1964" i="15"/>
  <c r="I231" i="15"/>
  <c r="I232" i="15"/>
  <c r="I913" i="15"/>
  <c r="I1745" i="15"/>
  <c r="I2767" i="15"/>
  <c r="I233" i="15"/>
  <c r="I3211" i="15"/>
  <c r="I3059" i="15"/>
  <c r="I2870" i="15"/>
  <c r="I234" i="15"/>
  <c r="I4024" i="15"/>
  <c r="I2163" i="15"/>
  <c r="I235" i="15"/>
  <c r="I4041" i="15"/>
  <c r="I1730" i="15"/>
  <c r="I2995" i="15"/>
  <c r="I236" i="15"/>
  <c r="I1315" i="15"/>
  <c r="I827" i="15"/>
  <c r="I3627" i="15"/>
  <c r="I237" i="15"/>
  <c r="I852" i="15"/>
  <c r="I2367" i="15"/>
  <c r="I3141" i="15"/>
  <c r="I238" i="15"/>
  <c r="I2090" i="15"/>
  <c r="I978" i="15"/>
  <c r="I3004" i="15"/>
  <c r="I2721" i="15"/>
  <c r="I2099" i="15"/>
  <c r="I239" i="15"/>
  <c r="I2729" i="15"/>
  <c r="I3556" i="15"/>
  <c r="I2942" i="15"/>
  <c r="I1976" i="15"/>
  <c r="I1924" i="15"/>
  <c r="I2089" i="15"/>
  <c r="I1207" i="15"/>
  <c r="I1206" i="15"/>
  <c r="I1398" i="15"/>
  <c r="I2261" i="15"/>
  <c r="I2948" i="15"/>
  <c r="I3369" i="15"/>
  <c r="I2526" i="15"/>
  <c r="I3887" i="15"/>
  <c r="I3880" i="15"/>
  <c r="I240" i="15"/>
  <c r="I3165" i="15"/>
  <c r="I2368" i="15"/>
  <c r="I2532" i="15"/>
  <c r="I3886" i="15"/>
  <c r="I3240" i="15"/>
  <c r="I3283" i="15"/>
  <c r="I241" i="15"/>
  <c r="I242" i="15"/>
  <c r="I243" i="15"/>
  <c r="I244" i="15"/>
  <c r="I1549" i="15"/>
  <c r="I2661" i="15"/>
  <c r="I1544" i="15"/>
  <c r="I245" i="15"/>
  <c r="I2895" i="15"/>
  <c r="I2189" i="15"/>
  <c r="I2183" i="15"/>
  <c r="I3735" i="15"/>
  <c r="I246" i="15"/>
  <c r="I3388" i="15"/>
  <c r="I1759" i="15"/>
  <c r="I2646" i="15"/>
  <c r="I2647" i="15"/>
  <c r="I2996" i="15"/>
  <c r="I2997" i="15"/>
  <c r="I247" i="15"/>
  <c r="I3581" i="15"/>
  <c r="I248" i="15"/>
  <c r="I249" i="15"/>
  <c r="I1230" i="15"/>
  <c r="I4115" i="15"/>
  <c r="I1222" i="15"/>
  <c r="I1518" i="15"/>
  <c r="I3569" i="15"/>
  <c r="I250" i="15"/>
  <c r="I2751" i="15"/>
  <c r="I2755" i="15"/>
  <c r="I251" i="15"/>
  <c r="I2743" i="15"/>
  <c r="I252" i="15"/>
  <c r="I2685" i="15"/>
  <c r="I2634" i="15"/>
  <c r="I84" i="15"/>
  <c r="I2523" i="15"/>
  <c r="I253" i="15"/>
  <c r="I3697" i="15"/>
  <c r="I4032" i="15"/>
  <c r="I2964" i="15"/>
  <c r="I4053" i="15"/>
  <c r="I4072" i="15"/>
  <c r="I4056" i="15"/>
  <c r="I2310" i="15"/>
  <c r="I2290" i="15"/>
  <c r="I1053" i="15"/>
  <c r="I3100" i="15"/>
  <c r="I254" i="15"/>
  <c r="I3667" i="15"/>
  <c r="I255" i="15"/>
  <c r="I1657" i="15"/>
  <c r="I256" i="15"/>
  <c r="I2107" i="15"/>
  <c r="I1224" i="15"/>
  <c r="I2389" i="15"/>
  <c r="I257" i="15"/>
  <c r="I4147" i="15"/>
  <c r="I1842" i="15"/>
  <c r="I3026" i="15"/>
  <c r="I1866" i="15"/>
  <c r="I258" i="15"/>
  <c r="I2931" i="15"/>
  <c r="I1662" i="15"/>
  <c r="I2790" i="15"/>
  <c r="I4010" i="15"/>
  <c r="I3239" i="15"/>
  <c r="I1684" i="15"/>
  <c r="I4005" i="15"/>
  <c r="I2138" i="15"/>
  <c r="I259" i="15"/>
  <c r="I2881" i="15"/>
  <c r="I2398" i="15"/>
  <c r="I2801" i="15"/>
  <c r="I2268" i="15"/>
  <c r="I2374" i="15"/>
  <c r="I2391" i="15"/>
  <c r="I1856" i="15"/>
  <c r="I3502" i="15"/>
  <c r="I3238" i="15"/>
  <c r="I2869" i="15"/>
  <c r="I1303" i="15"/>
  <c r="I2256" i="15"/>
  <c r="I1438" i="15"/>
  <c r="I2265" i="15"/>
  <c r="I2106" i="15"/>
  <c r="I2319" i="15"/>
  <c r="I3501" i="15"/>
  <c r="I3552" i="15"/>
  <c r="I3400" i="15"/>
  <c r="I2946" i="15"/>
  <c r="I2302" i="15"/>
  <c r="I3040" i="15"/>
  <c r="I825" i="15"/>
  <c r="I2929" i="15"/>
  <c r="I934" i="15"/>
  <c r="I933" i="15"/>
  <c r="I2438" i="15"/>
  <c r="I1869" i="15"/>
  <c r="I3037" i="15"/>
  <c r="I2321" i="15"/>
  <c r="I2888" i="15"/>
  <c r="I3038" i="15"/>
  <c r="I3032" i="15"/>
  <c r="I2928" i="15"/>
  <c r="I2789" i="15"/>
  <c r="I2940" i="15"/>
  <c r="I2781" i="15"/>
  <c r="I2793" i="15"/>
  <c r="I2887" i="15"/>
  <c r="I2404" i="15"/>
  <c r="I3384" i="15"/>
  <c r="I3041" i="15"/>
  <c r="I3007" i="15"/>
  <c r="I2315" i="15"/>
  <c r="I3517" i="15"/>
  <c r="I3297" i="15"/>
  <c r="I260" i="15"/>
  <c r="I3043" i="15"/>
  <c r="I4136" i="15"/>
  <c r="I1857" i="15"/>
  <c r="I2169" i="15"/>
  <c r="I3170" i="15"/>
  <c r="I3360" i="15"/>
  <c r="I2798" i="15"/>
  <c r="I2122" i="15"/>
  <c r="I2209" i="15"/>
  <c r="I2804" i="15"/>
  <c r="I2263" i="15"/>
  <c r="I2181" i="15"/>
  <c r="I261" i="15"/>
  <c r="I2208" i="15"/>
  <c r="I2309" i="15"/>
  <c r="I3863" i="15"/>
  <c r="I4012" i="15"/>
  <c r="I1687" i="15"/>
  <c r="I3851" i="15"/>
  <c r="I3513" i="15"/>
  <c r="I3168" i="15"/>
  <c r="I4013" i="15"/>
  <c r="I2945" i="15"/>
  <c r="I2422" i="15"/>
  <c r="I2250" i="15"/>
  <c r="I2115" i="15"/>
  <c r="I2124" i="15"/>
  <c r="I1396" i="15"/>
  <c r="I3925" i="15"/>
  <c r="I1600" i="15"/>
  <c r="I2336" i="15"/>
  <c r="I1589" i="15"/>
  <c r="I1294" i="15"/>
  <c r="I883" i="15"/>
  <c r="I2335" i="15"/>
  <c r="I2475" i="15"/>
  <c r="I2334" i="15"/>
  <c r="I2806" i="15"/>
  <c r="I262" i="15"/>
  <c r="I3344" i="15"/>
  <c r="I4018" i="15"/>
  <c r="I2345" i="15"/>
  <c r="I2146" i="15"/>
  <c r="I2444" i="15"/>
  <c r="I3728" i="15"/>
  <c r="I2154" i="15"/>
  <c r="I263" i="15"/>
  <c r="I2853" i="15"/>
  <c r="I2455" i="15"/>
  <c r="I1799" i="15"/>
  <c r="I264" i="15"/>
  <c r="I2219" i="15"/>
  <c r="I3532" i="15"/>
  <c r="I3522" i="15"/>
  <c r="I2159" i="15"/>
  <c r="I3380" i="15"/>
  <c r="I2939" i="15"/>
  <c r="I2307" i="15"/>
  <c r="I2211" i="15"/>
  <c r="I2194" i="15"/>
  <c r="I1889" i="15"/>
  <c r="I3410" i="15"/>
  <c r="I2359" i="15"/>
  <c r="I2385" i="15"/>
  <c r="I2383" i="15"/>
  <c r="I1115" i="15"/>
  <c r="I3668" i="15"/>
  <c r="I2390" i="15"/>
  <c r="I2225" i="15"/>
  <c r="I2195" i="15"/>
  <c r="I2343" i="15"/>
  <c r="I2197" i="15"/>
  <c r="I3167" i="15"/>
  <c r="I2982" i="15"/>
  <c r="I994" i="15"/>
  <c r="I1058" i="15"/>
  <c r="I2110" i="15"/>
  <c r="I2304" i="15"/>
  <c r="I1056" i="15"/>
  <c r="I265" i="15"/>
  <c r="I1961" i="15"/>
  <c r="I2530" i="15"/>
  <c r="I88" i="15"/>
  <c r="I266" i="15"/>
  <c r="I1789" i="15"/>
  <c r="I2275" i="15"/>
  <c r="I2142" i="15"/>
  <c r="I2384" i="15"/>
  <c r="I3691" i="15"/>
  <c r="I267" i="15"/>
  <c r="I2149" i="15"/>
  <c r="I268" i="15"/>
  <c r="I2362" i="15"/>
  <c r="I1669" i="15"/>
  <c r="I1792" i="15"/>
  <c r="I2559" i="15"/>
  <c r="I269" i="15"/>
  <c r="I2363" i="15"/>
  <c r="I2323" i="15"/>
  <c r="I270" i="15"/>
  <c r="I271" i="15"/>
  <c r="I2322" i="15"/>
  <c r="I272" i="15"/>
  <c r="I3598" i="15"/>
  <c r="I1696" i="15"/>
  <c r="I273" i="15"/>
  <c r="I846" i="15"/>
  <c r="I3806" i="15"/>
  <c r="I1221" i="15"/>
  <c r="I274" i="15"/>
  <c r="I275" i="15"/>
  <c r="I276" i="15"/>
  <c r="I277" i="15"/>
  <c r="I278" i="15"/>
  <c r="I1235" i="15"/>
  <c r="I1278" i="15"/>
  <c r="I2253" i="15"/>
  <c r="I4148" i="15"/>
  <c r="I2200" i="15"/>
  <c r="I2201" i="15"/>
  <c r="I2202" i="15"/>
  <c r="I4044" i="15"/>
  <c r="I4149" i="15"/>
  <c r="I10" i="15"/>
  <c r="I1985" i="15"/>
  <c r="I1975" i="15"/>
  <c r="I3267" i="15"/>
  <c r="I2025" i="15"/>
  <c r="I3618" i="15"/>
  <c r="I1935" i="15"/>
  <c r="I2679" i="15"/>
  <c r="I1994" i="15"/>
  <c r="I279" i="15"/>
  <c r="I1956" i="15"/>
  <c r="I2705" i="15"/>
  <c r="I3101" i="15"/>
  <c r="I2741" i="15"/>
  <c r="I1761" i="15"/>
  <c r="I2012" i="15"/>
  <c r="I280" i="15"/>
  <c r="I1545" i="15"/>
  <c r="I281" i="15"/>
  <c r="I1510" i="15"/>
  <c r="I768" i="15"/>
  <c r="I1837" i="15"/>
  <c r="I3800" i="15"/>
  <c r="I2528" i="15"/>
  <c r="I2156" i="15"/>
  <c r="I4150" i="15"/>
  <c r="I70" i="15"/>
  <c r="I282" i="15"/>
  <c r="I16" i="15"/>
  <c r="I283" i="15"/>
  <c r="I284" i="15"/>
  <c r="I2875" i="15"/>
  <c r="I2862" i="15"/>
  <c r="I2249" i="15"/>
  <c r="I3707" i="15"/>
  <c r="I1309" i="15"/>
  <c r="I3485" i="15"/>
  <c r="I3433" i="15"/>
  <c r="I936" i="15"/>
  <c r="I1384" i="15"/>
  <c r="I3787" i="15"/>
  <c r="I810" i="15"/>
  <c r="I3712" i="15"/>
  <c r="I3356" i="15"/>
  <c r="I3367" i="15"/>
  <c r="I285" i="15"/>
  <c r="I2377" i="15"/>
  <c r="I1442" i="15"/>
  <c r="I3830" i="15"/>
  <c r="I2990" i="15"/>
  <c r="I3347" i="15"/>
  <c r="I1399" i="15"/>
  <c r="I3505" i="15"/>
  <c r="I2458" i="15"/>
  <c r="I3685" i="15"/>
  <c r="I3936" i="15"/>
  <c r="I1877" i="15"/>
  <c r="I3702" i="15"/>
  <c r="I3420" i="15"/>
  <c r="I3408" i="15"/>
  <c r="I3540" i="15"/>
  <c r="I3821" i="15"/>
  <c r="I3870" i="15"/>
  <c r="I4151" i="15"/>
  <c r="I1192" i="15"/>
  <c r="I86" i="15"/>
  <c r="I109" i="15"/>
  <c r="I3869" i="15"/>
  <c r="I1880" i="15"/>
  <c r="I3934" i="15"/>
  <c r="I3759" i="15"/>
  <c r="I3945" i="15"/>
  <c r="I2599" i="15"/>
  <c r="I1133" i="15"/>
  <c r="I3677" i="15"/>
  <c r="I2819" i="15"/>
  <c r="I2557" i="15"/>
  <c r="I963" i="15"/>
  <c r="I1316" i="15"/>
  <c r="I3392" i="15"/>
  <c r="I2785" i="15"/>
  <c r="I1068" i="15"/>
  <c r="I2114" i="15"/>
  <c r="I2131" i="15"/>
  <c r="I3802" i="15"/>
  <c r="I928" i="15"/>
  <c r="I286" i="15"/>
  <c r="I3825" i="15"/>
  <c r="I1691" i="15"/>
  <c r="I3459" i="15"/>
  <c r="I2814" i="15"/>
  <c r="I1447" i="15"/>
  <c r="I1572" i="15"/>
  <c r="I798" i="15"/>
  <c r="I2467" i="15"/>
  <c r="I2369" i="15"/>
  <c r="I2603" i="15"/>
  <c r="I1154" i="15"/>
  <c r="I1342" i="15"/>
  <c r="I1383" i="15"/>
  <c r="I1715" i="15"/>
  <c r="I287" i="15"/>
  <c r="I3673" i="15"/>
  <c r="I1276" i="15"/>
  <c r="I73" i="15"/>
  <c r="I68" i="15"/>
  <c r="I4152" i="15"/>
  <c r="I2468" i="15"/>
  <c r="I2583" i="15"/>
  <c r="I288" i="15"/>
  <c r="I4111" i="15"/>
  <c r="I3888" i="15"/>
  <c r="I1576" i="15"/>
  <c r="I1575" i="15"/>
  <c r="I4118" i="15"/>
  <c r="I3864" i="15"/>
  <c r="I3375" i="15"/>
  <c r="I1678" i="15"/>
  <c r="I1067" i="15"/>
  <c r="I1748" i="15"/>
  <c r="I878" i="15"/>
  <c r="I2349" i="15"/>
  <c r="I1097" i="15"/>
  <c r="I4051" i="15"/>
  <c r="I2356" i="15"/>
  <c r="I3867" i="15"/>
  <c r="I997" i="15"/>
  <c r="I3584" i="15"/>
  <c r="I2522" i="15"/>
  <c r="I1639" i="15"/>
  <c r="I2018" i="15"/>
  <c r="I3206" i="15"/>
  <c r="I1797" i="15"/>
  <c r="I3444" i="15"/>
  <c r="I3351" i="15"/>
  <c r="I3705" i="15"/>
  <c r="I2058" i="15"/>
  <c r="I2621" i="15"/>
  <c r="I8" i="15"/>
  <c r="I1692" i="15"/>
  <c r="I1187" i="15"/>
  <c r="I2932" i="15"/>
  <c r="I3325" i="15"/>
  <c r="I3357" i="15"/>
  <c r="I2551" i="15"/>
  <c r="I1228" i="15"/>
  <c r="I4153" i="15"/>
  <c r="I1397" i="15"/>
  <c r="I967" i="15"/>
  <c r="I3879" i="15"/>
  <c r="I1448" i="15"/>
  <c r="I812" i="15"/>
  <c r="I1400" i="15"/>
  <c r="I289" i="15"/>
  <c r="I900" i="15"/>
  <c r="I1378" i="15"/>
  <c r="I1681" i="15"/>
  <c r="I2536" i="15"/>
  <c r="I930" i="15"/>
  <c r="I1425" i="15"/>
  <c r="I290" i="15"/>
  <c r="I3914" i="15"/>
  <c r="I4037" i="15"/>
  <c r="I3417" i="15"/>
  <c r="I1092" i="15"/>
  <c r="I3711" i="15"/>
  <c r="I3816" i="15"/>
  <c r="I3418" i="15"/>
  <c r="I1302" i="15"/>
  <c r="I3792" i="15"/>
  <c r="I3855" i="15"/>
  <c r="I3723" i="15"/>
  <c r="I3761" i="15"/>
  <c r="I973" i="15"/>
  <c r="I952" i="15"/>
  <c r="I2120" i="15"/>
  <c r="I1588" i="15"/>
  <c r="I3696" i="15"/>
  <c r="I2576" i="15"/>
  <c r="I3720" i="15"/>
  <c r="I3044" i="15"/>
  <c r="I2582" i="15"/>
  <c r="I3475" i="15"/>
  <c r="I3736" i="15"/>
  <c r="I1171" i="15"/>
  <c r="I131" i="15"/>
  <c r="I1239" i="15"/>
  <c r="I1257" i="15"/>
  <c r="I1273" i="15"/>
  <c r="I67" i="15"/>
  <c r="I3932" i="15"/>
  <c r="I4154" i="15"/>
  <c r="I3926" i="15"/>
  <c r="I1547" i="15"/>
  <c r="I2799" i="15"/>
  <c r="I2317" i="15"/>
  <c r="I2816" i="15"/>
  <c r="I836" i="15"/>
  <c r="I2199" i="15"/>
  <c r="I1134" i="15"/>
  <c r="I3550" i="15"/>
  <c r="I2589" i="15"/>
  <c r="I1952" i="15"/>
  <c r="I1120" i="15"/>
  <c r="I830" i="15"/>
  <c r="I4057" i="15"/>
  <c r="I291" i="15"/>
  <c r="I4068" i="15"/>
  <c r="I4102" i="15"/>
  <c r="I2238" i="15"/>
  <c r="I2171" i="15"/>
  <c r="I292" i="15"/>
  <c r="I3815" i="15"/>
  <c r="I3312" i="15"/>
  <c r="I1307" i="15"/>
  <c r="I2148" i="15"/>
  <c r="I1883" i="15"/>
  <c r="I3854" i="15"/>
  <c r="I1122" i="15"/>
  <c r="I3201" i="15"/>
  <c r="I858" i="15"/>
  <c r="I2770" i="15"/>
  <c r="I1076" i="15"/>
  <c r="I2823" i="15"/>
  <c r="I3150" i="15"/>
  <c r="I1516" i="15"/>
  <c r="I3175" i="15"/>
  <c r="I1801" i="15"/>
  <c r="I3514" i="15"/>
  <c r="I293" i="15"/>
  <c r="I1628" i="15"/>
  <c r="I1169" i="15"/>
  <c r="I838" i="15"/>
  <c r="I2527" i="15"/>
  <c r="I2258" i="15"/>
  <c r="I2370" i="15"/>
  <c r="I996" i="15"/>
  <c r="I3752" i="15"/>
  <c r="I2484" i="15"/>
  <c r="I1875" i="15"/>
  <c r="I1368" i="15"/>
  <c r="I2943" i="15"/>
  <c r="I1229" i="15"/>
  <c r="I294" i="15"/>
  <c r="I295" i="15"/>
  <c r="I4155" i="15"/>
  <c r="I2965" i="15"/>
  <c r="I2550" i="15"/>
  <c r="I1107" i="15"/>
  <c r="I1002" i="15"/>
  <c r="I2413" i="15"/>
  <c r="I3868" i="15"/>
  <c r="I3443" i="15"/>
  <c r="I1995" i="15"/>
  <c r="I2715" i="15"/>
  <c r="I1101" i="15"/>
  <c r="I2500" i="15"/>
  <c r="I3978" i="15"/>
  <c r="I3457" i="15"/>
  <c r="I3763" i="15"/>
  <c r="I3458" i="15"/>
  <c r="I3209" i="15"/>
  <c r="I106" i="15"/>
  <c r="I1803" i="15"/>
  <c r="I2873" i="15"/>
  <c r="I1677" i="15"/>
  <c r="I2397" i="15"/>
  <c r="I3504" i="15"/>
  <c r="I1454" i="15"/>
  <c r="I3950" i="15"/>
  <c r="I1581" i="15"/>
  <c r="I1078" i="15"/>
  <c r="I296" i="15"/>
  <c r="I1226" i="15"/>
  <c r="I1275" i="15"/>
  <c r="I4156" i="15"/>
  <c r="I2598" i="15"/>
  <c r="I965" i="15"/>
  <c r="I3298" i="15"/>
  <c r="I3790" i="15"/>
  <c r="I3713" i="15"/>
  <c r="I297" i="15"/>
  <c r="I2371" i="15"/>
  <c r="I1037" i="15"/>
  <c r="I2339" i="15"/>
  <c r="I1915" i="15"/>
  <c r="I3699" i="15"/>
  <c r="I961" i="15"/>
  <c r="I4085" i="15"/>
  <c r="I3521" i="15"/>
  <c r="I1753" i="15"/>
  <c r="I793" i="15"/>
  <c r="I4087" i="15"/>
  <c r="I4091" i="15"/>
  <c r="I4088" i="15"/>
  <c r="I4092" i="15"/>
  <c r="I4089" i="15"/>
  <c r="I4086" i="15"/>
  <c r="I4090" i="15"/>
  <c r="I3951" i="15"/>
  <c r="I1710" i="15"/>
  <c r="I132" i="15"/>
  <c r="I4157" i="15"/>
  <c r="I3425" i="15"/>
  <c r="I819" i="15"/>
  <c r="I2985" i="15"/>
  <c r="I3822" i="15"/>
  <c r="I1394" i="15"/>
  <c r="I3431" i="15"/>
  <c r="I1113" i="15"/>
  <c r="I3377" i="15"/>
  <c r="I3928" i="15"/>
  <c r="I298" i="15"/>
  <c r="I2859" i="15"/>
  <c r="I3448" i="15"/>
  <c r="I299" i="15"/>
  <c r="I3826" i="15"/>
  <c r="I2863" i="15"/>
  <c r="I3747" i="15"/>
  <c r="I898" i="15"/>
  <c r="I2462" i="15"/>
  <c r="I2469" i="15"/>
  <c r="I2207" i="15"/>
  <c r="I2026" i="15"/>
  <c r="I907" i="15"/>
  <c r="I3402" i="15"/>
  <c r="I1737" i="15"/>
  <c r="I2919" i="15"/>
  <c r="I1798" i="15"/>
  <c r="I28" i="15"/>
  <c r="I4083" i="15"/>
  <c r="I3350" i="15"/>
  <c r="I3716" i="15"/>
  <c r="I750" i="15"/>
  <c r="I3142" i="15"/>
  <c r="I3902" i="15"/>
  <c r="I3345" i="15"/>
  <c r="I3330" i="15"/>
  <c r="I1851" i="15"/>
  <c r="I2581" i="15"/>
  <c r="I2552" i="15"/>
  <c r="I3327" i="15"/>
  <c r="I4158" i="15"/>
  <c r="I2586" i="15"/>
  <c r="I3944" i="15"/>
  <c r="I794" i="15"/>
  <c r="I3203" i="15"/>
  <c r="I2088" i="15"/>
  <c r="I3372" i="15"/>
  <c r="I4109" i="15"/>
  <c r="I76" i="15"/>
  <c r="I2579" i="15"/>
  <c r="I2460" i="15"/>
  <c r="I1152" i="15"/>
  <c r="I2831" i="15"/>
  <c r="I1708" i="15"/>
  <c r="I4110" i="15"/>
  <c r="I3398" i="15"/>
  <c r="I3592" i="15"/>
  <c r="I4133" i="15"/>
  <c r="I4061" i="15"/>
  <c r="I2612" i="15"/>
  <c r="I1740" i="15"/>
  <c r="I1651" i="15"/>
  <c r="I3164" i="15"/>
  <c r="I79" i="15"/>
  <c r="I2076" i="15"/>
  <c r="I3935" i="15"/>
  <c r="I2428" i="15"/>
  <c r="I3959" i="15"/>
  <c r="I2818" i="15"/>
  <c r="I1291" i="15"/>
  <c r="I3751" i="15"/>
  <c r="I1910" i="15"/>
  <c r="I1191" i="15"/>
  <c r="I2584" i="15"/>
  <c r="I3774" i="15"/>
  <c r="I2542" i="15"/>
  <c r="I3760" i="15"/>
  <c r="I1161" i="15"/>
  <c r="I2608" i="15"/>
  <c r="I3772" i="15"/>
  <c r="I2095" i="15"/>
  <c r="I2531" i="15"/>
  <c r="I3222" i="15"/>
  <c r="I3089" i="15"/>
  <c r="I2693" i="15"/>
  <c r="I4038" i="15"/>
  <c r="I2849" i="15"/>
  <c r="I1660" i="15"/>
  <c r="I52" i="15"/>
  <c r="I3008" i="15"/>
  <c r="I889" i="15"/>
  <c r="I3943" i="15"/>
  <c r="I948" i="15"/>
  <c r="I2609" i="15"/>
  <c r="I2079" i="15"/>
  <c r="I1098" i="15"/>
  <c r="I3957" i="15"/>
  <c r="I1179" i="15"/>
  <c r="I3413" i="15"/>
  <c r="I3411" i="15"/>
  <c r="I1268" i="15"/>
  <c r="I4159" i="15"/>
  <c r="I120" i="15"/>
  <c r="I940" i="15"/>
  <c r="I3025" i="15"/>
  <c r="I3057" i="15"/>
  <c r="I788" i="15"/>
  <c r="I2896" i="15"/>
  <c r="I4099" i="15"/>
  <c r="I4100" i="15"/>
  <c r="I2191" i="15"/>
  <c r="I3046" i="15"/>
  <c r="I2636" i="15"/>
  <c r="I2512" i="15"/>
  <c r="I300" i="15"/>
  <c r="I3593" i="15"/>
  <c r="I1683" i="15"/>
  <c r="I2998" i="15"/>
  <c r="I2515" i="15"/>
  <c r="I3582" i="15"/>
  <c r="I82" i="15"/>
  <c r="I2892" i="15"/>
  <c r="I2883" i="15"/>
  <c r="I2884" i="15"/>
  <c r="I121" i="15"/>
  <c r="I2038" i="15"/>
  <c r="I2540" i="15"/>
  <c r="I2886" i="15"/>
  <c r="I2893" i="15"/>
  <c r="I301" i="15"/>
  <c r="I124" i="15"/>
  <c r="I1537" i="15"/>
  <c r="I113" i="15"/>
  <c r="I1102" i="15"/>
  <c r="I1266" i="15"/>
  <c r="I4160" i="15"/>
  <c r="I3290" i="15"/>
  <c r="I302" i="15"/>
  <c r="I3323" i="15"/>
  <c r="I3332" i="15"/>
  <c r="I3451" i="15"/>
  <c r="I3321" i="15"/>
  <c r="I3497" i="15"/>
  <c r="I3827" i="15"/>
  <c r="I3498" i="15"/>
  <c r="I3339" i="15"/>
  <c r="I3828" i="15"/>
  <c r="I3352" i="15"/>
  <c r="I3494" i="15"/>
  <c r="I2333" i="15"/>
  <c r="I3419" i="15"/>
  <c r="I3961" i="15"/>
  <c r="I3784" i="15"/>
  <c r="I3445" i="15"/>
  <c r="I3781" i="15"/>
  <c r="I2979" i="15"/>
  <c r="I3845" i="15"/>
  <c r="I3447" i="15"/>
  <c r="I3954" i="15"/>
  <c r="I3423" i="15"/>
  <c r="I3495" i="15"/>
  <c r="I3709" i="15"/>
  <c r="I3353" i="15"/>
  <c r="I3719" i="15"/>
  <c r="I2537" i="15"/>
  <c r="I2824" i="15"/>
  <c r="I4161" i="15"/>
  <c r="I1709" i="15"/>
  <c r="I1652" i="15"/>
  <c r="I2830" i="15"/>
  <c r="I1349" i="15"/>
  <c r="I1595" i="15"/>
  <c r="I2472" i="15"/>
  <c r="I2434" i="15"/>
  <c r="I1426" i="15"/>
  <c r="I3482" i="15"/>
  <c r="I2257" i="15"/>
  <c r="I2986" i="15"/>
  <c r="I3452" i="15"/>
  <c r="I3446" i="15"/>
  <c r="I2461" i="15"/>
  <c r="I1865" i="15"/>
  <c r="I3471" i="15"/>
  <c r="I1858" i="15"/>
  <c r="I1832" i="15"/>
  <c r="I32" i="15"/>
  <c r="I1754" i="15"/>
  <c r="I2435" i="15"/>
  <c r="I2524" i="15"/>
  <c r="I1430" i="15"/>
  <c r="I125" i="15"/>
  <c r="I4162" i="15"/>
  <c r="I3324" i="15"/>
  <c r="I3322" i="15"/>
  <c r="I2470" i="15"/>
  <c r="I2466" i="15"/>
  <c r="I3724" i="15"/>
  <c r="I3470" i="15"/>
  <c r="I3461" i="15"/>
  <c r="I1814" i="15"/>
  <c r="I3903" i="15"/>
  <c r="I4047" i="15"/>
  <c r="I2968" i="15"/>
  <c r="I3441" i="15"/>
  <c r="I2118" i="15"/>
  <c r="I3496" i="15"/>
  <c r="I3439" i="15"/>
  <c r="I1811" i="15"/>
  <c r="I3721" i="15"/>
  <c r="I2813" i="15"/>
  <c r="I4000" i="15"/>
  <c r="I813" i="15"/>
  <c r="I3831" i="15"/>
  <c r="I3962" i="15"/>
  <c r="I1946" i="15"/>
  <c r="I3722" i="15"/>
  <c r="I3442" i="15"/>
  <c r="I1240" i="15"/>
  <c r="I4163" i="15"/>
  <c r="I3804" i="15"/>
  <c r="I3846" i="15"/>
  <c r="I114" i="15"/>
  <c r="I122" i="15"/>
  <c r="I1000" i="15"/>
  <c r="I303" i="15"/>
  <c r="I1570" i="15"/>
  <c r="I3891" i="15"/>
  <c r="I304" i="15"/>
  <c r="I901" i="15"/>
  <c r="I3710" i="15"/>
  <c r="I37" i="15"/>
  <c r="I895" i="15"/>
  <c r="I951" i="15"/>
  <c r="I3837" i="15"/>
  <c r="I3376" i="15"/>
  <c r="I2773" i="15"/>
  <c r="I779" i="15"/>
  <c r="I931" i="15"/>
  <c r="I1017" i="15"/>
  <c r="I1049" i="15"/>
  <c r="I959" i="15"/>
  <c r="I3473" i="15"/>
  <c r="I3421" i="15"/>
  <c r="I305" i="15"/>
  <c r="I90" i="15"/>
  <c r="I2835" i="15"/>
  <c r="I856" i="15"/>
  <c r="I4119" i="15"/>
  <c r="I1569" i="15"/>
  <c r="I1047" i="15"/>
  <c r="I904" i="15"/>
  <c r="I306" i="15"/>
  <c r="I3526" i="15"/>
  <c r="I890" i="15"/>
  <c r="I914" i="15"/>
  <c r="I3362" i="15"/>
  <c r="I1213" i="15"/>
  <c r="I1246" i="15"/>
  <c r="I4164" i="15"/>
  <c r="I1404" i="15"/>
  <c r="I2699" i="15"/>
  <c r="I3617" i="15"/>
  <c r="I1372" i="15"/>
  <c r="I1300" i="15"/>
  <c r="I2085" i="15"/>
  <c r="I2777" i="15"/>
  <c r="I859" i="15"/>
  <c r="I2517" i="15"/>
  <c r="I999" i="15"/>
  <c r="I1015" i="15"/>
  <c r="I2572" i="15"/>
  <c r="I1182" i="15"/>
  <c r="I863" i="15"/>
  <c r="I850" i="15"/>
  <c r="I56" i="15"/>
  <c r="I1614" i="15"/>
  <c r="I2723" i="15"/>
  <c r="I3793" i="15"/>
  <c r="I3055" i="15"/>
  <c r="I1580" i="15"/>
  <c r="I1168" i="15"/>
  <c r="I1183" i="15"/>
  <c r="I1558" i="15"/>
  <c r="I47" i="15"/>
  <c r="I3019" i="15"/>
  <c r="I2570" i="15"/>
  <c r="I1911" i="15"/>
  <c r="I3676" i="15"/>
  <c r="I826" i="15"/>
  <c r="I857" i="15"/>
  <c r="I2175" i="15"/>
  <c r="I2857" i="15"/>
  <c r="I1548" i="15"/>
  <c r="I2125" i="15"/>
  <c r="I4112" i="15"/>
  <c r="I1918" i="15"/>
  <c r="I307" i="15"/>
  <c r="I835" i="15"/>
  <c r="I3068" i="15"/>
  <c r="I308" i="15"/>
  <c r="I2825" i="15"/>
  <c r="I2301" i="15"/>
  <c r="I2382" i="15"/>
  <c r="I3160" i="15"/>
  <c r="I849" i="15"/>
  <c r="I1227" i="15"/>
  <c r="I309" i="15"/>
  <c r="I4165" i="15"/>
  <c r="I2577" i="15"/>
  <c r="I2903" i="15"/>
  <c r="I3839" i="15"/>
  <c r="I2992" i="15"/>
  <c r="I3848" i="15"/>
  <c r="I3500" i="15"/>
  <c r="I3348" i="15"/>
  <c r="I1769" i="15"/>
  <c r="I1827" i="15"/>
  <c r="I3455" i="15"/>
  <c r="I3456" i="15"/>
  <c r="I1339" i="15"/>
  <c r="I3320" i="15"/>
  <c r="I4079" i="15"/>
  <c r="I2031" i="15"/>
  <c r="I2070" i="15"/>
  <c r="I3773" i="15"/>
  <c r="I3753" i="15"/>
  <c r="I1920" i="15"/>
  <c r="I3694" i="15"/>
  <c r="I2662" i="15"/>
  <c r="I1653" i="15"/>
  <c r="I3285" i="15"/>
  <c r="I2776" i="15"/>
  <c r="I3373" i="15"/>
  <c r="I1890" i="15"/>
  <c r="I4166" i="15"/>
  <c r="I40" i="15"/>
  <c r="I214" i="15"/>
  <c r="I1021" i="15"/>
  <c r="I1117" i="15"/>
  <c r="I1640" i="15"/>
  <c r="I2491" i="15"/>
  <c r="I2492" i="15"/>
  <c r="I1389" i="15"/>
  <c r="I1377" i="15"/>
  <c r="I1301" i="15"/>
  <c r="I3842" i="15"/>
  <c r="I1833" i="15"/>
  <c r="I2867" i="15"/>
  <c r="I3745" i="15"/>
  <c r="I2971" i="15"/>
  <c r="I2974" i="15"/>
  <c r="I103" i="15"/>
  <c r="I1819" i="15"/>
  <c r="I1427" i="15"/>
  <c r="I3063" i="15"/>
  <c r="I3955" i="15"/>
  <c r="I2034" i="15"/>
  <c r="I2065" i="15"/>
  <c r="I2724" i="15"/>
  <c r="I3412" i="15"/>
  <c r="I3212" i="15"/>
  <c r="I30" i="15"/>
  <c r="I908" i="15"/>
  <c r="I1371" i="15"/>
  <c r="I4167" i="15"/>
  <c r="I71" i="15"/>
  <c r="I1891" i="15"/>
  <c r="I981" i="15"/>
  <c r="I3472" i="15"/>
  <c r="I2251" i="15"/>
  <c r="I4144" i="15"/>
  <c r="I3349" i="15"/>
  <c r="I4146" i="15"/>
  <c r="I2973" i="15"/>
  <c r="I3780" i="15"/>
  <c r="I2841" i="15"/>
  <c r="I2843" i="15"/>
  <c r="I3527" i="15"/>
  <c r="I3460" i="15"/>
  <c r="I2865" i="15"/>
  <c r="I2547" i="15"/>
  <c r="I3983" i="15"/>
  <c r="I3984" i="15"/>
  <c r="I2544" i="15"/>
  <c r="I2545" i="15"/>
  <c r="I3981" i="15"/>
  <c r="I3985" i="15"/>
  <c r="I3986" i="15"/>
  <c r="I3987" i="15"/>
  <c r="I2546" i="15"/>
  <c r="I3982" i="15"/>
  <c r="I2548" i="15"/>
  <c r="I2844" i="15"/>
  <c r="I3988" i="15"/>
  <c r="I2839" i="15"/>
  <c r="I3980" i="15"/>
  <c r="I3528" i="15"/>
  <c r="I3529" i="15"/>
  <c r="I3530" i="15"/>
  <c r="I3465" i="15"/>
  <c r="I3246" i="15"/>
  <c r="I2543" i="15"/>
  <c r="I740" i="15"/>
  <c r="I2549" i="15"/>
  <c r="I3301" i="15"/>
  <c r="I3303" i="15"/>
  <c r="I3835" i="15"/>
  <c r="I3469" i="15"/>
  <c r="I3990" i="15"/>
  <c r="I3989" i="15"/>
  <c r="I3836" i="15"/>
  <c r="I2842" i="15"/>
  <c r="I4066" i="15"/>
  <c r="I3559" i="15"/>
  <c r="I1605" i="15"/>
  <c r="I1587" i="15"/>
  <c r="I4002" i="15"/>
  <c r="I4059" i="15"/>
  <c r="I3216" i="15"/>
  <c r="I3088" i="15"/>
  <c r="I3213" i="15"/>
  <c r="I2027" i="15"/>
  <c r="I3385" i="15"/>
  <c r="I1943" i="15"/>
  <c r="I2002" i="15"/>
  <c r="I1823" i="15"/>
  <c r="I1802" i="15"/>
  <c r="I310" i="15"/>
  <c r="I4062" i="15"/>
  <c r="I3786" i="15"/>
  <c r="I3785" i="15"/>
  <c r="I1828" i="15"/>
  <c r="I3483" i="15"/>
  <c r="I3486" i="15"/>
  <c r="I1428" i="15"/>
  <c r="I1838" i="15"/>
  <c r="I2514" i="15"/>
  <c r="I2732" i="15"/>
  <c r="I3087" i="15"/>
  <c r="I1530" i="15"/>
  <c r="I3749" i="15"/>
  <c r="I3801" i="15"/>
  <c r="I2575" i="15"/>
  <c r="I1364" i="15"/>
  <c r="I1203" i="15"/>
  <c r="I1202" i="15"/>
  <c r="I4120" i="15"/>
  <c r="I1247" i="15"/>
  <c r="I1285" i="15"/>
  <c r="I1286" i="15"/>
  <c r="I1287" i="15"/>
  <c r="I4168" i="15"/>
  <c r="I3889" i="15"/>
  <c r="I1458" i="15"/>
  <c r="I2066" i="15"/>
  <c r="I1446" i="15"/>
  <c r="I1568" i="15"/>
  <c r="I1451" i="15"/>
  <c r="I2282" i="15"/>
  <c r="I2656" i="15"/>
  <c r="I1938" i="15"/>
  <c r="I3900" i="15"/>
  <c r="I970" i="15"/>
  <c r="I87" i="15"/>
  <c r="I2980" i="15"/>
  <c r="I990" i="15"/>
  <c r="I1707" i="15"/>
  <c r="I881" i="15"/>
  <c r="I1711" i="15"/>
  <c r="I2969" i="15"/>
  <c r="I2877" i="15"/>
  <c r="I2836" i="15"/>
  <c r="I2874" i="15"/>
  <c r="I2059" i="15"/>
  <c r="I1701" i="15"/>
  <c r="I3901" i="15"/>
  <c r="I995" i="15"/>
  <c r="I2972" i="15"/>
  <c r="I3729" i="15"/>
  <c r="I1429" i="15"/>
  <c r="I4169" i="15"/>
  <c r="I941" i="15"/>
  <c r="I2331" i="15"/>
  <c r="I1308" i="15"/>
  <c r="I1551" i="15"/>
  <c r="I2709" i="15"/>
  <c r="I3571" i="15"/>
  <c r="I311" i="15"/>
  <c r="I3641" i="15"/>
  <c r="I1843" i="15"/>
  <c r="I3594" i="15"/>
  <c r="I2890" i="15"/>
  <c r="I4139" i="15"/>
  <c r="I13" i="15"/>
  <c r="I3190" i="15"/>
  <c r="I312" i="15"/>
  <c r="I1629" i="15"/>
  <c r="I3635" i="15"/>
  <c r="I998" i="15"/>
  <c r="I2176" i="15"/>
  <c r="I2193" i="15"/>
  <c r="I1014" i="15"/>
  <c r="I3016" i="15"/>
  <c r="I313" i="15"/>
  <c r="I314" i="15"/>
  <c r="I315" i="15"/>
  <c r="I316" i="15"/>
  <c r="I4170" i="15"/>
  <c r="I317" i="15"/>
  <c r="I1270" i="15"/>
  <c r="I318" i="15"/>
  <c r="I319" i="15"/>
  <c r="I320" i="15"/>
  <c r="I321" i="15"/>
  <c r="I322" i="15"/>
  <c r="I323" i="15"/>
  <c r="I324" i="15"/>
  <c r="I1272" i="15"/>
  <c r="I3507" i="15"/>
  <c r="I325" i="15"/>
  <c r="I1080" i="15"/>
  <c r="I1081" i="15"/>
  <c r="I1846" i="15"/>
  <c r="I2162" i="15"/>
  <c r="I2921" i="15"/>
  <c r="I1848" i="15"/>
  <c r="I2923" i="15"/>
  <c r="I2166" i="15"/>
  <c r="I2222" i="15"/>
  <c r="I2910" i="15"/>
  <c r="I2912" i="15"/>
  <c r="I2264" i="15"/>
  <c r="I3824" i="15"/>
  <c r="I2394" i="15"/>
  <c r="I2381" i="15"/>
  <c r="I3370" i="15"/>
  <c r="I3390" i="15"/>
  <c r="I2833" i="15"/>
  <c r="I4080" i="15"/>
  <c r="I2393" i="15"/>
  <c r="I4171" i="15"/>
  <c r="I2179" i="15"/>
  <c r="I22" i="15"/>
  <c r="I4172" i="15"/>
  <c r="I2901" i="15"/>
  <c r="I2063" i="15"/>
  <c r="I1083" i="15"/>
  <c r="I1220" i="15"/>
  <c r="I4173" i="15"/>
  <c r="I326" i="15"/>
  <c r="I2617" i="15"/>
  <c r="I4174" i="15"/>
  <c r="I2618" i="15"/>
  <c r="I4175" i="15"/>
  <c r="I839" i="15"/>
  <c r="I840" i="15"/>
  <c r="I841" i="15"/>
  <c r="I844" i="15"/>
  <c r="I327" i="15"/>
  <c r="I3263" i="15"/>
  <c r="I3247" i="15"/>
  <c r="I3258" i="15"/>
  <c r="I3383" i="15"/>
  <c r="I3693" i="15"/>
  <c r="I3276" i="15"/>
  <c r="I3269" i="15"/>
  <c r="I2004" i="15"/>
  <c r="I2752" i="15"/>
  <c r="I3273" i="15"/>
  <c r="I2267" i="15"/>
  <c r="I3194" i="15"/>
  <c r="I3255" i="15"/>
  <c r="I1963" i="15"/>
  <c r="I2644" i="15"/>
  <c r="I2567" i="15"/>
  <c r="I2747" i="15"/>
  <c r="I3271" i="15"/>
  <c r="I3000" i="15"/>
  <c r="I3001" i="15"/>
  <c r="I865" i="15"/>
  <c r="I864" i="15"/>
  <c r="I757" i="15"/>
  <c r="I1121" i="15"/>
  <c r="I2622" i="15"/>
  <c r="I328" i="15"/>
  <c r="I4114" i="15"/>
  <c r="I1267" i="15"/>
  <c r="I3477" i="15"/>
  <c r="I2375" i="15"/>
  <c r="I3123" i="15"/>
  <c r="I4176" i="15"/>
  <c r="I1666" i="15"/>
  <c r="I39" i="15"/>
  <c r="I3279" i="15"/>
  <c r="I1988" i="15"/>
  <c r="I2571" i="15"/>
  <c r="I3264" i="15"/>
  <c r="I2716" i="15"/>
  <c r="I3198" i="15"/>
  <c r="I329" i="15"/>
  <c r="I3748" i="15"/>
  <c r="I2379" i="15"/>
  <c r="I3092" i="15"/>
  <c r="I1540" i="15"/>
  <c r="I330" i="15"/>
  <c r="I831" i="15"/>
  <c r="I2917" i="15"/>
  <c r="I2858" i="15"/>
  <c r="I3873" i="15"/>
  <c r="I4177" i="15"/>
  <c r="I867" i="15"/>
  <c r="I3358" i="15"/>
  <c r="I331" i="15"/>
  <c r="I1533" i="15"/>
  <c r="I1532" i="15"/>
  <c r="I1535" i="15"/>
  <c r="I1534" i="15"/>
  <c r="I2788" i="15"/>
  <c r="I4178" i="15"/>
  <c r="I2521" i="15"/>
  <c r="I2625" i="15"/>
  <c r="I4179" i="15"/>
  <c r="I745" i="15"/>
  <c r="I1902" i="15"/>
  <c r="I1778" i="15"/>
  <c r="I1906" i="15"/>
  <c r="I1905" i="15"/>
  <c r="I1904" i="15"/>
  <c r="I1908" i="15"/>
  <c r="I2239" i="15"/>
  <c r="I4180" i="15"/>
  <c r="I4181" i="15"/>
  <c r="I3636" i="15"/>
  <c r="I3646" i="15"/>
  <c r="I3671" i="15"/>
  <c r="I3659" i="15"/>
  <c r="I1643" i="15"/>
  <c r="I2700" i="15"/>
  <c r="I2696" i="15"/>
  <c r="I332" i="15"/>
  <c r="I333" i="15"/>
  <c r="I2236" i="15"/>
  <c r="I2243" i="15"/>
  <c r="I2450" i="15"/>
  <c r="I334" i="15"/>
  <c r="I335" i="15"/>
  <c r="I3580" i="15"/>
  <c r="I2535" i="15"/>
  <c r="I2452" i="15"/>
  <c r="I3355" i="15"/>
  <c r="I4071" i="15"/>
  <c r="I3337" i="15"/>
  <c r="I4040" i="15"/>
  <c r="I2800" i="15"/>
  <c r="I3393" i="15"/>
  <c r="I1590" i="15"/>
  <c r="I2562" i="15"/>
  <c r="I4052" i="15"/>
  <c r="I2692" i="15"/>
  <c r="I3686" i="15"/>
  <c r="I2386" i="15"/>
  <c r="I2387" i="15"/>
  <c r="I2145" i="15"/>
  <c r="I2216" i="15"/>
  <c r="I950" i="15"/>
  <c r="I4182" i="15"/>
  <c r="I2112" i="15"/>
  <c r="I3547" i="15"/>
  <c r="I818" i="15"/>
  <c r="I1841" i="15"/>
  <c r="I2994" i="15"/>
  <c r="I2237" i="15"/>
  <c r="I2003" i="15"/>
  <c r="I3078" i="15"/>
  <c r="I336" i="15"/>
  <c r="I2297" i="15"/>
  <c r="I337" i="15"/>
  <c r="I2762" i="15"/>
  <c r="I2764" i="15"/>
  <c r="I3137" i="15"/>
  <c r="I1966" i="15"/>
  <c r="I3604" i="15"/>
  <c r="I1989" i="15"/>
  <c r="I3614" i="15"/>
  <c r="I2305" i="15"/>
  <c r="I3621" i="15"/>
  <c r="I3595" i="15"/>
  <c r="I2494" i="15"/>
  <c r="I2295" i="15"/>
  <c r="I2248" i="15"/>
  <c r="I2936" i="15"/>
  <c r="I1617" i="15"/>
  <c r="I817" i="15"/>
  <c r="I3002" i="15"/>
  <c r="I1888" i="15"/>
  <c r="I3422" i="15"/>
  <c r="I2023" i="15"/>
  <c r="I338" i="15"/>
  <c r="I339" i="15"/>
  <c r="I4001" i="15"/>
  <c r="I3633" i="15"/>
  <c r="I2771" i="15"/>
  <c r="I340" i="15"/>
  <c r="I3553" i="15"/>
  <c r="I2564" i="15"/>
  <c r="I2769" i="15"/>
  <c r="I3557" i="15"/>
  <c r="I2300" i="15"/>
  <c r="I3174" i="15"/>
  <c r="I3138" i="15"/>
  <c r="I2920" i="15"/>
  <c r="I1861" i="15"/>
  <c r="I1847" i="15"/>
  <c r="I2914" i="15"/>
  <c r="I3911" i="15"/>
  <c r="I3683" i="15"/>
  <c r="I4183" i="15"/>
  <c r="I853" i="15"/>
  <c r="I1505" i="15"/>
  <c r="I3603" i="15"/>
  <c r="I1348" i="15"/>
  <c r="I2449" i="15"/>
  <c r="I3193" i="15"/>
  <c r="I1528" i="15"/>
  <c r="I3192" i="15"/>
  <c r="I3622" i="15"/>
  <c r="I2759" i="15"/>
  <c r="I1970" i="15"/>
  <c r="I25" i="15"/>
  <c r="I2802" i="15"/>
  <c r="I2028" i="15"/>
  <c r="I3602" i="15"/>
  <c r="I3076" i="15"/>
  <c r="I1720" i="15"/>
  <c r="I2962" i="15"/>
  <c r="I1063" i="15"/>
  <c r="I1065" i="15"/>
  <c r="I2691" i="15"/>
  <c r="I2750" i="15"/>
  <c r="I2361" i="15"/>
  <c r="I2525" i="15"/>
  <c r="I2157" i="15"/>
  <c r="I2155" i="15"/>
  <c r="I2134" i="15"/>
  <c r="I341" i="15"/>
  <c r="I2533" i="15"/>
  <c r="I2538" i="15"/>
  <c r="I2126" i="15"/>
  <c r="I2158" i="15"/>
  <c r="I342" i="15"/>
  <c r="I4184" i="15"/>
  <c r="I1084" i="15"/>
  <c r="I1085" i="15"/>
  <c r="I1086" i="15"/>
  <c r="I343" i="15"/>
  <c r="I344" i="15"/>
  <c r="I345" i="15"/>
  <c r="I346" i="15"/>
  <c r="I347" i="15"/>
  <c r="I348" i="15"/>
  <c r="I349" i="15"/>
  <c r="I350" i="15"/>
  <c r="I1087" i="15"/>
  <c r="I1088" i="15"/>
  <c r="I1089" i="15"/>
  <c r="I1090" i="15"/>
  <c r="I1091" i="15"/>
  <c r="I1898" i="15"/>
  <c r="I1897" i="15"/>
  <c r="I1896" i="15"/>
  <c r="I1895" i="15"/>
  <c r="I2519" i="15"/>
  <c r="I1727" i="15"/>
  <c r="I1763" i="15"/>
  <c r="I1241" i="15"/>
  <c r="I1242" i="15"/>
  <c r="I1243" i="15"/>
  <c r="I4185" i="15"/>
  <c r="I23" i="15"/>
  <c r="I1519" i="15"/>
  <c r="I1359" i="15"/>
  <c r="I3904" i="15"/>
  <c r="I48" i="15"/>
  <c r="I1212" i="15"/>
  <c r="I4186" i="15"/>
  <c r="I2918" i="15"/>
  <c r="I1593" i="15"/>
  <c r="I910" i="15"/>
  <c r="I1016" i="15"/>
  <c r="I3401" i="15"/>
  <c r="I3292" i="15"/>
  <c r="I3293" i="15"/>
  <c r="I1194" i="15"/>
  <c r="I1845" i="15"/>
  <c r="I3737" i="15"/>
  <c r="I2966" i="15"/>
  <c r="I1809" i="15"/>
  <c r="I3435" i="15"/>
  <c r="I3769" i="15"/>
  <c r="I962" i="15"/>
  <c r="I2416" i="15"/>
  <c r="I3454" i="15"/>
  <c r="I3949" i="15"/>
  <c r="I3335" i="15"/>
  <c r="I2852" i="15"/>
  <c r="I2279" i="15"/>
  <c r="I823" i="15"/>
  <c r="I1953" i="15"/>
  <c r="I2590" i="15"/>
  <c r="I2817" i="15"/>
  <c r="I822" i="15"/>
  <c r="I3029" i="15"/>
  <c r="I3232" i="15"/>
  <c r="I3033" i="15"/>
  <c r="I2327" i="15"/>
  <c r="I2329" i="15"/>
  <c r="I2328" i="15"/>
  <c r="I4065" i="15"/>
  <c r="I739" i="15"/>
  <c r="I3214" i="15"/>
  <c r="I776" i="15"/>
  <c r="I1340" i="15"/>
  <c r="I1760" i="15"/>
  <c r="I1218" i="15"/>
  <c r="I4187" i="15"/>
  <c r="I4003" i="15"/>
  <c r="I1751" i="15"/>
  <c r="I1151" i="15"/>
  <c r="I3381" i="15"/>
  <c r="I3051" i="15"/>
  <c r="I2488" i="15"/>
  <c r="I3814" i="15"/>
  <c r="I3905" i="15"/>
  <c r="I2951" i="15"/>
  <c r="I814" i="15"/>
  <c r="I1440" i="15"/>
  <c r="I743" i="15"/>
  <c r="I2081" i="15"/>
  <c r="I3220" i="15"/>
  <c r="I1343" i="15"/>
  <c r="I1338" i="15"/>
  <c r="I3852" i="15"/>
  <c r="I1297" i="15"/>
  <c r="I2733" i="15"/>
  <c r="I1954" i="15"/>
  <c r="I769" i="15"/>
  <c r="I351" i="15"/>
  <c r="I1993" i="15"/>
  <c r="I1835" i="15"/>
  <c r="I2827" i="15"/>
  <c r="I2850" i="15"/>
  <c r="I1623" i="15"/>
  <c r="I1104" i="15"/>
  <c r="I1381" i="15"/>
  <c r="I1195" i="15"/>
  <c r="I3005" i="15"/>
  <c r="I3176" i="15"/>
  <c r="I1685" i="15"/>
  <c r="I1197" i="15"/>
  <c r="I1073" i="15"/>
  <c r="I3560" i="15"/>
  <c r="I1211" i="15"/>
  <c r="I1649" i="15"/>
  <c r="I1722" i="15"/>
  <c r="I1127" i="15"/>
  <c r="I352" i="15"/>
  <c r="I4188" i="15"/>
  <c r="I353" i="15"/>
  <c r="I354" i="15"/>
  <c r="I2116" i="15"/>
  <c r="I3338" i="15"/>
  <c r="I1916" i="15"/>
  <c r="I2897" i="15"/>
  <c r="I3788" i="15"/>
  <c r="I3771" i="15"/>
  <c r="I2988" i="15"/>
  <c r="I2838" i="15"/>
  <c r="I3173" i="15"/>
  <c r="I2967" i="15"/>
  <c r="I3756" i="15"/>
  <c r="I3862" i="15"/>
  <c r="I3466" i="15"/>
  <c r="I3172" i="15"/>
  <c r="I3833" i="15"/>
  <c r="I3437" i="15"/>
  <c r="I1329" i="15"/>
  <c r="I1825" i="15"/>
  <c r="I3286" i="15"/>
  <c r="I1794" i="15"/>
  <c r="I3810" i="15"/>
  <c r="I3319" i="15"/>
  <c r="I4036" i="15"/>
  <c r="I3434" i="15"/>
  <c r="I4189" i="15"/>
  <c r="I1105" i="15"/>
  <c r="I3438" i="15"/>
  <c r="I3489" i="15"/>
  <c r="I3453" i="15"/>
  <c r="I3341" i="15"/>
  <c r="I2978" i="15"/>
  <c r="I2906" i="15"/>
  <c r="I2803" i="15"/>
  <c r="I4084" i="15"/>
  <c r="I1334" i="15"/>
  <c r="I1332" i="15"/>
  <c r="I1917" i="15"/>
  <c r="I3313" i="15"/>
  <c r="I3700" i="15"/>
  <c r="I1299" i="15"/>
  <c r="I1367" i="15"/>
  <c r="I1804" i="15"/>
  <c r="I1460" i="15"/>
  <c r="I1457" i="15"/>
  <c r="I1431" i="15"/>
  <c r="I1109" i="15"/>
  <c r="I1477" i="15"/>
  <c r="I2096" i="15"/>
  <c r="I111" i="15"/>
  <c r="I3818" i="15"/>
  <c r="I96" i="15"/>
  <c r="I355" i="15"/>
  <c r="I1215" i="15"/>
  <c r="I1250" i="15"/>
  <c r="I1279" i="15"/>
  <c r="I4190" i="15"/>
  <c r="I4191" i="15"/>
  <c r="I117" i="15"/>
  <c r="I123" i="15"/>
  <c r="I2507" i="15"/>
  <c r="I3048" i="15"/>
  <c r="I3574" i="15"/>
  <c r="I3578" i="15"/>
  <c r="I1546" i="15"/>
  <c r="I3660" i="15"/>
  <c r="I1180" i="15"/>
  <c r="I1435" i="15"/>
  <c r="I3674" i="15"/>
  <c r="I356" i="15"/>
  <c r="I357" i="15"/>
  <c r="I3049" i="15"/>
  <c r="I4129" i="15"/>
  <c r="I1560" i="15"/>
  <c r="I358" i="15"/>
  <c r="I1186" i="15"/>
  <c r="I359" i="15"/>
  <c r="I360" i="15"/>
  <c r="I3050" i="15"/>
  <c r="I1184" i="15"/>
  <c r="I3620" i="15"/>
  <c r="I2061" i="15"/>
  <c r="I1661" i="15"/>
  <c r="I361" i="15"/>
  <c r="I1493" i="15"/>
  <c r="I3013" i="15"/>
  <c r="I1185" i="15"/>
  <c r="I362" i="15"/>
  <c r="I363" i="15"/>
  <c r="I1565" i="15"/>
  <c r="I797" i="15"/>
  <c r="I4192" i="15"/>
  <c r="I364" i="15"/>
  <c r="I365" i="15"/>
  <c r="I366" i="15"/>
  <c r="I367" i="15"/>
  <c r="I845" i="15"/>
  <c r="I1305" i="15"/>
  <c r="I803" i="15"/>
  <c r="I3652" i="15"/>
  <c r="I3070" i="15"/>
  <c r="I2983" i="15"/>
  <c r="I1555" i="15"/>
  <c r="I866" i="15"/>
  <c r="I1128" i="15"/>
  <c r="I1766" i="15"/>
  <c r="I4054" i="15"/>
  <c r="I2019" i="15"/>
  <c r="I368" i="15"/>
  <c r="I1130" i="15"/>
  <c r="I3537" i="15"/>
  <c r="I1790" i="15"/>
  <c r="I2689" i="15"/>
  <c r="I1773" i="15"/>
  <c r="I3817" i="15"/>
  <c r="I2821" i="15"/>
  <c r="I2687" i="15"/>
  <c r="I4193" i="15"/>
  <c r="I1732" i="15"/>
  <c r="I1452" i="15"/>
  <c r="I2457" i="15"/>
  <c r="I2262" i="15"/>
  <c r="I2117" i="15"/>
  <c r="I4077" i="15"/>
  <c r="I2820" i="15"/>
  <c r="I2395" i="15"/>
  <c r="I2396" i="15"/>
  <c r="I2364" i="15"/>
  <c r="I2400" i="15"/>
  <c r="I1208" i="15"/>
  <c r="I2190" i="15"/>
  <c r="I1365" i="15"/>
  <c r="I1872" i="15"/>
  <c r="I2976" i="15"/>
  <c r="I3744" i="15"/>
  <c r="I982" i="15"/>
  <c r="I1632" i="15"/>
  <c r="I61" i="15"/>
  <c r="I2846" i="15"/>
  <c r="I24" i="15"/>
  <c r="I1567" i="15"/>
  <c r="I3329" i="15"/>
  <c r="I1082" i="15"/>
  <c r="I369" i="15"/>
  <c r="I370" i="15"/>
  <c r="I1292" i="15"/>
  <c r="I2808" i="15"/>
  <c r="I2423" i="15"/>
  <c r="I2810" i="15"/>
  <c r="I2987" i="15"/>
  <c r="I99" i="15"/>
  <c r="I1022" i="15"/>
  <c r="I1591" i="15"/>
  <c r="I1671" i="15"/>
  <c r="I972" i="15"/>
  <c r="I1602" i="15"/>
  <c r="I1382" i="15"/>
  <c r="I1821" i="15"/>
  <c r="I3866" i="15"/>
  <c r="I2509" i="15"/>
  <c r="I1903" i="15"/>
  <c r="I1219" i="15"/>
  <c r="I1271" i="15"/>
  <c r="I371" i="15"/>
  <c r="I372" i="15"/>
  <c r="I373" i="15"/>
  <c r="I374" i="15"/>
  <c r="I1907" i="15"/>
  <c r="I75" i="15"/>
  <c r="I1106" i="15"/>
  <c r="I4194" i="15"/>
  <c r="I3354" i="15"/>
  <c r="I3394" i="15"/>
  <c r="I1385" i="15"/>
  <c r="I1682" i="15"/>
  <c r="I1674" i="15"/>
  <c r="I1313" i="15"/>
  <c r="I1066" i="15"/>
  <c r="I1040" i="15"/>
  <c r="I2486" i="15"/>
  <c r="I3090" i="15"/>
  <c r="I3217" i="15"/>
  <c r="I2017" i="15"/>
  <c r="I3034" i="15"/>
  <c r="I2840" i="15"/>
  <c r="I3838" i="15"/>
  <c r="I3326" i="15"/>
  <c r="I3333" i="15"/>
  <c r="I4195" i="15"/>
  <c r="I1443" i="15"/>
  <c r="I1003" i="15"/>
  <c r="I2097" i="15"/>
  <c r="I2756" i="15"/>
  <c r="I824" i="15"/>
  <c r="I1432" i="15"/>
  <c r="I1594" i="15"/>
  <c r="I3687" i="15"/>
  <c r="I3908" i="15"/>
  <c r="I3767" i="15"/>
  <c r="I2900" i="15"/>
  <c r="I1478" i="15"/>
  <c r="I375" i="15"/>
  <c r="I3538" i="15"/>
  <c r="I376" i="15"/>
  <c r="I1449" i="15"/>
  <c r="I4078" i="15"/>
  <c r="I83" i="15"/>
  <c r="I377" i="15"/>
  <c r="I3976" i="15"/>
  <c r="I1944" i="15"/>
  <c r="I2977" i="15"/>
  <c r="I2036" i="15"/>
  <c r="I3642" i="15"/>
  <c r="I1729" i="15"/>
  <c r="I3136" i="15"/>
  <c r="I4196" i="15"/>
  <c r="I834" i="15"/>
  <c r="I847" i="15"/>
  <c r="I3253" i="15"/>
  <c r="I2981" i="15"/>
  <c r="I833" i="15"/>
  <c r="I3199" i="15"/>
  <c r="I378" i="15"/>
  <c r="I2366" i="15"/>
  <c r="I3536" i="15"/>
  <c r="I1369" i="15"/>
  <c r="I2860" i="15"/>
  <c r="I758" i="15"/>
  <c r="I752" i="15"/>
  <c r="I2568" i="15"/>
  <c r="I1024" i="15"/>
  <c r="I2429" i="15"/>
  <c r="I975" i="15"/>
  <c r="I762" i="15"/>
  <c r="I746" i="15"/>
  <c r="I3615" i="15"/>
  <c r="I379" i="15"/>
  <c r="I408" i="15"/>
  <c r="I3023" i="15"/>
  <c r="I979" i="15"/>
  <c r="I1603" i="15"/>
  <c r="I380" i="15"/>
  <c r="I2127" i="15"/>
  <c r="I381" i="15"/>
  <c r="I1719" i="15"/>
  <c r="I2649" i="15"/>
  <c r="I1482" i="15"/>
  <c r="I3275" i="15"/>
  <c r="I3650" i="15"/>
  <c r="I3073" i="15"/>
  <c r="I3858" i="15"/>
  <c r="I3542" i="15"/>
  <c r="I2087" i="15"/>
  <c r="I2136" i="15"/>
  <c r="I382" i="15"/>
  <c r="I3656" i="15"/>
  <c r="I855" i="15"/>
  <c r="I1112" i="15"/>
  <c r="I2430" i="15"/>
  <c r="I2152" i="15"/>
  <c r="I1237" i="15"/>
  <c r="I1245" i="15"/>
  <c r="I383" i="15"/>
  <c r="I384" i="15"/>
  <c r="I385" i="15"/>
  <c r="I386" i="15"/>
  <c r="I387" i="15"/>
  <c r="I388" i="15"/>
  <c r="I389" i="15"/>
  <c r="I390" i="15"/>
  <c r="I391" i="15"/>
  <c r="I392" i="15"/>
  <c r="I3613" i="15"/>
  <c r="I2916" i="15"/>
  <c r="I118" i="15"/>
  <c r="I4197" i="15"/>
  <c r="I1552" i="15"/>
  <c r="I2970" i="15"/>
  <c r="I2409" i="15"/>
  <c r="I2223" i="15"/>
  <c r="I2350" i="15"/>
  <c r="I1421" i="15"/>
  <c r="I1422" i="15"/>
  <c r="I2351" i="15"/>
  <c r="I2226" i="15"/>
  <c r="I2411" i="15"/>
  <c r="I2975" i="15"/>
  <c r="I3782" i="15"/>
  <c r="I1408" i="15"/>
  <c r="I1407" i="15"/>
  <c r="I1410" i="15"/>
  <c r="I1409" i="15"/>
  <c r="I1411" i="15"/>
  <c r="I2955" i="15"/>
  <c r="I1310" i="15"/>
  <c r="I1622" i="15"/>
  <c r="I2228" i="15"/>
  <c r="I1413" i="15"/>
  <c r="I1414" i="15"/>
  <c r="I2476" i="15"/>
  <c r="I2478" i="15"/>
  <c r="I2352" i="15"/>
  <c r="I1420" i="15"/>
  <c r="I2479" i="15"/>
  <c r="I1034" i="15"/>
  <c r="I1415" i="15"/>
  <c r="I1416" i="15"/>
  <c r="I1417" i="15"/>
  <c r="I1418" i="15"/>
  <c r="I1419" i="15"/>
  <c r="I1412" i="15"/>
  <c r="I1424" i="15"/>
  <c r="I1423" i="15"/>
  <c r="I2410" i="15"/>
  <c r="I2580" i="15"/>
  <c r="I3405" i="15"/>
  <c r="I3020" i="15"/>
  <c r="I3518" i="15"/>
  <c r="I3829" i="15"/>
  <c r="I2861" i="15"/>
  <c r="I2779" i="15"/>
  <c r="I3361" i="15"/>
  <c r="I1114" i="15"/>
  <c r="I3812" i="15"/>
  <c r="I3403" i="15"/>
  <c r="I3819" i="15"/>
  <c r="I3156" i="15"/>
  <c r="I3758" i="15"/>
  <c r="I3409" i="15"/>
  <c r="I2822" i="15"/>
  <c r="I3162" i="15"/>
  <c r="I2855" i="15"/>
  <c r="I3823" i="15"/>
  <c r="I786" i="15"/>
  <c r="I1979" i="15"/>
  <c r="I3218" i="15"/>
  <c r="I1006" i="15"/>
  <c r="I1480" i="15"/>
  <c r="I2637" i="15"/>
  <c r="I1839" i="15"/>
  <c r="I1867" i="15"/>
  <c r="I1390" i="15"/>
  <c r="I1541" i="15"/>
  <c r="I3770" i="15"/>
  <c r="I3228" i="15"/>
  <c r="I2405" i="15"/>
  <c r="I754" i="15"/>
  <c r="I873" i="15"/>
  <c r="I1159" i="15"/>
  <c r="I3876" i="15"/>
  <c r="I3952" i="15"/>
  <c r="I1386" i="15"/>
  <c r="I2414" i="15"/>
  <c r="I3499" i="15"/>
  <c r="I3188" i="15"/>
  <c r="I2991" i="15"/>
  <c r="I3314" i="15"/>
  <c r="I393" i="15"/>
  <c r="I3316" i="15"/>
  <c r="I3146" i="15"/>
  <c r="I3185" i="15"/>
  <c r="I742" i="15"/>
  <c r="I4049" i="15"/>
  <c r="I3490" i="15"/>
  <c r="I3708" i="15"/>
  <c r="I2561" i="15"/>
  <c r="I3493" i="15"/>
  <c r="I3331" i="15"/>
  <c r="I3727" i="15"/>
  <c r="I1282" i="15"/>
  <c r="I1563" i="15"/>
  <c r="I4198" i="15"/>
  <c r="I1131" i="15"/>
  <c r="I4199" i="15"/>
  <c r="I74" i="15"/>
  <c r="I394" i="15"/>
  <c r="I395" i="15"/>
  <c r="I3163" i="15"/>
  <c r="I3834" i="15"/>
  <c r="I3750" i="15"/>
  <c r="I2933" i="15"/>
  <c r="I3462" i="15"/>
  <c r="I1331" i="15"/>
  <c r="I3295" i="15"/>
  <c r="I3678" i="15"/>
  <c r="I3746" i="15"/>
  <c r="I1344" i="15"/>
  <c r="I980" i="15"/>
  <c r="I985" i="15"/>
  <c r="I3266" i="15"/>
  <c r="I983" i="15"/>
  <c r="I984" i="15"/>
  <c r="I2341" i="15"/>
  <c r="I2463" i="15"/>
  <c r="I3030" i="15"/>
  <c r="I2600" i="15"/>
  <c r="I1636" i="15"/>
  <c r="I1862" i="15"/>
  <c r="I2437" i="15"/>
  <c r="I104" i="15"/>
  <c r="I1774" i="15"/>
  <c r="I2780" i="15"/>
  <c r="I3586" i="15"/>
  <c r="I3541" i="15"/>
  <c r="I34" i="15"/>
  <c r="I1260" i="15"/>
  <c r="I4200" i="15"/>
  <c r="I1767" i="15"/>
  <c r="I791" i="15"/>
  <c r="I1223" i="15"/>
  <c r="I802" i="15"/>
  <c r="I119" i="15"/>
  <c r="I3064" i="15"/>
  <c r="I805" i="15"/>
  <c r="I57" i="15"/>
  <c r="I1094" i="15"/>
  <c r="I1129" i="15"/>
  <c r="I1124" i="15"/>
  <c r="I3653" i="15"/>
  <c r="I396" i="15"/>
  <c r="I3071" i="15"/>
  <c r="I3975" i="15"/>
  <c r="I790" i="15"/>
  <c r="I397" i="15"/>
  <c r="I4063" i="15"/>
  <c r="I2493" i="15"/>
  <c r="I1764" i="15"/>
  <c r="I1556" i="15"/>
  <c r="I398" i="15"/>
  <c r="I399" i="15"/>
  <c r="I4201" i="15"/>
  <c r="I1177" i="15"/>
  <c r="I4138" i="15"/>
  <c r="I1074" i="15"/>
  <c r="I1071" i="15"/>
  <c r="I2108" i="15"/>
  <c r="I2312" i="15"/>
  <c r="I2907" i="15"/>
  <c r="I1612" i="15"/>
  <c r="I1921" i="15"/>
  <c r="I1370" i="15"/>
  <c r="I1700" i="15"/>
  <c r="I2448" i="15"/>
  <c r="I1362" i="15"/>
  <c r="I1607" i="15"/>
  <c r="I2113" i="15"/>
  <c r="I2871" i="15"/>
  <c r="I3310" i="15"/>
  <c r="I1747" i="15"/>
  <c r="I400" i="15"/>
  <c r="I401" i="15"/>
  <c r="I1670" i="15"/>
  <c r="I3407" i="15"/>
  <c r="I2172" i="15"/>
  <c r="I1319" i="15"/>
  <c r="I2446" i="15"/>
  <c r="I4011" i="15"/>
  <c r="I402" i="15"/>
  <c r="I403" i="15"/>
  <c r="I3191" i="15"/>
  <c r="I2060" i="15"/>
  <c r="I2597" i="15"/>
  <c r="I3972" i="15"/>
  <c r="I3909" i="15"/>
  <c r="I2464" i="15"/>
  <c r="I2392" i="15"/>
  <c r="I404" i="15"/>
  <c r="I3843" i="15"/>
  <c r="I2786" i="15"/>
  <c r="I405" i="15"/>
  <c r="I2924" i="15"/>
  <c r="I2355" i="15"/>
  <c r="I406" i="15"/>
  <c r="I3340" i="15"/>
  <c r="I2170" i="15"/>
  <c r="I2483" i="15"/>
  <c r="I1656" i="15"/>
  <c r="I1536" i="15"/>
  <c r="I2402" i="15"/>
  <c r="I1855" i="15"/>
  <c r="I2224" i="15"/>
  <c r="I2346" i="15"/>
  <c r="I2497" i="15"/>
  <c r="I3311" i="15"/>
  <c r="I3478" i="15"/>
  <c r="I2904" i="15"/>
  <c r="I2669" i="15"/>
  <c r="I2320" i="15"/>
  <c r="I1355" i="15"/>
  <c r="I2787" i="15"/>
  <c r="I2878" i="15"/>
  <c r="I1357" i="15"/>
  <c r="I837" i="15"/>
  <c r="I1663" i="15"/>
  <c r="I3028" i="15"/>
  <c r="I2993" i="15"/>
  <c r="I2573" i="15"/>
  <c r="I409" i="15"/>
  <c r="I2937" i="15"/>
  <c r="I410" i="15"/>
  <c r="I2332" i="15"/>
  <c r="I411" i="15"/>
  <c r="I1731" i="15"/>
  <c r="I2313" i="15"/>
  <c r="I1822" i="15"/>
  <c r="I1874" i="15"/>
  <c r="I1350" i="15"/>
  <c r="I3768" i="15"/>
  <c r="I3797" i="15"/>
  <c r="I412" i="15"/>
  <c r="I562" i="15"/>
  <c r="I3916" i="15"/>
  <c r="I2123" i="15"/>
  <c r="I2772" i="15"/>
  <c r="I2805" i="15"/>
  <c r="I3847" i="15"/>
  <c r="I4130" i="15"/>
  <c r="I3169" i="15"/>
  <c r="I1023" i="15"/>
  <c r="I3308" i="15"/>
  <c r="I2344" i="15"/>
  <c r="I2372" i="15"/>
  <c r="I3309" i="15"/>
  <c r="I41" i="15"/>
  <c r="I761" i="15"/>
  <c r="I3740" i="15"/>
  <c r="I4137" i="15"/>
  <c r="I3865" i="15"/>
  <c r="I413" i="15"/>
  <c r="I414" i="15"/>
  <c r="I124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1259" i="15"/>
  <c r="I832" i="15"/>
  <c r="I842" i="15"/>
  <c r="I848" i="15"/>
  <c r="I1318" i="15"/>
  <c r="I428" i="15"/>
  <c r="I3284" i="15"/>
  <c r="I429" i="15"/>
  <c r="I1170" i="15"/>
  <c r="I2212" i="15"/>
  <c r="I756" i="15"/>
  <c r="I753" i="15"/>
  <c r="I3287" i="15"/>
  <c r="I2151" i="15"/>
  <c r="I3237" i="15"/>
  <c r="I2837" i="15"/>
  <c r="I964" i="15"/>
  <c r="I1631" i="15"/>
  <c r="I3197" i="15"/>
  <c r="I2569" i="15"/>
  <c r="I3516" i="15"/>
  <c r="I3149" i="15"/>
  <c r="I2511" i="15"/>
  <c r="I1293" i="15"/>
  <c r="I3679" i="15"/>
  <c r="I2905" i="15"/>
  <c r="I749" i="15"/>
  <c r="I1026" i="15"/>
  <c r="I1618" i="15"/>
  <c r="I430" i="15"/>
  <c r="I2403" i="15"/>
  <c r="I3688" i="15"/>
  <c r="I431" i="15"/>
  <c r="I432" i="15"/>
  <c r="I2247" i="15"/>
  <c r="I1324" i="15"/>
  <c r="I3681" i="15"/>
  <c r="I433" i="15"/>
  <c r="I434" i="15"/>
  <c r="I2868" i="15"/>
  <c r="I1881" i="15"/>
  <c r="I927" i="15"/>
  <c r="I435" i="15"/>
  <c r="I1233" i="15"/>
  <c r="I1254" i="15"/>
  <c r="I2934" i="15"/>
  <c r="I2938" i="15"/>
  <c r="I4202" i="15"/>
  <c r="I1214" i="15"/>
  <c r="I66" i="15"/>
  <c r="I1939" i="15"/>
  <c r="I1160" i="15"/>
  <c r="I3703" i="15"/>
  <c r="I977" i="15"/>
  <c r="I2485" i="15"/>
  <c r="I3856" i="15"/>
  <c r="I3296" i="15"/>
  <c r="I3695" i="15"/>
  <c r="I3805" i="15"/>
  <c r="I3481" i="15"/>
  <c r="I3147" i="15"/>
  <c r="I3871" i="15"/>
  <c r="I3519" i="15"/>
  <c r="I3524" i="15"/>
  <c r="I3933" i="15"/>
  <c r="I829" i="15"/>
  <c r="I3762" i="15"/>
  <c r="I3503" i="15"/>
  <c r="I3531" i="15"/>
  <c r="I3484" i="15"/>
  <c r="I3491" i="15"/>
  <c r="I3766" i="15"/>
  <c r="I1860" i="15"/>
  <c r="I1542" i="15"/>
  <c r="I1749" i="15"/>
  <c r="I4067" i="15"/>
  <c r="I3436" i="15"/>
  <c r="I2604" i="15"/>
  <c r="I2077" i="15"/>
  <c r="I954" i="15"/>
  <c r="I2080" i="15"/>
  <c r="I932" i="15"/>
  <c r="I1028" i="15"/>
  <c r="I3977" i="15"/>
  <c r="I1566" i="15"/>
  <c r="I2926" i="15"/>
  <c r="I1859" i="15"/>
  <c r="I4203" i="15"/>
  <c r="I1137" i="15"/>
  <c r="I2651" i="15"/>
  <c r="I3543" i="15"/>
  <c r="I2657" i="15"/>
  <c r="I1765" i="15"/>
  <c r="I436" i="15"/>
  <c r="I804" i="15"/>
  <c r="I738" i="15"/>
  <c r="I437" i="15"/>
  <c r="I3647" i="15"/>
  <c r="I3463" i="15"/>
  <c r="I3765" i="15"/>
  <c r="I2585" i="15"/>
  <c r="I2144" i="15"/>
  <c r="I3924" i="15"/>
  <c r="I3525" i="15"/>
  <c r="I2482" i="15"/>
  <c r="I2908" i="15"/>
  <c r="I1704" i="15"/>
  <c r="I2298" i="15"/>
  <c r="I1676" i="15"/>
  <c r="I2376" i="15"/>
  <c r="I2342" i="15"/>
  <c r="I438" i="15"/>
  <c r="I1011" i="15"/>
  <c r="I2578" i="15"/>
  <c r="I2244" i="15"/>
  <c r="I3993" i="15"/>
  <c r="I3890" i="15"/>
  <c r="I3899" i="15"/>
  <c r="I1136" i="15"/>
  <c r="I1941" i="15"/>
  <c r="I3995" i="15"/>
  <c r="I3996" i="15"/>
  <c r="I3997" i="15"/>
  <c r="I3994" i="15"/>
  <c r="I2876" i="15"/>
  <c r="I1001" i="15"/>
  <c r="I3364" i="15"/>
  <c r="I9" i="15"/>
  <c r="I105" i="15"/>
  <c r="I33" i="15"/>
  <c r="I100" i="15"/>
  <c r="I3661" i="15"/>
  <c r="I3637" i="15"/>
  <c r="I1584" i="15"/>
  <c r="I1444" i="15"/>
  <c r="I1919" i="15"/>
  <c r="I1744" i="15"/>
  <c r="I439" i="15"/>
  <c r="I440" i="15"/>
  <c r="I441" i="15"/>
  <c r="I442" i="15"/>
  <c r="I443" i="15"/>
  <c r="I444" i="15"/>
  <c r="I4204" i="15"/>
  <c r="I1093" i="15"/>
  <c r="I2558" i="15"/>
  <c r="I2022" i="15"/>
  <c r="I58" i="15"/>
  <c r="I1125" i="15"/>
  <c r="I59" i="15"/>
  <c r="I3183" i="15"/>
  <c r="I2020" i="15"/>
  <c r="I445" i="15"/>
  <c r="I2658" i="15"/>
  <c r="I1768" i="15"/>
  <c r="I3662" i="15"/>
  <c r="I3539" i="15"/>
  <c r="I446" i="15"/>
  <c r="I1306" i="15"/>
  <c r="I4205" i="15"/>
  <c r="I1216" i="15"/>
  <c r="I2765" i="15"/>
  <c r="I2726" i="15"/>
  <c r="I3229" i="15"/>
  <c r="I782" i="15"/>
  <c r="I1928" i="15"/>
  <c r="I3638" i="15"/>
  <c r="I2565" i="15"/>
  <c r="I4069" i="15"/>
  <c r="I3628" i="15"/>
  <c r="I55" i="15"/>
  <c r="I893" i="15"/>
  <c r="I1153" i="15"/>
  <c r="I2834" i="15"/>
  <c r="I3378" i="15"/>
  <c r="I2851" i="15"/>
  <c r="I1585" i="15"/>
  <c r="I1039" i="15"/>
  <c r="I800" i="15"/>
  <c r="I2826" i="15"/>
  <c r="I3221" i="15"/>
  <c r="I2688" i="15"/>
  <c r="I3917" i="15"/>
  <c r="I3706" i="15"/>
  <c r="I4031" i="15"/>
  <c r="I3382" i="15"/>
  <c r="I1029" i="15"/>
  <c r="I3991" i="15"/>
  <c r="I1321" i="15"/>
  <c r="I3054" i="15"/>
  <c r="I2474" i="15"/>
  <c r="I2016" i="15"/>
  <c r="I3404" i="15"/>
  <c r="I85" i="15"/>
  <c r="I2052" i="15"/>
  <c r="I891" i="15"/>
  <c r="I1697" i="15"/>
  <c r="I2473" i="15"/>
  <c r="I2638" i="15"/>
  <c r="I1455" i="15"/>
  <c r="I2809" i="15"/>
  <c r="I1393" i="15"/>
  <c r="I1787" i="15"/>
  <c r="I2927" i="15"/>
  <c r="I2847" i="15"/>
  <c r="I1812" i="15"/>
  <c r="I3960" i="15"/>
  <c r="I3223" i="15"/>
  <c r="I3186" i="15"/>
  <c r="I4050" i="15"/>
  <c r="I1209" i="15"/>
  <c r="I3726" i="15"/>
  <c r="I2740" i="15"/>
  <c r="I1713" i="15"/>
  <c r="I3910" i="15"/>
  <c r="I4206" i="15"/>
  <c r="I69" i="15"/>
  <c r="I1665" i="15"/>
  <c r="I3588" i="15"/>
  <c r="I2668" i="15"/>
  <c r="I1123" i="15"/>
  <c r="I2178" i="15"/>
  <c r="I2627" i="15"/>
  <c r="I3010" i="15"/>
  <c r="I969" i="15"/>
  <c r="I447" i="15"/>
  <c r="I448" i="15"/>
  <c r="I991" i="15"/>
  <c r="I3110" i="15"/>
  <c r="I449" i="15"/>
  <c r="I3619" i="15"/>
  <c r="I3242" i="15"/>
  <c r="I2591" i="15"/>
  <c r="I1543" i="15"/>
  <c r="I1937" i="15"/>
  <c r="I450" i="15"/>
  <c r="I2360" i="15"/>
  <c r="I2481" i="15"/>
  <c r="I3940" i="15"/>
  <c r="I3234" i="15"/>
  <c r="I3157" i="15"/>
  <c r="I451" i="15"/>
  <c r="I748" i="15"/>
  <c r="I3302" i="15"/>
  <c r="I452" i="15"/>
  <c r="I2632" i="15"/>
  <c r="I1959" i="15"/>
  <c r="I453" i="15"/>
  <c r="I1914" i="15"/>
  <c r="I4103" i="15"/>
  <c r="I1550" i="15"/>
  <c r="I2001" i="15"/>
  <c r="I2794" i="15"/>
  <c r="I1948" i="15"/>
  <c r="I454" i="15"/>
  <c r="I1069" i="15"/>
  <c r="I1926" i="15"/>
  <c r="I2666" i="15"/>
  <c r="I3249" i="15"/>
  <c r="I3979" i="15"/>
  <c r="I2296" i="15"/>
  <c r="I3809" i="15"/>
  <c r="I455" i="15"/>
  <c r="I456" i="15"/>
  <c r="I2633" i="15"/>
  <c r="I457" i="15"/>
  <c r="I2915" i="15"/>
  <c r="I1236" i="15"/>
  <c r="I1238" i="15"/>
  <c r="I458" i="15"/>
  <c r="I459" i="15"/>
  <c r="I460" i="15"/>
  <c r="I3210" i="15"/>
  <c r="I807" i="15"/>
  <c r="I4207" i="15"/>
  <c r="I1274" i="15"/>
  <c r="I2615" i="15"/>
  <c r="I2614" i="15"/>
  <c r="I2620" i="15"/>
  <c r="I1201" i="15"/>
  <c r="I461" i="15"/>
  <c r="I4208" i="15"/>
  <c r="I18" i="15"/>
  <c r="I4209" i="15"/>
  <c r="I115" i="15"/>
  <c r="I2516" i="15"/>
  <c r="I1630" i="15"/>
  <c r="I2782" i="15"/>
  <c r="I462" i="15"/>
  <c r="I463" i="15"/>
  <c r="I464" i="15"/>
  <c r="I465" i="15"/>
  <c r="I4009" i="15"/>
  <c r="I2960" i="15"/>
  <c r="I2958" i="15"/>
  <c r="I466" i="15"/>
  <c r="I467" i="15"/>
  <c r="I1829" i="15"/>
  <c r="I468" i="15"/>
  <c r="I4026" i="15"/>
  <c r="I3796" i="15"/>
  <c r="I469" i="15"/>
  <c r="I2879" i="15"/>
  <c r="I3139" i="15"/>
  <c r="I470" i="15"/>
  <c r="I471" i="15"/>
  <c r="I472" i="15"/>
  <c r="I2954" i="15"/>
  <c r="I2477" i="15"/>
  <c r="I1689" i="15"/>
  <c r="I1252" i="15"/>
  <c r="I1255" i="15"/>
  <c r="I3171" i="15"/>
  <c r="I473" i="15"/>
  <c r="I474" i="15"/>
  <c r="I1366" i="15"/>
  <c r="I475" i="15"/>
  <c r="I476" i="15"/>
  <c r="I2959" i="15"/>
  <c r="I477" i="15"/>
  <c r="I2957" i="15"/>
  <c r="I2161" i="15"/>
  <c r="I2182" i="15"/>
  <c r="I3506" i="15"/>
  <c r="I821" i="15"/>
  <c r="I4210" i="15"/>
  <c r="I923" i="15"/>
  <c r="I2594" i="15"/>
  <c r="I2592" i="15"/>
  <c r="I3715" i="15"/>
  <c r="I747" i="15"/>
  <c r="I81" i="15"/>
  <c r="I1785" i="15"/>
  <c r="I2595" i="15"/>
  <c r="I2828" i="15"/>
  <c r="I1199" i="15"/>
  <c r="I2727" i="15"/>
  <c r="I2033" i="15"/>
  <c r="I3534" i="15"/>
  <c r="I1844" i="15"/>
  <c r="I4094" i="15"/>
  <c r="I4095" i="15"/>
  <c r="I1352" i="15"/>
  <c r="I1353" i="15"/>
  <c r="I1354" i="15"/>
  <c r="I1351" i="15"/>
  <c r="I2233" i="15"/>
  <c r="I4211" i="15"/>
  <c r="I1392" i="15"/>
  <c r="I2623" i="15"/>
  <c r="I1539" i="15"/>
  <c r="I2616" i="15"/>
  <c r="I478" i="15"/>
  <c r="I479" i="15"/>
  <c r="I4212" i="15"/>
  <c r="I2619" i="15"/>
  <c r="I4213" i="15"/>
  <c r="I811" i="15"/>
  <c r="I3701" i="15"/>
  <c r="I1782" i="15"/>
  <c r="I3449" i="15"/>
  <c r="I1032" i="15"/>
  <c r="I3052" i="15"/>
  <c r="I2487" i="15"/>
  <c r="I915" i="15"/>
  <c r="I3585" i="15"/>
  <c r="I2628" i="15"/>
  <c r="I3654" i="15"/>
  <c r="I3648" i="15"/>
  <c r="I3544" i="15"/>
  <c r="I2563" i="15"/>
  <c r="I2601" i="15"/>
  <c r="I2670" i="15"/>
  <c r="I2763" i="15"/>
  <c r="I1900" i="15"/>
  <c r="I3717" i="15"/>
  <c r="I3318" i="15"/>
  <c r="I2388" i="15"/>
  <c r="I2605" i="15"/>
  <c r="I26" i="15"/>
  <c r="I3512" i="15"/>
  <c r="I1878" i="15"/>
  <c r="I2373" i="15"/>
  <c r="I3368" i="15"/>
  <c r="I3294" i="15"/>
  <c r="I1757" i="15"/>
  <c r="I2766" i="15"/>
  <c r="I3675" i="15"/>
  <c r="I4122" i="15"/>
  <c r="I3134" i="15"/>
  <c r="I4082" i="15"/>
  <c r="I3704" i="15"/>
  <c r="I108" i="15"/>
  <c r="I1886" i="15"/>
  <c r="I2299" i="15"/>
  <c r="I935" i="15"/>
  <c r="I1314" i="15"/>
  <c r="I480" i="15"/>
  <c r="I1256" i="15"/>
  <c r="I1277" i="15"/>
  <c r="I1288" i="15"/>
  <c r="I2273" i="15"/>
  <c r="I1885" i="15"/>
  <c r="I4214" i="15"/>
  <c r="I112" i="15"/>
  <c r="I1733" i="15"/>
  <c r="I2935" i="15"/>
  <c r="I98" i="15"/>
  <c r="I42" i="15"/>
  <c r="I2436" i="15"/>
  <c r="I1655" i="15"/>
  <c r="I116" i="15"/>
  <c r="I3479" i="15"/>
  <c r="I3299" i="15"/>
  <c r="I3148" i="15"/>
  <c r="I3161" i="15"/>
  <c r="I2880" i="15"/>
  <c r="I2829" i="15"/>
  <c r="I1335" i="15"/>
  <c r="I481" i="15"/>
  <c r="I1333" i="15"/>
  <c r="I2652" i="15"/>
  <c r="I482" i="15"/>
  <c r="I483" i="15"/>
  <c r="I2510" i="15"/>
  <c r="I484" i="15"/>
  <c r="I3" i="15"/>
  <c r="I485" i="15"/>
  <c r="I1810" i="15"/>
  <c r="I1361" i="15"/>
  <c r="I2480" i="15"/>
  <c r="I4019" i="15"/>
  <c r="I4023" i="15"/>
  <c r="I3682" i="15"/>
  <c r="I3684" i="15"/>
  <c r="I1863" i="15"/>
  <c r="I3151" i="15"/>
  <c r="I3153" i="15"/>
  <c r="I3798" i="15"/>
  <c r="I486" i="15"/>
  <c r="I2150" i="15"/>
  <c r="I1882" i="15"/>
  <c r="I4215" i="15"/>
  <c r="I1465" i="15"/>
  <c r="I487" i="15"/>
  <c r="I1462" i="15"/>
  <c r="I1471" i="15"/>
  <c r="I43" i="15"/>
  <c r="I488" i="15"/>
  <c r="I489" i="15"/>
  <c r="I490" i="15"/>
  <c r="I491" i="15"/>
  <c r="I1466" i="15"/>
  <c r="I1470" i="15"/>
  <c r="I767" i="15"/>
  <c r="I764" i="15"/>
  <c r="I4216" i="15"/>
  <c r="I1173" i="15"/>
  <c r="I2593" i="15"/>
  <c r="I492" i="15"/>
  <c r="I493" i="15"/>
  <c r="I494" i="15"/>
  <c r="I495" i="15"/>
  <c r="I2624" i="15"/>
  <c r="I1610" i="15"/>
  <c r="I4217" i="15"/>
  <c r="I2037" i="15"/>
  <c r="I2035" i="15"/>
  <c r="I3250" i="15"/>
  <c r="I1072" i="15"/>
  <c r="I496" i="15"/>
  <c r="I2760" i="15"/>
  <c r="I2642" i="15"/>
  <c r="I2728" i="15"/>
  <c r="I3027" i="15"/>
  <c r="I497" i="15"/>
  <c r="I2128" i="15"/>
  <c r="I2129" i="15"/>
  <c r="I2165" i="15"/>
  <c r="I2534" i="15"/>
  <c r="I2539" i="15"/>
  <c r="I2153" i="15"/>
  <c r="I4218" i="15"/>
  <c r="I3386" i="15"/>
  <c r="I3395" i="15"/>
  <c r="I2272" i="15"/>
  <c r="I2274" i="15"/>
  <c r="I498" i="15"/>
  <c r="I2180" i="15"/>
  <c r="I2235" i="15"/>
  <c r="I499" i="15"/>
  <c r="I1262" i="15"/>
  <c r="I500" i="15"/>
  <c r="I29" i="15"/>
  <c r="I2266" i="15"/>
  <c r="I2147" i="15"/>
  <c r="I501" i="15"/>
  <c r="I49" i="15"/>
  <c r="I1971" i="15"/>
  <c r="I3277" i="15"/>
  <c r="I3256" i="15"/>
  <c r="I2643" i="15"/>
  <c r="I3272" i="15"/>
  <c r="I2748" i="15"/>
  <c r="I2761" i="15"/>
  <c r="I2645" i="15"/>
  <c r="I3270" i="15"/>
  <c r="I3259" i="15"/>
  <c r="I3274" i="15"/>
  <c r="I3251" i="15"/>
  <c r="I3248" i="15"/>
  <c r="I3265" i="15"/>
  <c r="I3196" i="15"/>
  <c r="I3200" i="15"/>
  <c r="I3280" i="15"/>
  <c r="I1641" i="15"/>
  <c r="I4219" i="15"/>
  <c r="I1095" i="15"/>
  <c r="I64" i="15"/>
  <c r="I4" i="15"/>
  <c r="I1044" i="15"/>
  <c r="I1042" i="15"/>
  <c r="I1043" i="15"/>
  <c r="I1048" i="15"/>
  <c r="I4220" i="15"/>
  <c r="I1664" i="15"/>
  <c r="I4221" i="15"/>
  <c r="I19" i="15"/>
  <c r="I4222" i="15"/>
  <c r="I1108" i="15"/>
  <c r="I1118" i="15"/>
  <c r="I1135" i="15"/>
  <c r="I1172" i="15"/>
  <c r="I1198" i="15"/>
  <c r="I502" i="15"/>
  <c r="I503" i="15"/>
  <c r="I504" i="15"/>
  <c r="I505" i="15"/>
  <c r="I506" i="15"/>
  <c r="I507" i="15"/>
  <c r="I1336" i="15"/>
  <c r="I1387" i="15"/>
  <c r="I1327" i="15"/>
  <c r="I4074" i="15"/>
  <c r="I1574" i="15"/>
  <c r="I870" i="15"/>
  <c r="I3591" i="15"/>
  <c r="I2639" i="15"/>
  <c r="I4034" i="15"/>
  <c r="I508" i="15"/>
  <c r="I760" i="15"/>
  <c r="I3791" i="15"/>
  <c r="I1450" i="15"/>
  <c r="I3215" i="15"/>
  <c r="I1980" i="15"/>
  <c r="I509" i="15"/>
  <c r="I1672" i="15"/>
  <c r="I3799" i="15"/>
  <c r="I3224" i="15"/>
  <c r="I2640" i="15"/>
  <c r="I1742" i="15"/>
  <c r="I3515" i="15"/>
  <c r="I2084" i="15"/>
  <c r="I2734" i="15"/>
  <c r="I1445" i="15"/>
  <c r="I4223" i="15"/>
  <c r="I897" i="15"/>
  <c r="I899" i="15"/>
  <c r="I896" i="15"/>
  <c r="I902" i="15"/>
  <c r="I4224" i="15"/>
  <c r="I2659" i="15"/>
  <c r="I2029" i="15"/>
  <c r="I1126" i="15"/>
  <c r="I3600" i="15"/>
  <c r="I801" i="15"/>
  <c r="I3072" i="15"/>
  <c r="I2021" i="15"/>
  <c r="I1554" i="15"/>
  <c r="I60" i="15"/>
  <c r="I792" i="15"/>
  <c r="I510" i="15"/>
  <c r="I511" i="15"/>
  <c r="I741" i="15"/>
  <c r="I1132" i="15"/>
  <c r="I3631" i="15"/>
  <c r="I3626" i="15"/>
  <c r="I2660" i="15"/>
  <c r="I3611" i="15"/>
  <c r="I3053" i="15"/>
  <c r="I512" i="15"/>
  <c r="I3649" i="15"/>
  <c r="I1562" i="15"/>
  <c r="I4225" i="15"/>
  <c r="I2071" i="15"/>
  <c r="I1728" i="15"/>
  <c r="I2587" i="15"/>
  <c r="I1526" i="15"/>
  <c r="I3225" i="15"/>
  <c r="I3948" i="15"/>
  <c r="I3953" i="15"/>
  <c r="I4140" i="15"/>
  <c r="I1481" i="15"/>
  <c r="I781" i="15"/>
  <c r="I4096" i="15"/>
  <c r="I3467" i="15"/>
  <c r="I1298" i="15"/>
  <c r="I1675" i="15"/>
  <c r="I3813" i="15"/>
  <c r="I3937" i="15"/>
  <c r="I1604" i="15"/>
  <c r="I1836" i="15"/>
  <c r="I1036" i="15"/>
  <c r="I2848" i="15"/>
  <c r="I2845" i="15"/>
  <c r="I1680" i="15"/>
  <c r="I3714" i="15"/>
  <c r="I1679" i="15"/>
  <c r="I2407" i="15"/>
  <c r="I2471" i="15"/>
  <c r="I1251" i="15"/>
  <c r="I4226" i="15"/>
  <c r="I129" i="15"/>
  <c r="I1110" i="15"/>
  <c r="I1143" i="15"/>
  <c r="I1148" i="15"/>
  <c r="I1525" i="15"/>
  <c r="I3973" i="15"/>
  <c r="I1391" i="15"/>
  <c r="I796" i="15"/>
  <c r="I3931" i="15"/>
  <c r="I1781" i="15"/>
  <c r="I1699" i="15"/>
  <c r="I1403" i="15"/>
  <c r="I1608" i="15"/>
  <c r="I2706" i="15"/>
  <c r="I2051" i="15"/>
  <c r="I1007" i="15"/>
  <c r="I3964" i="15"/>
  <c r="I80" i="15"/>
  <c r="I3885" i="15"/>
  <c r="I1718" i="15"/>
  <c r="I1035" i="15"/>
  <c r="I1779" i="15"/>
  <c r="I2417" i="15"/>
  <c r="I1376" i="15"/>
  <c r="I1698" i="15"/>
  <c r="I1004" i="15"/>
  <c r="I1374" i="15"/>
  <c r="I921" i="15"/>
  <c r="I1459" i="15"/>
  <c r="I2424" i="15"/>
  <c r="I4107" i="15"/>
  <c r="I3883" i="15"/>
  <c r="I993" i="15"/>
  <c r="I2050" i="15"/>
  <c r="I1752" i="15"/>
  <c r="I2185" i="15"/>
  <c r="I2049" i="15"/>
  <c r="I3359" i="15"/>
  <c r="I2415" i="15"/>
  <c r="I1265" i="15"/>
  <c r="I4227" i="15"/>
  <c r="I513" i="15"/>
  <c r="I888" i="15"/>
  <c r="I912" i="15"/>
  <c r="I911" i="15"/>
  <c r="I946" i="15"/>
  <c r="I947" i="15"/>
  <c r="I3587" i="15"/>
  <c r="I2671" i="15"/>
  <c r="I3036" i="15"/>
  <c r="I2719" i="15"/>
  <c r="I2014" i="15"/>
  <c r="I2011" i="15"/>
  <c r="I4064" i="15"/>
  <c r="I887" i="15"/>
  <c r="I3561" i="15"/>
  <c r="I875" i="15"/>
  <c r="I885" i="15"/>
  <c r="I925" i="15"/>
  <c r="I1041" i="15"/>
  <c r="I107" i="15"/>
  <c r="I7" i="15"/>
  <c r="I976" i="15"/>
  <c r="I1402" i="15"/>
  <c r="I4228" i="15"/>
  <c r="I14" i="15"/>
  <c r="I1138" i="15"/>
  <c r="I1142" i="15"/>
  <c r="I1144" i="15"/>
  <c r="I1149" i="15"/>
  <c r="I1157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2909" i="15"/>
  <c r="I563" i="15"/>
  <c r="I564" i="15"/>
  <c r="I565" i="15"/>
  <c r="I566" i="15"/>
  <c r="I567" i="15"/>
  <c r="I1166" i="15"/>
  <c r="I1269" i="15"/>
  <c r="I3124" i="15"/>
  <c r="I3601" i="15"/>
  <c r="I2502" i="15"/>
  <c r="I2663" i="15"/>
  <c r="I4093" i="15"/>
  <c r="I1780" i="15"/>
  <c r="I1013" i="15"/>
  <c r="I744" i="15"/>
  <c r="I2053" i="15"/>
  <c r="I1637" i="15"/>
  <c r="I1019" i="15"/>
  <c r="I568" i="15"/>
  <c r="I53" i="15"/>
  <c r="I3125" i="15"/>
  <c r="I2057" i="15"/>
  <c r="I799" i="15"/>
  <c r="I2667" i="15"/>
  <c r="I3912" i="15"/>
  <c r="I3913" i="15"/>
  <c r="I868" i="15"/>
  <c r="I4229" i="15"/>
  <c r="I127" i="15"/>
  <c r="I128" i="15"/>
  <c r="I407" i="15"/>
  <c r="I1111" i="15"/>
  <c r="I569" i="15"/>
  <c r="I1145" i="15"/>
  <c r="I1147" i="15"/>
  <c r="I1162" i="15"/>
  <c r="I1163" i="15"/>
  <c r="I1164" i="15"/>
  <c r="I1165" i="15"/>
  <c r="I1217" i="15"/>
  <c r="I1248" i="15"/>
  <c r="I3468" i="15"/>
  <c r="I3732" i="15"/>
  <c r="I4055" i="15"/>
  <c r="I1140" i="15"/>
  <c r="I3739" i="15"/>
  <c r="I3738" i="15"/>
  <c r="I3795" i="15"/>
  <c r="I2465" i="15"/>
  <c r="I1296" i="15"/>
  <c r="I3734" i="15"/>
  <c r="I3927" i="15"/>
  <c r="I1793" i="15"/>
  <c r="I2574" i="15"/>
  <c r="I3731" i="15"/>
  <c r="I1008" i="15"/>
  <c r="I3832" i="15"/>
  <c r="I2278" i="15"/>
  <c r="I1852" i="15"/>
  <c r="I2043" i="15"/>
  <c r="I2783" i="15"/>
  <c r="I95" i="15"/>
  <c r="I3145" i="15"/>
  <c r="I3291" i="15"/>
  <c r="I2556" i="15"/>
  <c r="I3992" i="15"/>
  <c r="I2009" i="15"/>
  <c r="I2047" i="15"/>
  <c r="I570" i="15"/>
  <c r="I3881" i="15"/>
  <c r="I77" i="15"/>
  <c r="I869" i="15"/>
  <c r="I926" i="15"/>
  <c r="I3956" i="15"/>
  <c r="I939" i="15"/>
  <c r="I884" i="15"/>
  <c r="I2048" i="15"/>
  <c r="I3741" i="15"/>
  <c r="I886" i="15"/>
  <c r="I1453" i="15"/>
  <c r="I1559" i="15"/>
  <c r="I571" i="15"/>
  <c r="I3915" i="15"/>
  <c r="I2046" i="15"/>
  <c r="I3289" i="15"/>
  <c r="I3733" i="15"/>
  <c r="I3725" i="15"/>
  <c r="I3754" i="15"/>
  <c r="I1755" i="15"/>
  <c r="I905" i="15"/>
  <c r="I3317" i="15"/>
  <c r="I4113" i="15"/>
  <c r="I3307" i="15"/>
  <c r="I2045" i="15"/>
  <c r="I3946" i="15"/>
  <c r="I1945" i="15"/>
  <c r="I4030" i="15"/>
  <c r="I3304" i="15"/>
  <c r="I1038" i="15"/>
  <c r="I755" i="15"/>
  <c r="I922" i="15"/>
  <c r="I2044" i="15"/>
  <c r="I1325" i="15"/>
  <c r="I1940" i="15"/>
  <c r="I2419" i="15"/>
  <c r="I3853" i="15"/>
  <c r="I572" i="15"/>
  <c r="I2418" i="15"/>
  <c r="I573" i="15"/>
  <c r="I574" i="15"/>
  <c r="I575" i="15"/>
  <c r="I576" i="15"/>
  <c r="I577" i="15"/>
  <c r="I578" i="15"/>
  <c r="I1724" i="15"/>
  <c r="I579" i="15"/>
  <c r="I1884" i="15"/>
  <c r="I580" i="15"/>
  <c r="I581" i="15"/>
  <c r="I582" i="15"/>
  <c r="I3144" i="15"/>
  <c r="I3974" i="15"/>
  <c r="I583" i="15"/>
  <c r="I584" i="15"/>
  <c r="I585" i="15"/>
  <c r="I3882" i="15"/>
  <c r="I3432" i="15"/>
  <c r="I2280" i="15"/>
  <c r="I1281" i="15"/>
  <c r="I4230" i="15"/>
  <c r="I1200" i="15"/>
  <c r="I1030" i="15"/>
  <c r="I1025" i="15"/>
  <c r="I1150" i="15"/>
  <c r="I1613" i="15"/>
  <c r="I54" i="15"/>
  <c r="I586" i="15"/>
  <c r="I587" i="15"/>
  <c r="I2039" i="15"/>
  <c r="I3958" i="15"/>
  <c r="I2606" i="15"/>
  <c r="I909" i="15"/>
  <c r="I588" i="15"/>
  <c r="I589" i="15"/>
  <c r="I590" i="15"/>
  <c r="I591" i="15"/>
  <c r="I872" i="15"/>
  <c r="I2513" i="15"/>
  <c r="I3492" i="15"/>
  <c r="I3811" i="15"/>
  <c r="I2541" i="15"/>
  <c r="I2610" i="15"/>
  <c r="I1018" i="15"/>
  <c r="I592" i="15"/>
  <c r="I593" i="15"/>
  <c r="I594" i="15"/>
  <c r="I595" i="15"/>
  <c r="I596" i="15"/>
  <c r="I597" i="15"/>
  <c r="I3476" i="15"/>
  <c r="I877" i="15"/>
  <c r="I1706" i="15"/>
  <c r="I1031" i="15"/>
  <c r="I919" i="15"/>
  <c r="I598" i="15"/>
  <c r="I2289" i="15"/>
  <c r="I599" i="15"/>
  <c r="I1702" i="15"/>
  <c r="I3523" i="15"/>
  <c r="I906" i="15"/>
  <c r="I1116" i="15"/>
  <c r="I600" i="15"/>
  <c r="I601" i="15"/>
  <c r="I602" i="15"/>
  <c r="I603" i="15"/>
  <c r="I604" i="15"/>
  <c r="I2856" i="15"/>
  <c r="I605" i="15"/>
  <c r="I2073" i="15"/>
  <c r="I606" i="15"/>
  <c r="I607" i="15"/>
  <c r="I608" i="15"/>
  <c r="I609" i="15"/>
  <c r="I3520" i="15"/>
  <c r="I4231" i="15"/>
  <c r="I1158" i="15"/>
  <c r="I1174" i="15"/>
  <c r="I1196" i="15"/>
  <c r="I1210" i="15"/>
  <c r="I610" i="15"/>
  <c r="I611" i="15"/>
  <c r="I612" i="15"/>
  <c r="I613" i="15"/>
  <c r="I1234" i="15"/>
  <c r="I614" i="15"/>
  <c r="I615" i="15"/>
  <c r="I616" i="15"/>
  <c r="I617" i="15"/>
  <c r="I1253" i="15"/>
  <c r="I618" i="15"/>
  <c r="I619" i="15"/>
  <c r="I620" i="15"/>
  <c r="I778" i="15"/>
  <c r="I78" i="15"/>
  <c r="I974" i="15"/>
  <c r="I621" i="15"/>
  <c r="I622" i="15"/>
  <c r="I623" i="15"/>
  <c r="I2072" i="15"/>
  <c r="I1893" i="15"/>
  <c r="I624" i="15"/>
  <c r="I968" i="15"/>
  <c r="I1714" i="15"/>
  <c r="I1050" i="15"/>
  <c r="I1051" i="15"/>
  <c r="I751" i="15"/>
  <c r="I625" i="15"/>
  <c r="I1609" i="15"/>
  <c r="I97" i="15"/>
  <c r="I1379" i="15"/>
  <c r="I2054" i="15"/>
  <c r="I2950" i="15"/>
  <c r="I1380" i="15"/>
  <c r="I759" i="15"/>
  <c r="I1690" i="15"/>
  <c r="I3892" i="15"/>
  <c r="I1341" i="15"/>
  <c r="I626" i="15"/>
  <c r="I627" i="15"/>
  <c r="I3006" i="15"/>
  <c r="I91" i="15"/>
  <c r="I628" i="15"/>
  <c r="I780" i="15"/>
  <c r="I2083" i="15"/>
  <c r="I1009" i="15"/>
  <c r="I1736" i="15"/>
  <c r="I2489" i="15"/>
  <c r="I629" i="15"/>
  <c r="I630" i="15"/>
  <c r="I2353" i="15"/>
  <c r="I1951" i="15"/>
  <c r="I3440" i="15"/>
  <c r="I631" i="15"/>
  <c r="I2220" i="15"/>
  <c r="I2218" i="15"/>
  <c r="I2164" i="15"/>
  <c r="I632" i="15"/>
  <c r="I2168" i="15"/>
  <c r="I1280" i="15"/>
  <c r="I2677" i="15"/>
  <c r="I2227" i="15"/>
  <c r="I2167" i="15"/>
  <c r="I633" i="15"/>
  <c r="I634" i="15"/>
  <c r="I4232" i="15"/>
  <c r="I2174" i="15"/>
  <c r="I2712" i="15"/>
  <c r="I1012" i="15"/>
  <c r="I1469" i="15"/>
  <c r="I2744" i="15"/>
  <c r="I635" i="15"/>
  <c r="I636" i="15"/>
  <c r="I637" i="15"/>
  <c r="I638" i="15"/>
  <c r="I3572" i="15"/>
  <c r="I639" i="15"/>
  <c r="I640" i="15"/>
  <c r="I641" i="15"/>
  <c r="I642" i="15"/>
  <c r="I3546" i="15"/>
  <c r="I643" i="15"/>
  <c r="I3624" i="15"/>
  <c r="I2999" i="15"/>
  <c r="I2702" i="15"/>
  <c r="I4233" i="15"/>
  <c r="I4145" i="15"/>
  <c r="I843" i="15"/>
  <c r="I862" i="15"/>
  <c r="I815" i="15"/>
  <c r="I4234" i="15"/>
  <c r="I126" i="15"/>
  <c r="I1077" i="15"/>
  <c r="I6" i="15"/>
  <c r="I644" i="15"/>
  <c r="I645" i="15"/>
  <c r="I646" i="15"/>
  <c r="I971" i="15"/>
  <c r="I2056" i="15"/>
  <c r="I1141" i="15"/>
  <c r="I2068" i="15"/>
  <c r="I647" i="15"/>
  <c r="I648" i="15"/>
  <c r="I1783" i="15"/>
  <c r="I4027" i="15"/>
  <c r="I3757" i="15"/>
  <c r="I3755" i="15"/>
  <c r="I2030" i="15"/>
  <c r="I1388" i="15"/>
  <c r="I3742" i="15"/>
  <c r="I2899" i="15"/>
  <c r="I2588" i="15"/>
  <c r="I2984" i="15"/>
  <c r="I2456" i="15"/>
  <c r="I2454" i="15"/>
  <c r="I27" i="15"/>
  <c r="I4070" i="15"/>
  <c r="I1564" i="15"/>
  <c r="I3236" i="15"/>
  <c r="I2560" i="15"/>
  <c r="I3718" i="15"/>
  <c r="I1193" i="15"/>
  <c r="I649" i="15"/>
  <c r="I1894" i="15"/>
  <c r="I3743" i="15"/>
  <c r="I3365" i="15"/>
  <c r="I2812" i="15"/>
  <c r="I3450" i="15"/>
  <c r="I2408" i="15"/>
  <c r="I4235" i="15"/>
  <c r="I986" i="15"/>
  <c r="I2062" i="15"/>
  <c r="I3820" i="15"/>
  <c r="I1363" i="15"/>
  <c r="I3406" i="15"/>
  <c r="I1693" i="15"/>
  <c r="I650" i="15"/>
  <c r="I2602" i="15"/>
  <c r="I3947" i="15"/>
  <c r="I1330" i="15"/>
  <c r="I2069" i="15"/>
  <c r="I3783" i="15"/>
  <c r="I1176" i="15"/>
  <c r="I651" i="15"/>
  <c r="I1634" i="15"/>
  <c r="I63" i="15"/>
  <c r="I871" i="15"/>
  <c r="I1703" i="15"/>
  <c r="I3474" i="15"/>
  <c r="I1673" i="15"/>
  <c r="I2832" i="15"/>
  <c r="I1758" i="15"/>
  <c r="I2303" i="15"/>
  <c r="I1750" i="15"/>
  <c r="I1901" i="15"/>
  <c r="I1337" i="15"/>
  <c r="I3187" i="15"/>
  <c r="I4039" i="15"/>
  <c r="I3091" i="15"/>
  <c r="I3363" i="15"/>
  <c r="I1290" i="15"/>
  <c r="I4236" i="15"/>
  <c r="I2680" i="15"/>
  <c r="I2757" i="15"/>
  <c r="I652" i="15"/>
  <c r="I4020" i="15"/>
  <c r="I1468" i="15"/>
  <c r="I653" i="15"/>
  <c r="I654" i="15"/>
  <c r="I3643" i="15"/>
  <c r="I655" i="15"/>
  <c r="I2284" i="15"/>
  <c r="I3606" i="15"/>
  <c r="I4237" i="15"/>
  <c r="I774" i="15"/>
  <c r="I3698" i="15"/>
  <c r="I3875" i="15"/>
  <c r="I2749" i="15"/>
  <c r="I4238" i="15"/>
  <c r="I1064" i="15"/>
  <c r="I656" i="15"/>
  <c r="I657" i="15"/>
  <c r="I658" i="15"/>
  <c r="I659" i="15"/>
  <c r="I660" i="15"/>
  <c r="I661" i="15"/>
  <c r="I2293" i="15"/>
  <c r="I1456" i="15"/>
  <c r="I772" i="15"/>
  <c r="I2075" i="15"/>
  <c r="I4239" i="15"/>
  <c r="I662" i="15"/>
  <c r="I1232" i="15"/>
  <c r="I929" i="15"/>
  <c r="I663" i="15"/>
  <c r="I664" i="15"/>
  <c r="I665" i="15"/>
  <c r="I666" i="15"/>
  <c r="I2501" i="15"/>
  <c r="I3859" i="15"/>
  <c r="I1913" i="15"/>
  <c r="I3730" i="15"/>
  <c r="I1345" i="15"/>
  <c r="I4076" i="15"/>
  <c r="I988" i="15"/>
  <c r="I1850" i="15"/>
  <c r="I1668" i="15"/>
  <c r="I1573" i="15"/>
  <c r="I2354" i="15"/>
  <c r="I2553" i="15"/>
  <c r="I2815" i="15"/>
  <c r="I2425" i="15"/>
  <c r="I3999" i="15"/>
  <c r="I1582" i="15"/>
  <c r="I1052" i="15"/>
  <c r="I879" i="15"/>
  <c r="I1899" i="15"/>
  <c r="I1190" i="15"/>
  <c r="I1395" i="15"/>
  <c r="I2203" i="15"/>
  <c r="I667" i="15"/>
  <c r="I3850" i="15"/>
  <c r="I3343" i="15"/>
  <c r="I3334" i="15"/>
  <c r="I3849" i="15"/>
  <c r="I3764" i="15"/>
  <c r="I2074" i="15"/>
  <c r="I2198" i="15"/>
  <c r="I4240" i="15"/>
  <c r="I1261" i="15"/>
  <c r="I17" i="15"/>
  <c r="I130" i="15"/>
  <c r="I938" i="15"/>
  <c r="I957" i="15"/>
  <c r="I3415" i="15"/>
  <c r="I2406" i="15"/>
  <c r="I2898" i="15"/>
  <c r="I3480" i="15"/>
  <c r="I3374" i="15"/>
  <c r="I1826" i="15"/>
  <c r="I3140" i="15"/>
  <c r="I3300" i="15"/>
  <c r="I3328" i="15"/>
  <c r="I1650" i="15"/>
  <c r="I2499" i="15"/>
  <c r="I1694" i="15"/>
  <c r="I4048" i="15"/>
  <c r="I1571" i="15"/>
  <c r="I1096" i="15"/>
  <c r="I894" i="15"/>
  <c r="I1721" i="15"/>
  <c r="I3464" i="15"/>
  <c r="I4046" i="15"/>
  <c r="I1705" i="15"/>
  <c r="I924" i="15"/>
  <c r="I1746" i="15"/>
  <c r="I3009" i="15"/>
  <c r="I2611" i="15"/>
  <c r="I3840" i="15"/>
  <c r="I942" i="15"/>
  <c r="I1596" i="15"/>
  <c r="I945" i="15"/>
  <c r="I1205" i="15"/>
  <c r="I1204" i="15"/>
  <c r="I3219" i="15"/>
  <c r="I1981" i="15"/>
  <c r="I1955" i="15"/>
  <c r="I2735" i="15"/>
  <c r="I3226" i="15"/>
  <c r="I2811" i="15"/>
  <c r="I1322" i="15"/>
  <c r="I987" i="15"/>
  <c r="I1323" i="15"/>
  <c r="I960" i="15"/>
  <c r="I1289" i="15"/>
  <c r="I4241" i="15"/>
  <c r="I1231" i="15"/>
  <c r="I1304" i="15"/>
  <c r="I4045" i="15"/>
  <c r="I668" i="15"/>
  <c r="I4081" i="15"/>
  <c r="I2024" i="15"/>
  <c r="I2648" i="15"/>
  <c r="I3207" i="15"/>
  <c r="I3907" i="15"/>
  <c r="I3143" i="15"/>
  <c r="I2311" i="15"/>
  <c r="I2232" i="15"/>
  <c r="I669" i="15"/>
  <c r="I3639" i="15"/>
  <c r="I4028" i="15"/>
  <c r="I2111" i="15"/>
  <c r="I1756" i="15"/>
  <c r="I1879" i="15"/>
  <c r="I3599" i="15"/>
  <c r="I2206" i="15"/>
  <c r="I3565" i="15"/>
  <c r="I1949" i="15"/>
  <c r="I3632" i="15"/>
  <c r="I3655" i="15"/>
  <c r="I3590" i="15"/>
  <c r="I1436" i="15"/>
  <c r="I1648" i="15"/>
  <c r="I1762" i="15"/>
  <c r="I1647" i="15"/>
  <c r="I4242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2596" i="15"/>
  <c r="I2613" i="15"/>
  <c r="I685" i="15"/>
  <c r="I4243" i="15"/>
  <c r="I1146" i="15"/>
  <c r="I2078" i="15"/>
  <c r="I1606" i="15"/>
  <c r="I2055" i="15"/>
  <c r="I3117" i="15"/>
  <c r="I1725" i="15"/>
  <c r="I51" i="15"/>
  <c r="I1328" i="15"/>
  <c r="I1441" i="15"/>
  <c r="I2555" i="15"/>
  <c r="I2032" i="15"/>
  <c r="I1738" i="15"/>
  <c r="I1739" i="15"/>
  <c r="I4244" i="15"/>
  <c r="I1695" i="15"/>
  <c r="I3230" i="15"/>
  <c r="I1726" i="15"/>
  <c r="I3305" i="15"/>
  <c r="I795" i="15"/>
  <c r="I3998" i="15"/>
  <c r="I882" i="15"/>
  <c r="I992" i="15"/>
  <c r="I1892" i="15"/>
  <c r="I808" i="15"/>
  <c r="I2184" i="15"/>
  <c r="I1005" i="15"/>
  <c r="I2911" i="15"/>
  <c r="I3306" i="15"/>
  <c r="I2554" i="15"/>
  <c r="I1326" i="15"/>
  <c r="I1723" i="15"/>
  <c r="I1347" i="15"/>
  <c r="I2042" i="15"/>
  <c r="I4075" i="15"/>
  <c r="I3278" i="15"/>
  <c r="I1033" i="15"/>
  <c r="I874" i="15"/>
  <c r="I2690" i="15"/>
  <c r="I2607" i="15"/>
  <c r="I1405" i="15"/>
  <c r="I2459" i="15"/>
  <c r="I1406" i="15"/>
  <c r="I2173" i="15"/>
  <c r="I3158" i="15"/>
  <c r="I1010" i="15"/>
  <c r="I4097" i="15"/>
  <c r="I2626" i="15"/>
  <c r="I820" i="15"/>
  <c r="I2681" i="15"/>
  <c r="I686" i="15"/>
  <c r="I2736" i="15"/>
  <c r="I687" i="15"/>
  <c r="I3575" i="15"/>
  <c r="I4128" i="15"/>
  <c r="I2067" i="15"/>
  <c r="I3803" i="15"/>
  <c r="I2650" i="15"/>
  <c r="I2291" i="15"/>
  <c r="I2093" i="15"/>
  <c r="I2092" i="15"/>
  <c r="I102" i="15"/>
  <c r="I688" i="15"/>
  <c r="I3965" i="15"/>
  <c r="I3966" i="15"/>
  <c r="I3967" i="15"/>
  <c r="I3968" i="15"/>
  <c r="I3969" i="15"/>
  <c r="I3970" i="15"/>
  <c r="I3971" i="15"/>
  <c r="I1538" i="15"/>
  <c r="I1155" i="15"/>
  <c r="I1156" i="15"/>
  <c r="I1175" i="15"/>
  <c r="I1249" i="15"/>
  <c r="I1100" i="15"/>
  <c r="I1119" i="15"/>
  <c r="I1139" i="15"/>
  <c r="I4245" i="15"/>
  <c r="I2720" i="15"/>
  <c r="I1772" i="15"/>
  <c r="I4021" i="15"/>
  <c r="I765" i="15"/>
  <c r="I773" i="15"/>
  <c r="I2722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3017" i="15"/>
  <c r="I3579" i="15"/>
  <c r="I711" i="15"/>
  <c r="I3208" i="15"/>
  <c r="I3414" i="15"/>
  <c r="I712" i="15"/>
  <c r="I3014" i="15"/>
  <c r="I2234" i="15"/>
  <c r="I2192" i="15"/>
  <c r="I4246" i="15"/>
  <c r="I3179" i="15"/>
  <c r="I1927" i="15"/>
  <c r="I2675" i="15"/>
  <c r="I2742" i="15"/>
  <c r="I1931" i="15"/>
  <c r="I713" i="15"/>
  <c r="I2041" i="15"/>
  <c r="I714" i="15"/>
  <c r="I715" i="15"/>
  <c r="I716" i="15"/>
  <c r="I717" i="15"/>
  <c r="I718" i="15"/>
  <c r="I719" i="15"/>
  <c r="I720" i="15"/>
  <c r="I721" i="15"/>
  <c r="I722" i="15"/>
  <c r="I4022" i="15"/>
  <c r="I2665" i="15"/>
  <c r="I3281" i="15"/>
  <c r="I3268" i="15"/>
  <c r="I2287" i="15"/>
  <c r="I2285" i="15"/>
  <c r="I2294" i="15"/>
  <c r="I723" i="15"/>
  <c r="I3102" i="15"/>
  <c r="I3551" i="15"/>
  <c r="I3669" i="15"/>
  <c r="I3257" i="15"/>
  <c r="I3644" i="15"/>
  <c r="I3031" i="15"/>
  <c r="I1986" i="15"/>
  <c r="I1936" i="15"/>
  <c r="I1992" i="15"/>
  <c r="I1998" i="15"/>
  <c r="I4247" i="15"/>
  <c r="I1996" i="15"/>
  <c r="I3245" i="15"/>
  <c r="I1968" i="15"/>
  <c r="I2008" i="15"/>
  <c r="I3629" i="15"/>
  <c r="I3548" i="15"/>
  <c r="I3549" i="15"/>
  <c r="I2737" i="15"/>
  <c r="I2753" i="15"/>
  <c r="I3657" i="15"/>
  <c r="I1972" i="15"/>
  <c r="I2717" i="15"/>
  <c r="I1934" i="15"/>
  <c r="I2745" i="15"/>
  <c r="I3634" i="15"/>
  <c r="I1932" i="15"/>
  <c r="I3252" i="15"/>
  <c r="I1965" i="15"/>
  <c r="I3630" i="15"/>
  <c r="I1962" i="15"/>
  <c r="I3282" i="15"/>
  <c r="I4248" i="15"/>
  <c r="I724" i="15"/>
  <c r="I3609" i="15"/>
  <c r="I3607" i="15"/>
  <c r="I1960" i="15"/>
  <c r="I2686" i="15"/>
  <c r="I725" i="15"/>
  <c r="I3554" i="15"/>
  <c r="I2703" i="15"/>
  <c r="I3558" i="15"/>
  <c r="I3645" i="15"/>
  <c r="I3589" i="15"/>
  <c r="I1987" i="15"/>
  <c r="I3672" i="15"/>
  <c r="I3663" i="15"/>
  <c r="I3610" i="15"/>
  <c r="I726" i="15"/>
  <c r="I3563" i="15"/>
  <c r="I3112" i="15"/>
  <c r="I3262" i="15"/>
  <c r="I2676" i="15"/>
  <c r="I1923" i="15"/>
  <c r="I1974" i="15"/>
  <c r="I2682" i="15"/>
  <c r="I1957" i="15"/>
  <c r="I1950" i="15"/>
  <c r="I1984" i="15"/>
  <c r="I3243" i="15"/>
  <c r="I1561" i="15"/>
  <c r="I1611" i="15"/>
  <c r="I1621" i="15"/>
  <c r="I4249" i="15"/>
  <c r="I1360" i="15"/>
  <c r="I5" i="15"/>
  <c r="I11" i="15"/>
  <c r="I20" i="15"/>
  <c r="I4250" i="15"/>
  <c r="I785" i="15"/>
  <c r="I4251" i="15"/>
  <c r="I21" i="15"/>
  <c r="I727" i="15"/>
  <c r="I4252" i="15"/>
  <c r="I789" i="15"/>
  <c r="I4253" i="15"/>
  <c r="I918" i="15"/>
  <c r="I2684" i="15"/>
  <c r="I1258" i="15"/>
  <c r="I2013" i="15"/>
  <c r="I3094" i="15"/>
  <c r="I2695" i="15"/>
  <c r="I3129" i="15"/>
  <c r="I728" i="15"/>
  <c r="I729" i="15"/>
  <c r="I730" i="15"/>
  <c r="I731" i="15"/>
  <c r="I4060" i="15"/>
  <c r="I3135" i="15"/>
  <c r="I2673" i="15"/>
  <c r="I3567" i="15"/>
  <c r="I3084" i="15"/>
  <c r="I2697" i="15"/>
  <c r="I3121" i="15"/>
  <c r="I3231" i="15"/>
  <c r="I1497" i="15"/>
  <c r="I1645" i="15"/>
  <c r="I1513" i="15"/>
  <c r="I4016" i="15"/>
  <c r="I1501" i="15"/>
  <c r="I1646" i="15"/>
  <c r="I1472" i="15"/>
  <c r="I4254" i="15"/>
  <c r="I2854" i="15"/>
  <c r="I2213" i="15"/>
  <c r="I3616" i="15"/>
  <c r="I3596" i="15"/>
  <c r="I3077" i="15"/>
  <c r="I3082" i="15"/>
  <c r="I766" i="15"/>
  <c r="I2214" i="15"/>
  <c r="I1507" i="15"/>
  <c r="I1514" i="15"/>
  <c r="I953" i="15"/>
  <c r="I1490" i="15"/>
  <c r="I3095" i="15"/>
  <c r="I4025" i="15"/>
  <c r="I3132" i="15"/>
  <c r="I3884" i="15"/>
  <c r="I1467" i="15"/>
  <c r="I3128" i="15"/>
  <c r="I4014" i="15"/>
  <c r="I3130" i="15"/>
  <c r="I2215" i="15"/>
  <c r="I2778" i="15"/>
  <c r="I958" i="15"/>
  <c r="I1495" i="15"/>
  <c r="I1508" i="15"/>
  <c r="I1502" i="15"/>
  <c r="I1486" i="15"/>
  <c r="I1506" i="15"/>
  <c r="I732" i="15"/>
  <c r="I1483" i="15"/>
  <c r="I1775" i="15"/>
  <c r="I4017" i="15"/>
  <c r="I1494" i="15"/>
  <c r="I944" i="15"/>
  <c r="I1491" i="15"/>
  <c r="I45" i="15"/>
  <c r="I943" i="15"/>
  <c r="I1777" i="15"/>
  <c r="I1771" i="15"/>
  <c r="I89" i="15"/>
  <c r="I1498" i="15"/>
  <c r="I1743" i="15"/>
  <c r="I3085" i="15"/>
  <c r="I93" i="15"/>
  <c r="I1499" i="15"/>
  <c r="I1434" i="15"/>
  <c r="I3079" i="15"/>
  <c r="I3427" i="15"/>
  <c r="I3570" i="15"/>
  <c r="I3075" i="15"/>
  <c r="I1317" i="15"/>
  <c r="I733" i="15"/>
  <c r="I734" i="15"/>
  <c r="I735" i="15"/>
  <c r="I4255" i="15"/>
  <c r="I1473" i="15"/>
  <c r="I816" i="15"/>
  <c r="I1461" i="15"/>
  <c r="I3428" i="15"/>
  <c r="I72" i="15"/>
  <c r="I4256" i="15"/>
  <c r="I2672" i="15"/>
  <c r="I3288" i="15"/>
  <c r="I1776" i="15"/>
  <c r="I2104" i="15"/>
  <c r="I2102" i="15"/>
  <c r="I3777" i="15"/>
  <c r="I1503" i="15"/>
  <c r="I1520" i="15"/>
  <c r="I3241" i="15"/>
  <c r="I3778" i="15"/>
  <c r="I2105" i="15"/>
  <c r="I2132" i="15"/>
  <c r="I3379" i="15"/>
  <c r="I3779" i="15"/>
  <c r="I3844" i="15"/>
  <c r="I2133" i="15"/>
  <c r="I2326" i="15"/>
  <c r="I3896" i="15"/>
  <c r="I1511" i="15"/>
  <c r="I3895" i="15"/>
  <c r="I1638" i="15"/>
  <c r="I2103" i="15"/>
  <c r="I3235" i="15"/>
  <c r="I1834" i="15"/>
  <c r="I3389" i="15"/>
  <c r="I1887" i="15"/>
  <c r="I736" i="15"/>
  <c r="I1103" i="15"/>
  <c r="I3893" i="15"/>
  <c r="I3533" i="15"/>
  <c r="I1492" i="15"/>
  <c r="I1487" i="15"/>
  <c r="I1356" i="15"/>
  <c r="I4257" i="15"/>
  <c r="I1527" i="15"/>
  <c r="I4258" i="15"/>
  <c r="I1474" i="15"/>
  <c r="I1439" i="15"/>
  <c r="I1509" i="15"/>
  <c r="I4259" i="15"/>
  <c r="I1522" i="15"/>
  <c r="I4260" i="15"/>
  <c r="I1496" i="15"/>
  <c r="I771" i="15"/>
  <c r="I784" i="15"/>
  <c r="I4261" i="15"/>
  <c r="I2503" i="15"/>
  <c r="I44" i="15"/>
  <c r="I3133" i="15"/>
  <c r="I3794" i="15"/>
  <c r="I3114" i="15"/>
  <c r="I2714" i="15"/>
  <c r="I2711" i="15"/>
  <c r="I2746" i="15"/>
  <c r="I2412" i="15"/>
  <c r="I3119" i="15"/>
  <c r="I903" i="15"/>
  <c r="I3107" i="15"/>
  <c r="I3086" i="15"/>
  <c r="I50" i="15"/>
  <c r="I3227" i="15"/>
  <c r="I3120" i="15"/>
  <c r="I2015" i="15"/>
  <c r="I3182" i="15"/>
  <c r="I3065" i="15"/>
  <c r="I3181" i="15"/>
  <c r="I2683" i="15"/>
  <c r="I3640" i="15"/>
  <c r="I2040" i="15"/>
  <c r="I3108" i="15"/>
  <c r="I3056" i="15"/>
  <c r="I3670" i="15"/>
  <c r="I3122" i="15"/>
  <c r="I2713" i="15"/>
  <c r="I3166" i="15"/>
  <c r="I3597" i="15"/>
  <c r="I3060" i="15"/>
  <c r="I3180" i="15"/>
  <c r="I2754" i="15"/>
  <c r="I3069" i="15"/>
  <c r="I4135" i="15"/>
  <c r="I3096" i="15"/>
  <c r="I3061" i="15"/>
  <c r="I1854" i="15"/>
  <c r="I3109" i="15"/>
  <c r="I3066" i="15"/>
  <c r="I3111" i="15"/>
  <c r="I65" i="15"/>
  <c r="I4134" i="15"/>
  <c r="I2010" i="15"/>
  <c r="I3116" i="15"/>
  <c r="I917" i="15"/>
  <c r="I892" i="15"/>
  <c r="I1488" i="15"/>
  <c r="I1475" i="15"/>
  <c r="I3058" i="15"/>
  <c r="I1686" i="15"/>
  <c r="I1485" i="15"/>
  <c r="I937" i="15"/>
  <c r="I916" i="15"/>
  <c r="I1597" i="15"/>
  <c r="I4262" i="15"/>
  <c r="I1504" i="15"/>
  <c r="I4263" i="15"/>
  <c r="I1523" i="15"/>
  <c r="I4264" i="15"/>
  <c r="I1524" i="15"/>
  <c r="I4265" i="15"/>
  <c r="I3131" i="15"/>
  <c r="I4266" i="15"/>
  <c r="I956" i="15"/>
  <c r="I955" i="15"/>
  <c r="I1479" i="15"/>
  <c r="I949" i="15"/>
  <c r="I1512" i="15"/>
  <c r="I1599" i="15"/>
  <c r="I1531" i="15"/>
  <c r="I3898" i="15"/>
  <c r="I1598" i="15"/>
  <c r="I770" i="15"/>
  <c r="I1583" i="15"/>
  <c r="I2739" i="15"/>
  <c r="I1853" i="15"/>
  <c r="I4121" i="15"/>
  <c r="I2316" i="15"/>
  <c r="I3942" i="15"/>
  <c r="I3011" i="15"/>
  <c r="I3018" i="15"/>
  <c r="I3021" i="15"/>
  <c r="I3184" i="15"/>
  <c r="I62" i="15"/>
  <c r="I4073" i="15"/>
  <c r="I737" i="15"/>
  <c r="I1515" i="15"/>
  <c r="I4015" i="15"/>
  <c r="I3067" i="15"/>
  <c r="I3062" i="15"/>
  <c r="I3083" i="15"/>
  <c r="I1633" i="15"/>
  <c r="I3929" i="15"/>
  <c r="I1831" i="15"/>
  <c r="I4267" i="15"/>
  <c r="I3938" i="15"/>
  <c r="I3426" i="15"/>
  <c r="I1521" i="15"/>
  <c r="I3897" i="15"/>
  <c r="I783" i="15"/>
  <c r="I2504" i="15"/>
  <c r="I1840" i="15"/>
  <c r="I12" i="15"/>
  <c r="I1635" i="15"/>
  <c r="I2775" i="15"/>
  <c r="I1476" i="15"/>
  <c r="I1489" i="15"/>
  <c r="I3097" i="15"/>
  <c r="I4268" i="15"/>
  <c r="I4269" i="15"/>
  <c r="I4270" i="15"/>
  <c r="I4271" i="15"/>
  <c r="I4272" i="15"/>
  <c r="I4273" i="15"/>
  <c r="I4274" i="15"/>
  <c r="I4275" i="15"/>
  <c r="I4276" i="15"/>
  <c r="I1048571" i="1"/>
  <c r="I4" i="1"/>
  <c r="L4" i="1"/>
</calcChain>
</file>

<file path=xl/sharedStrings.xml><?xml version="1.0" encoding="utf-8"?>
<sst xmlns="http://schemas.openxmlformats.org/spreadsheetml/2006/main" count="26194" uniqueCount="8198">
  <si>
    <t xml:space="preserve">PART NUMBER </t>
  </si>
  <si>
    <t xml:space="preserve">DESCRIPTION </t>
  </si>
  <si>
    <t xml:space="preserve">QTY </t>
  </si>
  <si>
    <t xml:space="preserve">LOCATION </t>
  </si>
  <si>
    <t xml:space="preserve">BIN # </t>
  </si>
  <si>
    <t>COST $</t>
  </si>
  <si>
    <t>CONDITION</t>
  </si>
  <si>
    <t>COMENT</t>
  </si>
  <si>
    <t>Column1</t>
  </si>
  <si>
    <t>M83248-1-222</t>
  </si>
  <si>
    <t>PACKING</t>
  </si>
  <si>
    <t>1N 1-1A</t>
  </si>
  <si>
    <t>11 VENCIDOS</t>
  </si>
  <si>
    <t>AS3209-176</t>
  </si>
  <si>
    <t>O-RING</t>
  </si>
  <si>
    <t>MS24665-302</t>
  </si>
  <si>
    <t>COTTER PIN</t>
  </si>
  <si>
    <t>MS29513-113</t>
  </si>
  <si>
    <t>BACW10P5CC</t>
  </si>
  <si>
    <t>WASHER</t>
  </si>
  <si>
    <t>BACN10JC4F</t>
  </si>
  <si>
    <t>NUT</t>
  </si>
  <si>
    <t>MS24665-360</t>
  </si>
  <si>
    <t>PIN</t>
  </si>
  <si>
    <t>CR3222-6-2</t>
  </si>
  <si>
    <t>RIVET</t>
  </si>
  <si>
    <t>NAS6206-14</t>
  </si>
  <si>
    <t>BOLT</t>
  </si>
  <si>
    <t>AS3209-108</t>
  </si>
  <si>
    <t>BACR15GF5D14</t>
  </si>
  <si>
    <t>AN5C11A</t>
  </si>
  <si>
    <t>BACB30VF4K9</t>
  </si>
  <si>
    <t>S12766-266</t>
  </si>
  <si>
    <t>MS28782-17</t>
  </si>
  <si>
    <t>FILTER</t>
  </si>
  <si>
    <t>40-518-692-24E</t>
  </si>
  <si>
    <t>STATIC DEVICE</t>
  </si>
  <si>
    <t>BACB30NW8K6</t>
  </si>
  <si>
    <t>MS20002-10</t>
  </si>
  <si>
    <t>MS29513-138</t>
  </si>
  <si>
    <t>NAS603-10P</t>
  </si>
  <si>
    <t>SCREW</t>
  </si>
  <si>
    <t>211-577-9009</t>
  </si>
  <si>
    <t>BRACKET</t>
  </si>
  <si>
    <t>2700-8</t>
  </si>
  <si>
    <t>STUD</t>
  </si>
  <si>
    <t>AC046564B</t>
  </si>
  <si>
    <t>NAS1611-147</t>
  </si>
  <si>
    <t>NAS1611-122A</t>
  </si>
  <si>
    <t>S9413-036</t>
  </si>
  <si>
    <t xml:space="preserve">PACKING </t>
  </si>
  <si>
    <t>VENCIDO</t>
  </si>
  <si>
    <t>65-90305-11</t>
  </si>
  <si>
    <t xml:space="preserve">FILTER KIT </t>
  </si>
  <si>
    <t>1728B</t>
  </si>
  <si>
    <t>RR112</t>
  </si>
  <si>
    <t>RING</t>
  </si>
  <si>
    <t>BACJ40A21-8</t>
  </si>
  <si>
    <t>JUMPER ASSY</t>
  </si>
  <si>
    <t>BACJ40A20-9</t>
  </si>
  <si>
    <t>RR244L</t>
  </si>
  <si>
    <t>NAS1169DD10</t>
  </si>
  <si>
    <t>RR165</t>
  </si>
  <si>
    <t>NAS1105-7</t>
  </si>
  <si>
    <t>VL1041HS2-14</t>
  </si>
  <si>
    <t>MS29513-120</t>
  </si>
  <si>
    <t>RR162S</t>
  </si>
  <si>
    <t>VL1041HS2-65</t>
  </si>
  <si>
    <t>VL1041HS2-10</t>
  </si>
  <si>
    <t>MS24665-136</t>
  </si>
  <si>
    <t>VL1041HS2-13</t>
  </si>
  <si>
    <t>MS21288-08</t>
  </si>
  <si>
    <t>NAS1104-5</t>
  </si>
  <si>
    <t>RR250S</t>
  </si>
  <si>
    <t>BACB30FM6-3</t>
  </si>
  <si>
    <t>HL PIN</t>
  </si>
  <si>
    <t>VL1041HS2-12</t>
  </si>
  <si>
    <t>NAS1169C6</t>
  </si>
  <si>
    <t>BACB30NR4K11</t>
  </si>
  <si>
    <t>AN320-14</t>
  </si>
  <si>
    <t>AMS3302-007</t>
  </si>
  <si>
    <t>ORING</t>
  </si>
  <si>
    <t>GR3451</t>
  </si>
  <si>
    <t>SEAL</t>
  </si>
  <si>
    <t>SOLD</t>
  </si>
  <si>
    <t>P5823340-111</t>
  </si>
  <si>
    <t xml:space="preserve">3-907N103-70  </t>
  </si>
  <si>
    <t>M25988-1-025</t>
  </si>
  <si>
    <t>BACB30NN3K5</t>
  </si>
  <si>
    <t>MS16624-4025</t>
  </si>
  <si>
    <t>BACS12GR3L15</t>
  </si>
  <si>
    <t>BACB30NN3K6</t>
  </si>
  <si>
    <t>H55447-8</t>
  </si>
  <si>
    <t xml:space="preserve">NAS1611-111A </t>
  </si>
  <si>
    <t xml:space="preserve">O RING </t>
  </si>
  <si>
    <t>MS9015-06</t>
  </si>
  <si>
    <t>PLUG</t>
  </si>
  <si>
    <t>ELEMENT ASSY</t>
  </si>
  <si>
    <t>AN4-4A</t>
  </si>
  <si>
    <t>100% KIT 204050</t>
  </si>
  <si>
    <t>2203063-2WE</t>
  </si>
  <si>
    <t xml:space="preserve">DUCT SEAL </t>
  </si>
  <si>
    <t>M83248-1-038</t>
  </si>
  <si>
    <t>MS27595-231</t>
  </si>
  <si>
    <t>B30PN-28</t>
  </si>
  <si>
    <t>BOLTS</t>
  </si>
  <si>
    <t>ST1947-012</t>
  </si>
  <si>
    <t>NAS6601-11</t>
  </si>
  <si>
    <t xml:space="preserve">BOLT </t>
  </si>
  <si>
    <t>W12864-2</t>
  </si>
  <si>
    <t>WIRE</t>
  </si>
  <si>
    <t>17 IN</t>
  </si>
  <si>
    <t>NAS564-19</t>
  </si>
  <si>
    <t>AN960-416L</t>
  </si>
  <si>
    <t>S9257-19B0438</t>
  </si>
  <si>
    <t>BUSHING</t>
  </si>
  <si>
    <t>NAS1352-08H12</t>
  </si>
  <si>
    <t>NAS1352-08H6P</t>
  </si>
  <si>
    <t>M83248-1-124</t>
  </si>
  <si>
    <t>BACN10YR4C</t>
  </si>
  <si>
    <t>S9026E241</t>
  </si>
  <si>
    <t>S8157C7-025A</t>
  </si>
  <si>
    <t>.521874.</t>
  </si>
  <si>
    <t xml:space="preserve">GEARSHAFT </t>
  </si>
  <si>
    <t>M25988-4-906</t>
  </si>
  <si>
    <t>M25988-4-118</t>
  </si>
  <si>
    <t>M83248-1-902</t>
  </si>
  <si>
    <t>69494M112</t>
  </si>
  <si>
    <t>M83248-1-011</t>
  </si>
  <si>
    <t>7913738-5001</t>
  </si>
  <si>
    <t>FILTER ELEMENT</t>
  </si>
  <si>
    <t>69494J906</t>
  </si>
  <si>
    <t>AS3209-214</t>
  </si>
  <si>
    <t>NAS1805-14P</t>
  </si>
  <si>
    <t>MS21209F4-15</t>
  </si>
  <si>
    <t>HELICOIL INSERT</t>
  </si>
  <si>
    <t>MS21209F5-15</t>
  </si>
  <si>
    <t>INSERT</t>
  </si>
  <si>
    <t>KPC4-480-325</t>
  </si>
  <si>
    <t>PITOT COVER</t>
  </si>
  <si>
    <t>MS21209F6-15</t>
  </si>
  <si>
    <t>MS21209F1-15</t>
  </si>
  <si>
    <t>MS21209F8-15</t>
  </si>
  <si>
    <t>M83248-2-912</t>
  </si>
  <si>
    <t>.1504662.</t>
  </si>
  <si>
    <t>J221P130WE</t>
  </si>
  <si>
    <t>MS28774-122</t>
  </si>
  <si>
    <t>RETAINER</t>
  </si>
  <si>
    <t>AS3209-152</t>
  </si>
  <si>
    <t>1728-B</t>
  </si>
  <si>
    <t>FITTING</t>
  </si>
  <si>
    <t>NAS1587-4C</t>
  </si>
  <si>
    <t>MS28774-116</t>
  </si>
  <si>
    <t>M83248-1-116</t>
  </si>
  <si>
    <t>MS35338-46</t>
  </si>
  <si>
    <t>AN960-8</t>
  </si>
  <si>
    <t>AN4H5A</t>
  </si>
  <si>
    <t>MS35338-43</t>
  </si>
  <si>
    <t>NAS1149F0663P</t>
  </si>
  <si>
    <t>MS16625-1093</t>
  </si>
  <si>
    <t>AN960-10</t>
  </si>
  <si>
    <t>MS35338-40</t>
  </si>
  <si>
    <t>28B8800-3</t>
  </si>
  <si>
    <t>28B8802-6</t>
  </si>
  <si>
    <t>AN503-8-10</t>
  </si>
  <si>
    <t>W06</t>
  </si>
  <si>
    <t>NK500-8-6CC</t>
  </si>
  <si>
    <t>NAS679A6</t>
  </si>
  <si>
    <t>310N3024-3</t>
  </si>
  <si>
    <t>AS3209-208</t>
  </si>
  <si>
    <r>
      <rPr>
        <b/>
        <u/>
        <sz val="11"/>
        <color theme="1"/>
        <rFont val="Calibri"/>
        <family val="2"/>
        <scheme val="minor"/>
      </rPr>
      <t>NAS679A3</t>
    </r>
    <r>
      <rPr>
        <sz val="11"/>
        <color theme="1"/>
        <rFont val="Calibri"/>
        <family val="2"/>
        <scheme val="minor"/>
      </rPr>
      <t xml:space="preserve">  ALT:  BACN10JC3CD</t>
    </r>
  </si>
  <si>
    <t>917B599-1</t>
  </si>
  <si>
    <t>GROMMET</t>
  </si>
  <si>
    <t>MS24678-13</t>
  </si>
  <si>
    <t>MS16628-4118</t>
  </si>
  <si>
    <t>nO STOCK</t>
  </si>
  <si>
    <t>AN502-10-10</t>
  </si>
  <si>
    <t>MS9966-07</t>
  </si>
  <si>
    <t>MS21913V6P</t>
  </si>
  <si>
    <t>FITTING PLUGS</t>
  </si>
  <si>
    <t>S9026E163</t>
  </si>
  <si>
    <t>M83248-1-128</t>
  </si>
  <si>
    <t>M83248-1-903</t>
  </si>
  <si>
    <t>3-908S383-70</t>
  </si>
  <si>
    <t>3A5000583</t>
  </si>
  <si>
    <t>3A500-0325</t>
  </si>
  <si>
    <t>NAS8303-3</t>
  </si>
  <si>
    <t>69-36710-2</t>
  </si>
  <si>
    <t>1N 1-1B</t>
  </si>
  <si>
    <t>BACB30NN3K7</t>
  </si>
  <si>
    <t>BACB30LH3-3</t>
  </si>
  <si>
    <t>1B0489</t>
  </si>
  <si>
    <t xml:space="preserve">BRACKET ASSY </t>
  </si>
  <si>
    <t>NAS1611-115A</t>
  </si>
  <si>
    <t>M25988-1-157</t>
  </si>
  <si>
    <t>W12864-4</t>
  </si>
  <si>
    <t>10F</t>
  </si>
  <si>
    <t>7588429-101</t>
  </si>
  <si>
    <t>MS29513-238</t>
  </si>
  <si>
    <t>85 VENCIDO</t>
  </si>
  <si>
    <t>BACC2C3D00213GJ</t>
  </si>
  <si>
    <t>CABLE</t>
  </si>
  <si>
    <t>MS29513-135</t>
  </si>
  <si>
    <t>54 VENCIDO</t>
  </si>
  <si>
    <t>MS29513-223</t>
  </si>
  <si>
    <t>65-90305-61</t>
  </si>
  <si>
    <t>16007-009-2</t>
  </si>
  <si>
    <t>VALVE</t>
  </si>
  <si>
    <t>BACP11K5</t>
  </si>
  <si>
    <t>S314N302-1</t>
  </si>
  <si>
    <t>56-980</t>
  </si>
  <si>
    <t>56-981</t>
  </si>
  <si>
    <t>BACS16X1A</t>
  </si>
  <si>
    <t>SOCKET</t>
  </si>
  <si>
    <t>AS1506-08D30</t>
  </si>
  <si>
    <t>2-043C147-70</t>
  </si>
  <si>
    <t>AS3209-036</t>
  </si>
  <si>
    <t>896698PACKING</t>
  </si>
  <si>
    <t>BACP11K4</t>
  </si>
  <si>
    <t>2 VENCIDO</t>
  </si>
  <si>
    <t>.896698.</t>
  </si>
  <si>
    <t>MOUNT BRAKET</t>
  </si>
  <si>
    <t>BACS12HN4-9</t>
  </si>
  <si>
    <t>NAS1149D0432J</t>
  </si>
  <si>
    <t>NAS1801-3-8</t>
  </si>
  <si>
    <t>BACP11K6</t>
  </si>
  <si>
    <t>7913738329116..</t>
  </si>
  <si>
    <t>KIT</t>
  </si>
  <si>
    <t>7593395WF336732</t>
  </si>
  <si>
    <t>M25988-1-113</t>
  </si>
  <si>
    <t>S12068-141-10</t>
  </si>
  <si>
    <t xml:space="preserve">NSMGLYD SEAL </t>
  </si>
  <si>
    <t>BACW10UC10P</t>
  </si>
  <si>
    <t>BACB28X4E005</t>
  </si>
  <si>
    <t>NAS6705U12</t>
  </si>
  <si>
    <t>AN960C10L</t>
  </si>
  <si>
    <t>BACN10WM5</t>
  </si>
  <si>
    <t>NAS1149C0432R</t>
  </si>
  <si>
    <t>720752-58</t>
  </si>
  <si>
    <t>720752-14</t>
  </si>
  <si>
    <t>BACP11K8</t>
  </si>
  <si>
    <t>ENGINE KIT</t>
  </si>
  <si>
    <t>ROYCO</t>
  </si>
  <si>
    <t>LUBRICANT</t>
  </si>
  <si>
    <t>7586460-101</t>
  </si>
  <si>
    <t>FILTER KIT</t>
  </si>
  <si>
    <t>RTV106</t>
  </si>
  <si>
    <t>SEALENT</t>
  </si>
  <si>
    <t>NAS1835-3M</t>
  </si>
  <si>
    <t>NAS8603-2</t>
  </si>
  <si>
    <t>BACW10BP4CD</t>
  </si>
  <si>
    <t>BACW10BP4DP</t>
  </si>
  <si>
    <t>NAS1805-4L</t>
  </si>
  <si>
    <t>NAS1149C0863R</t>
  </si>
  <si>
    <t>MS21042L6</t>
  </si>
  <si>
    <t>69-77023-1</t>
  </si>
  <si>
    <t>SEAL. FUEL</t>
  </si>
  <si>
    <t>BACB30NT3K5</t>
  </si>
  <si>
    <t>56-1211</t>
  </si>
  <si>
    <t>COR-BAN 27L</t>
  </si>
  <si>
    <t>Corrosion Inhibiting</t>
  </si>
  <si>
    <t>BACB30VU10K10</t>
  </si>
  <si>
    <t>STAINLESS SHEET 15-5</t>
  </si>
  <si>
    <t>0.125'' STAINLESS SHEET 15-5</t>
  </si>
  <si>
    <t>BACB28AK04-032</t>
  </si>
  <si>
    <t xml:space="preserve">BUSHING </t>
  </si>
  <si>
    <t>BACC30BP6</t>
  </si>
  <si>
    <t>COLLAR</t>
  </si>
  <si>
    <t>A2109-4</t>
  </si>
  <si>
    <t xml:space="preserve">GASKET </t>
  </si>
  <si>
    <t>MS16627-1125</t>
  </si>
  <si>
    <t>203235WE</t>
  </si>
  <si>
    <t>BEARING</t>
  </si>
  <si>
    <t>CCR264SS3-4</t>
  </si>
  <si>
    <t>1N 1-3A</t>
  </si>
  <si>
    <t>CR3212-6-6</t>
  </si>
  <si>
    <t>CR2248-6-4</t>
  </si>
  <si>
    <t>CR3212PR-6-04</t>
  </si>
  <si>
    <t>CR2248-6-06</t>
  </si>
  <si>
    <t>CR3212-6-05</t>
  </si>
  <si>
    <t>CR2248-6-05</t>
  </si>
  <si>
    <t>CR3213-6-04</t>
  </si>
  <si>
    <t>CR3213-6-05</t>
  </si>
  <si>
    <t>AS117-04-0100</t>
  </si>
  <si>
    <t>HOSE TUBE</t>
  </si>
  <si>
    <t>5447-096 OR 66503</t>
  </si>
  <si>
    <t>HOUSING ASSY</t>
  </si>
  <si>
    <t>BACR15BA3B7</t>
  </si>
  <si>
    <t>BACN10WM4</t>
  </si>
  <si>
    <t>CM5104WW</t>
  </si>
  <si>
    <t xml:space="preserve">FLOU TUBE </t>
  </si>
  <si>
    <t>AS3209-143</t>
  </si>
  <si>
    <t>MS28775-235</t>
  </si>
  <si>
    <t>97-124</t>
  </si>
  <si>
    <t>WEIGHT</t>
  </si>
  <si>
    <t>NAS1105-21D</t>
  </si>
  <si>
    <t>BACW10P73S</t>
  </si>
  <si>
    <t>AS3208-02</t>
  </si>
  <si>
    <t>S8990-608</t>
  </si>
  <si>
    <t>M8791-1-013</t>
  </si>
  <si>
    <t>AS3209-224</t>
  </si>
  <si>
    <t>AS3208-08</t>
  </si>
  <si>
    <t>AN3H10A</t>
  </si>
  <si>
    <t>S8990-009</t>
  </si>
  <si>
    <t>MS28774-213</t>
  </si>
  <si>
    <t xml:space="preserve">RING </t>
  </si>
  <si>
    <t>AS3208-06</t>
  </si>
  <si>
    <t>BACB30NN4K8</t>
  </si>
  <si>
    <t>NAS1612-10</t>
  </si>
  <si>
    <t>BACB30NN4K10</t>
  </si>
  <si>
    <t>MS27039-4-13</t>
  </si>
  <si>
    <t>MS29513-131</t>
  </si>
  <si>
    <t>MS9954-08</t>
  </si>
  <si>
    <t>CONNECTOR</t>
  </si>
  <si>
    <t>NAS1611-224</t>
  </si>
  <si>
    <t>AN960C616L</t>
  </si>
  <si>
    <t>NAS6206-17</t>
  </si>
  <si>
    <t>BACB30EK5A26C</t>
  </si>
  <si>
    <t>BACN10JC5CD</t>
  </si>
  <si>
    <t xml:space="preserve">NUT </t>
  </si>
  <si>
    <t>AS3209-226</t>
  </si>
  <si>
    <t>CR3214-5-06</t>
  </si>
  <si>
    <t>RIVETS</t>
  </si>
  <si>
    <t>MS28774-231</t>
  </si>
  <si>
    <t>MS9490-09</t>
  </si>
  <si>
    <t>M83248-2-904</t>
  </si>
  <si>
    <t>10 VENCIDO</t>
  </si>
  <si>
    <t>NAS1611-115</t>
  </si>
  <si>
    <t>MS9385-05</t>
  </si>
  <si>
    <t>BACP11J212</t>
  </si>
  <si>
    <t>MS9967-012</t>
  </si>
  <si>
    <t>BACS13CT3N</t>
  </si>
  <si>
    <t>SPLICE</t>
  </si>
  <si>
    <t>NAS1611-116A</t>
  </si>
  <si>
    <t>NAS1611-111</t>
  </si>
  <si>
    <t>BACC63BP14A4SN</t>
  </si>
  <si>
    <t>1B4497</t>
  </si>
  <si>
    <t>.83280.</t>
  </si>
  <si>
    <t>MS24665-372</t>
  </si>
  <si>
    <t>68-1519</t>
  </si>
  <si>
    <t>PAKING</t>
  </si>
  <si>
    <t>BACB30NN3K11</t>
  </si>
  <si>
    <t>BACB30NN3K10</t>
  </si>
  <si>
    <t>2873-400</t>
  </si>
  <si>
    <t>NAS1611-336</t>
  </si>
  <si>
    <t>AIR21815</t>
  </si>
  <si>
    <t>BACS38K7</t>
  </si>
  <si>
    <t>TIES</t>
  </si>
  <si>
    <t>NAS1611-118</t>
  </si>
  <si>
    <t>4308AG</t>
  </si>
  <si>
    <t>CLAMP</t>
  </si>
  <si>
    <t>VL1041HS2-11</t>
  </si>
  <si>
    <t>BACS38K6</t>
  </si>
  <si>
    <t>TIE</t>
  </si>
  <si>
    <t>WO6</t>
  </si>
  <si>
    <t>B4901</t>
  </si>
  <si>
    <t>DETECTOR METAL</t>
  </si>
  <si>
    <t>VL1053SS3</t>
  </si>
  <si>
    <t>M25988/4-906</t>
  </si>
  <si>
    <t>M83248-1-009</t>
  </si>
  <si>
    <t>AS3209-328</t>
  </si>
  <si>
    <t>AS3209-145</t>
  </si>
  <si>
    <t>AH088741</t>
  </si>
  <si>
    <t>AH090009</t>
  </si>
  <si>
    <t>CIRCLIP</t>
  </si>
  <si>
    <t>MS15001-4</t>
  </si>
  <si>
    <t>AS3209-128</t>
  </si>
  <si>
    <t>AS3208-04</t>
  </si>
  <si>
    <t>ENRIQUE</t>
  </si>
  <si>
    <t>2873-450</t>
  </si>
  <si>
    <t>GE767</t>
  </si>
  <si>
    <t>LAMP</t>
  </si>
  <si>
    <t>MS9320-11</t>
  </si>
  <si>
    <t>CCR264SS3-06</t>
  </si>
  <si>
    <t>CCR264SS3-6</t>
  </si>
  <si>
    <t>MS28774-4</t>
  </si>
  <si>
    <t>MS28775-229</t>
  </si>
  <si>
    <t>MS28775-225</t>
  </si>
  <si>
    <t>NAS561CF5-22</t>
  </si>
  <si>
    <t>STEEL</t>
  </si>
  <si>
    <t>.807867.</t>
  </si>
  <si>
    <t>CR3222-5-05</t>
  </si>
  <si>
    <t>M83248-1-166</t>
  </si>
  <si>
    <t>BACB30YP6K7</t>
  </si>
  <si>
    <t>MS29513-137</t>
  </si>
  <si>
    <t>MS29513-225</t>
  </si>
  <si>
    <t>MS29513-123</t>
  </si>
  <si>
    <t>MS28775-239</t>
  </si>
  <si>
    <t>BACC15AN10</t>
  </si>
  <si>
    <t>CLIP</t>
  </si>
  <si>
    <t>BACB30LR4U23</t>
  </si>
  <si>
    <t>MS28783-2</t>
  </si>
  <si>
    <t>MS24665-374</t>
  </si>
  <si>
    <t>BACM10L21-1BUM</t>
  </si>
  <si>
    <t>MARKER</t>
  </si>
  <si>
    <t>MS29513-132</t>
  </si>
  <si>
    <t>BACB10BW37</t>
  </si>
  <si>
    <t>MS2513-272</t>
  </si>
  <si>
    <t>BACN10KE4B2CD</t>
  </si>
  <si>
    <t>MS24665-212</t>
  </si>
  <si>
    <t>NAS1149F1032P</t>
  </si>
  <si>
    <t>MS21060L3</t>
  </si>
  <si>
    <t>SHIM GROUP</t>
  </si>
  <si>
    <t>M83248-1-177</t>
  </si>
  <si>
    <t>BACR15CE4B4</t>
  </si>
  <si>
    <t>880347-7</t>
  </si>
  <si>
    <t>SET SCREW</t>
  </si>
  <si>
    <t>FN12M02</t>
  </si>
  <si>
    <t>115-310</t>
  </si>
  <si>
    <t>INSULATOR-PISTON</t>
  </si>
  <si>
    <t>60-3731-1</t>
  </si>
  <si>
    <t>50023*</t>
  </si>
  <si>
    <t>MS29513-272</t>
  </si>
  <si>
    <t>BERAING CYLINDER</t>
  </si>
  <si>
    <t>M83248-1-155</t>
  </si>
  <si>
    <t>M82348-1-160</t>
  </si>
  <si>
    <t>NAS1611-012</t>
  </si>
  <si>
    <t>641127-1    SN: 3965</t>
  </si>
  <si>
    <t>SWITCH</t>
  </si>
  <si>
    <t>NAS1612-6</t>
  </si>
  <si>
    <t>OACKING</t>
  </si>
  <si>
    <t>AN4H3A</t>
  </si>
  <si>
    <t>4631*</t>
  </si>
  <si>
    <t>LAMP REPLACEMENT COVER</t>
  </si>
  <si>
    <t>AS3209-239</t>
  </si>
  <si>
    <t>S9028T907</t>
  </si>
  <si>
    <t>NAS1611-226</t>
  </si>
  <si>
    <t>Q4631</t>
  </si>
  <si>
    <t>FILTRO PEQUENO</t>
  </si>
  <si>
    <t>BACN11N6CS</t>
  </si>
  <si>
    <t>AS3209-221</t>
  </si>
  <si>
    <t>BACR12BM217</t>
  </si>
  <si>
    <t>CR3214-6-5</t>
  </si>
  <si>
    <t>M25988-1-906</t>
  </si>
  <si>
    <t>2 VENCIDOS</t>
  </si>
  <si>
    <t>776441</t>
  </si>
  <si>
    <t>MS9111-06</t>
  </si>
  <si>
    <t>ST1315-14</t>
  </si>
  <si>
    <t>ST2175-04</t>
  </si>
  <si>
    <t>NSA5110-08-1</t>
  </si>
  <si>
    <t>CLIPNUT</t>
  </si>
  <si>
    <t>E0360RK2424</t>
  </si>
  <si>
    <t>RACCORD</t>
  </si>
  <si>
    <t>EN3155-009F2222</t>
  </si>
  <si>
    <t>ST2785-10</t>
  </si>
  <si>
    <t>ST1011-10</t>
  </si>
  <si>
    <t>BACBW10BP10CD</t>
  </si>
  <si>
    <t>BACB30FM8A10</t>
  </si>
  <si>
    <t>80-702</t>
  </si>
  <si>
    <t>BACB28AK05-060</t>
  </si>
  <si>
    <t>NAS1149D0563J</t>
  </si>
  <si>
    <t>BACW10BN10UC</t>
  </si>
  <si>
    <t>BACN10YR5CD</t>
  </si>
  <si>
    <t>BACW10BN10UP</t>
  </si>
  <si>
    <t>NAS1612-6A</t>
  </si>
  <si>
    <t>BACB30LJ6-13</t>
  </si>
  <si>
    <t>80-710</t>
  </si>
  <si>
    <t>72-270</t>
  </si>
  <si>
    <t>HEAT SHIELD</t>
  </si>
  <si>
    <t>MS35338-42</t>
  </si>
  <si>
    <t>BACB28AM06B020A</t>
  </si>
  <si>
    <t>BACB10AB6</t>
  </si>
  <si>
    <t>BACW10BP4ACU</t>
  </si>
  <si>
    <t>80-758</t>
  </si>
  <si>
    <t>BACC10DK6</t>
  </si>
  <si>
    <t>1A8587</t>
  </si>
  <si>
    <t>1A9468</t>
  </si>
  <si>
    <t>HL11VAZ8-10</t>
  </si>
  <si>
    <t>MS9245-26</t>
  </si>
  <si>
    <t xml:space="preserve">CUTTER PIN </t>
  </si>
  <si>
    <t>BACB30MY8K6</t>
  </si>
  <si>
    <t>BACB30MY8K5</t>
  </si>
  <si>
    <t>BACN10JC12CM</t>
  </si>
  <si>
    <t>,776441,</t>
  </si>
  <si>
    <t>SPRING</t>
  </si>
  <si>
    <t>NAS1149D0463J</t>
  </si>
  <si>
    <t>NAS1149D0363J</t>
  </si>
  <si>
    <t>S12057-210-1</t>
  </si>
  <si>
    <t>NAS1149D0516J</t>
  </si>
  <si>
    <t>NACC63BP14H4SN</t>
  </si>
  <si>
    <t>NAS1611-113A</t>
  </si>
  <si>
    <t>PACKIN</t>
  </si>
  <si>
    <t>NAS1304-13</t>
  </si>
  <si>
    <t>NAS1304-11</t>
  </si>
  <si>
    <t>233T9131-1</t>
  </si>
  <si>
    <t>GASKET</t>
  </si>
  <si>
    <t>BACC47EF1</t>
  </si>
  <si>
    <t>AN960C1616</t>
  </si>
  <si>
    <t>AN320-C16</t>
  </si>
  <si>
    <t>BACN10JD105AU</t>
  </si>
  <si>
    <t>BACR12BP218</t>
  </si>
  <si>
    <t>NAS1612-3A</t>
  </si>
  <si>
    <t>66-16691-1</t>
  </si>
  <si>
    <t>030-1094-58</t>
  </si>
  <si>
    <t>KEY CONECTOR</t>
  </si>
  <si>
    <t>03DU03</t>
  </si>
  <si>
    <t>996-9215</t>
  </si>
  <si>
    <t>FILAMENT</t>
  </si>
  <si>
    <t>MS28775-214</t>
  </si>
  <si>
    <t>NAS1805-7P</t>
  </si>
  <si>
    <t>BACB30NN3K14</t>
  </si>
  <si>
    <t>G005S</t>
  </si>
  <si>
    <t>S8150D10H4</t>
  </si>
  <si>
    <t>S8150D10H6</t>
  </si>
  <si>
    <t>920B836-1</t>
  </si>
  <si>
    <t>MS24677-16</t>
  </si>
  <si>
    <t>929A939-1</t>
  </si>
  <si>
    <t>BACN10JD106</t>
  </si>
  <si>
    <t>130-17</t>
  </si>
  <si>
    <t>BALL</t>
  </si>
  <si>
    <t>BACN10HR10C</t>
  </si>
  <si>
    <t>BACC10GU101</t>
  </si>
  <si>
    <t>BACC10GU102</t>
  </si>
  <si>
    <t>1B4498</t>
  </si>
  <si>
    <t>1B4499</t>
  </si>
  <si>
    <t>5100-25H</t>
  </si>
  <si>
    <t>BACB30US6K27</t>
  </si>
  <si>
    <t>1B3230</t>
  </si>
  <si>
    <t>MS27595-012</t>
  </si>
  <si>
    <t>BACC63BP14H4SN</t>
  </si>
  <si>
    <t>RTV162</t>
  </si>
  <si>
    <t>ADHESIVE</t>
  </si>
  <si>
    <t>NAS1612-7</t>
  </si>
  <si>
    <t>AN960-616</t>
  </si>
  <si>
    <r>
      <t xml:space="preserve">BACN10YR4CD  ALT: </t>
    </r>
    <r>
      <rPr>
        <b/>
        <sz val="11"/>
        <color theme="1"/>
        <rFont val="Calibri"/>
        <family val="2"/>
        <scheme val="minor"/>
      </rPr>
      <t>PLH54CD</t>
    </r>
  </si>
  <si>
    <t>S12957-210-1</t>
  </si>
  <si>
    <t>BACW10BP10CD</t>
  </si>
  <si>
    <t>RR185</t>
  </si>
  <si>
    <t>732110-280</t>
  </si>
  <si>
    <t>SHIM</t>
  </si>
  <si>
    <t>69522-7B10</t>
  </si>
  <si>
    <t>732110-279</t>
  </si>
  <si>
    <t>43-1436</t>
  </si>
  <si>
    <t>MS24678-9</t>
  </si>
  <si>
    <t>310T3152-13</t>
  </si>
  <si>
    <t>AS3209-223</t>
  </si>
  <si>
    <t>1N 1-3B</t>
  </si>
  <si>
    <t>07854*</t>
  </si>
  <si>
    <t>COVER</t>
  </si>
  <si>
    <t>630-3-400</t>
  </si>
  <si>
    <t>BACR15DR3-3</t>
  </si>
  <si>
    <t>BACR15DR3-4</t>
  </si>
  <si>
    <t>BACR15DR3-5</t>
  </si>
  <si>
    <t>M83248-1-171</t>
  </si>
  <si>
    <t>654N0035-2</t>
  </si>
  <si>
    <t>654N0035-3</t>
  </si>
  <si>
    <t>AS3209-222/A7276-222</t>
  </si>
  <si>
    <r>
      <t>728638</t>
    </r>
    <r>
      <rPr>
        <b/>
        <sz val="11"/>
        <color theme="1"/>
        <rFont val="Calibri"/>
        <family val="2"/>
        <scheme val="minor"/>
      </rPr>
      <t>GC</t>
    </r>
  </si>
  <si>
    <t>PISTON</t>
  </si>
  <si>
    <t>OFICINA SR JSOE</t>
  </si>
  <si>
    <r>
      <t>728638</t>
    </r>
    <r>
      <rPr>
        <b/>
        <sz val="11"/>
        <color theme="1"/>
        <rFont val="Calibri"/>
        <family val="2"/>
        <scheme val="minor"/>
      </rPr>
      <t>GD</t>
    </r>
  </si>
  <si>
    <t>1101166-17</t>
  </si>
  <si>
    <t>SEAT BELT LAP</t>
  </si>
  <si>
    <t>1978X</t>
  </si>
  <si>
    <t>HA142-5</t>
  </si>
  <si>
    <t>LACTH ASSY</t>
  </si>
  <si>
    <t>NAS1612-8</t>
  </si>
  <si>
    <t>69-36713-2</t>
  </si>
  <si>
    <t>SPACER</t>
  </si>
  <si>
    <t>69-36713-1</t>
  </si>
  <si>
    <t>654T0035-2</t>
  </si>
  <si>
    <t>654N0035-1</t>
  </si>
  <si>
    <t>654T0035-3</t>
  </si>
  <si>
    <t>MS21042L4</t>
  </si>
  <si>
    <t>S9257-37B0875</t>
  </si>
  <si>
    <t>AN502-10-14</t>
  </si>
  <si>
    <t>654N0035-10</t>
  </si>
  <si>
    <t>BACC63BP18A8SN</t>
  </si>
  <si>
    <t>.685.</t>
  </si>
  <si>
    <t>CN0966A28S42S7-000</t>
  </si>
  <si>
    <t>NAS1611-222</t>
  </si>
  <si>
    <t>NAS1611-023</t>
  </si>
  <si>
    <t>S9026L111</t>
  </si>
  <si>
    <t>MS28782-9</t>
  </si>
  <si>
    <t>65-90305-20</t>
  </si>
  <si>
    <t>BACC30M8</t>
  </si>
  <si>
    <t>BACB30NN4K5</t>
  </si>
  <si>
    <t>BACC30AC8</t>
  </si>
  <si>
    <t>H172P-3-080-333</t>
  </si>
  <si>
    <t>LOCK</t>
  </si>
  <si>
    <t>MS24665-283</t>
  </si>
  <si>
    <t>NAS1611-331A</t>
  </si>
  <si>
    <t>MS29513-275</t>
  </si>
  <si>
    <t>MS29513-240</t>
  </si>
  <si>
    <t>97-125</t>
  </si>
  <si>
    <t>E0126-04L</t>
  </si>
  <si>
    <t>TUBING HEAT</t>
  </si>
  <si>
    <t>BACN10YD3</t>
  </si>
  <si>
    <r>
      <rPr>
        <b/>
        <u/>
        <sz val="11"/>
        <rFont val="Calibri"/>
        <family val="2"/>
        <scheme val="minor"/>
      </rPr>
      <t>BACC30M6</t>
    </r>
    <r>
      <rPr>
        <sz val="11"/>
        <rFont val="Calibri"/>
        <family val="2"/>
        <scheme val="minor"/>
      </rPr>
      <t xml:space="preserve"> ALT HL79-6</t>
    </r>
  </si>
  <si>
    <t>DSR1049-2</t>
  </si>
  <si>
    <t>43-1247E</t>
  </si>
  <si>
    <t>NAS1102-3-24</t>
  </si>
  <si>
    <t>NAS1102-3-30</t>
  </si>
  <si>
    <t>1N 1-4A</t>
  </si>
  <si>
    <t>AS3209-136</t>
  </si>
  <si>
    <t>AS1591-06-0490A SN:S201009776</t>
  </si>
  <si>
    <t>DUCT</t>
  </si>
  <si>
    <t>HL79-9 ALT : BACC30M10</t>
  </si>
  <si>
    <t>0730801-33AM</t>
  </si>
  <si>
    <t xml:space="preserve">BACK COVER </t>
  </si>
  <si>
    <t>A0863</t>
  </si>
  <si>
    <t>M83248-2-910</t>
  </si>
  <si>
    <t>AN3H7A</t>
  </si>
  <si>
    <t>MS9385-07</t>
  </si>
  <si>
    <t>MS28778-4</t>
  </si>
  <si>
    <t>40 VENCIDO</t>
  </si>
  <si>
    <t>MS21059-3</t>
  </si>
  <si>
    <t>NUT PLATE</t>
  </si>
  <si>
    <t>68-185</t>
  </si>
  <si>
    <t>S8990-014</t>
  </si>
  <si>
    <t>BACB30NX10K9X</t>
  </si>
  <si>
    <t>S9028T906</t>
  </si>
  <si>
    <t>968C251-1</t>
  </si>
  <si>
    <t>SEAT</t>
  </si>
  <si>
    <t>MS27488-20-1</t>
  </si>
  <si>
    <t>FILTER ROD</t>
  </si>
  <si>
    <t>MS9967-260</t>
  </si>
  <si>
    <t>4401B38-1</t>
  </si>
  <si>
    <t>.141074.</t>
  </si>
  <si>
    <t>BACR15FV6KE7</t>
  </si>
  <si>
    <t>.55871.</t>
  </si>
  <si>
    <t>BACW10BP12ACD</t>
  </si>
  <si>
    <t>WAHSER</t>
  </si>
  <si>
    <t>MS35206-248</t>
  </si>
  <si>
    <t>NAS1611-024</t>
  </si>
  <si>
    <t>BACB28AK05-035</t>
  </si>
  <si>
    <t>113N1712-17</t>
  </si>
  <si>
    <t>M83248-1-227</t>
  </si>
  <si>
    <t>BACB30FM10-5</t>
  </si>
  <si>
    <t>7554262..</t>
  </si>
  <si>
    <t>M83248-1-901</t>
  </si>
  <si>
    <t>MS24665-229</t>
  </si>
  <si>
    <t xml:space="preserve">PIN </t>
  </si>
  <si>
    <t>AS3209-170</t>
  </si>
  <si>
    <t>AS3208-03</t>
  </si>
  <si>
    <t>BACB28AK05-024</t>
  </si>
  <si>
    <t>2A2324</t>
  </si>
  <si>
    <t>CONTACT</t>
  </si>
  <si>
    <t>2A2315</t>
  </si>
  <si>
    <t>5A1857</t>
  </si>
  <si>
    <t>INDICATOR</t>
  </si>
  <si>
    <t>BACN10JD106CD</t>
  </si>
  <si>
    <t>MS24665-304</t>
  </si>
  <si>
    <t>NAS1149C0663R</t>
  </si>
  <si>
    <t>HL1187-10</t>
  </si>
  <si>
    <t>NSA936501TA2206</t>
  </si>
  <si>
    <t xml:space="preserve">TERMINAL </t>
  </si>
  <si>
    <t>NSA5516C08ND</t>
  </si>
  <si>
    <t>BACB30NW6K3</t>
  </si>
  <si>
    <t>MS35650-302</t>
  </si>
  <si>
    <t>BACW10BP12ACU</t>
  </si>
  <si>
    <t>HL13VAZ5-5</t>
  </si>
  <si>
    <t>NSA935401-04</t>
  </si>
  <si>
    <t>TIE-CABLE</t>
  </si>
  <si>
    <t>MS9954-02</t>
  </si>
  <si>
    <t>N5000-125</t>
  </si>
  <si>
    <t>68-1521</t>
  </si>
  <si>
    <t>M83248-1-908</t>
  </si>
  <si>
    <t>PACKIG</t>
  </si>
  <si>
    <t>MS24665-132</t>
  </si>
  <si>
    <t>68-1259</t>
  </si>
  <si>
    <t>M35338-43</t>
  </si>
  <si>
    <t>68-1125</t>
  </si>
  <si>
    <t>68-1523</t>
  </si>
  <si>
    <t>BACB45A</t>
  </si>
  <si>
    <t>BUMPER</t>
  </si>
  <si>
    <t>BACB30VF3K4</t>
  </si>
  <si>
    <t>NAS43DD3-7FC</t>
  </si>
  <si>
    <t>NAS1611-216</t>
  </si>
  <si>
    <t>A7276-222</t>
  </si>
  <si>
    <t>M25988-2-036</t>
  </si>
  <si>
    <t>M25988-2-218</t>
  </si>
  <si>
    <t>MS27595-116</t>
  </si>
  <si>
    <t>728872-1</t>
  </si>
  <si>
    <t>NAS1611-143</t>
  </si>
  <si>
    <t xml:space="preserve">SL4087C12 </t>
  </si>
  <si>
    <t>310N3152-4</t>
  </si>
  <si>
    <t>315N3307-22</t>
  </si>
  <si>
    <t>SUPPORT</t>
  </si>
  <si>
    <t>310N3152-3</t>
  </si>
  <si>
    <t>65-90305-72</t>
  </si>
  <si>
    <t xml:space="preserve">1 KIT </t>
  </si>
  <si>
    <t xml:space="preserve">KIT INCOMPLETO </t>
  </si>
  <si>
    <r>
      <t>SL4087C12 ALT:</t>
    </r>
    <r>
      <rPr>
        <b/>
        <sz val="11"/>
        <color theme="1"/>
        <rFont val="Calibri"/>
        <family val="2"/>
        <scheme val="minor"/>
      </rPr>
      <t xml:space="preserve"> VB13027-12</t>
    </r>
  </si>
  <si>
    <t>M83248-1-910</t>
  </si>
  <si>
    <t>M83248-1-905</t>
  </si>
  <si>
    <t>BACN10JC10C</t>
  </si>
  <si>
    <t>M83248-1-013</t>
  </si>
  <si>
    <t>M25988-1-156</t>
  </si>
  <si>
    <t>HL10000-130</t>
  </si>
  <si>
    <t>ACTUATOR</t>
  </si>
  <si>
    <t>69-77135-1</t>
  </si>
  <si>
    <t>FUEL</t>
  </si>
  <si>
    <t>NAS333CPA4</t>
  </si>
  <si>
    <t>S9026D111</t>
  </si>
  <si>
    <t>S9413-010</t>
  </si>
  <si>
    <t>S9413-555</t>
  </si>
  <si>
    <t>S9413-020</t>
  </si>
  <si>
    <t>BACR13CD2</t>
  </si>
  <si>
    <t>1A4047</t>
  </si>
  <si>
    <t>NAS1611-013A</t>
  </si>
  <si>
    <t>M829513-131</t>
  </si>
  <si>
    <t>79030GF</t>
  </si>
  <si>
    <t>2606799-141</t>
  </si>
  <si>
    <t>BACB30LE8HU17</t>
  </si>
  <si>
    <t>310T3151-17</t>
  </si>
  <si>
    <t>BACW10BP8ACU</t>
  </si>
  <si>
    <t>RELAY</t>
  </si>
  <si>
    <t>AN814-4DL</t>
  </si>
  <si>
    <t>MS28775-015</t>
  </si>
  <si>
    <t>AN960-416</t>
  </si>
  <si>
    <t>100 % KIT 204050</t>
  </si>
  <si>
    <t>887986-5WE</t>
  </si>
  <si>
    <t>MS24665-151</t>
  </si>
  <si>
    <t>80172-10</t>
  </si>
  <si>
    <t>HANDLE</t>
  </si>
  <si>
    <t>MS16624-3137</t>
  </si>
  <si>
    <t xml:space="preserve">O-RING </t>
  </si>
  <si>
    <t>S8157N113-020</t>
  </si>
  <si>
    <t>MS9592-058</t>
  </si>
  <si>
    <t>859187-1</t>
  </si>
  <si>
    <t>S8154-293C010</t>
  </si>
  <si>
    <t>BACB30NN3K2</t>
  </si>
  <si>
    <t>BACN10JC4</t>
  </si>
  <si>
    <t>MS21209F1-10</t>
  </si>
  <si>
    <t>BACW10P124S</t>
  </si>
  <si>
    <t>MS17826-3</t>
  </si>
  <si>
    <t>BACN10KE3B5</t>
  </si>
  <si>
    <t>BACW10BP18ACU</t>
  </si>
  <si>
    <t>BACW10BP8APU</t>
  </si>
  <si>
    <t>AN901-4C</t>
  </si>
  <si>
    <t>NAS1307-19</t>
  </si>
  <si>
    <t>MS9592-048</t>
  </si>
  <si>
    <t>MS21043-4</t>
  </si>
  <si>
    <t>414121WE</t>
  </si>
  <si>
    <t>BACN10JC6</t>
  </si>
  <si>
    <t>649-412-104-0</t>
  </si>
  <si>
    <t>BACN10JD6</t>
  </si>
  <si>
    <t>BACB30LE7HK26</t>
  </si>
  <si>
    <t>BACR15CE5D5</t>
  </si>
  <si>
    <t>NAS1306-8</t>
  </si>
  <si>
    <t>NAS1611-020</t>
  </si>
  <si>
    <t>NAS1149D0716K</t>
  </si>
  <si>
    <t>MS24665-3</t>
  </si>
  <si>
    <t>BACP30F4</t>
  </si>
  <si>
    <t>AIRCRAFT PULLEYS</t>
  </si>
  <si>
    <t>.12617.</t>
  </si>
  <si>
    <t>MS24665-134</t>
  </si>
  <si>
    <t>102C1525001B215</t>
  </si>
  <si>
    <t>BALLS</t>
  </si>
  <si>
    <t>102C152-25-01-A-218</t>
  </si>
  <si>
    <t>CR3212-4-04</t>
  </si>
  <si>
    <t>AN960-616L</t>
  </si>
  <si>
    <t>MS28775-224</t>
  </si>
  <si>
    <t xml:space="preserve">BACR15CE6D4 </t>
  </si>
  <si>
    <t>MS21209F4-20</t>
  </si>
  <si>
    <t>MS28775-211</t>
  </si>
  <si>
    <t>MS16562-51</t>
  </si>
  <si>
    <t>MS24665-18</t>
  </si>
  <si>
    <t>MS14144L6</t>
  </si>
  <si>
    <t>MS21209-F4-15L</t>
  </si>
  <si>
    <t>BACW10UD101</t>
  </si>
  <si>
    <t>NAS1149D0363H</t>
  </si>
  <si>
    <t>MS28775-226</t>
  </si>
  <si>
    <t>MS28774-013</t>
  </si>
  <si>
    <t>BACR15BB5D10</t>
  </si>
  <si>
    <t>NAS1352N08-12</t>
  </si>
  <si>
    <t>NAS1096-3-22</t>
  </si>
  <si>
    <t>BACW10BP7APU</t>
  </si>
  <si>
    <t>MS28775-232</t>
  </si>
  <si>
    <t>VL1488PW153-010</t>
  </si>
  <si>
    <t>AN901-6C</t>
  </si>
  <si>
    <t>BACB30NX8K8Y</t>
  </si>
  <si>
    <t>HI-LOCK</t>
  </si>
  <si>
    <t>MS51957-43</t>
  </si>
  <si>
    <t>NAS1143-4</t>
  </si>
  <si>
    <t>MS16995-26</t>
  </si>
  <si>
    <t>BACB30LU3-2</t>
  </si>
  <si>
    <t>BACC14AD6D</t>
  </si>
  <si>
    <t>CAP</t>
  </si>
  <si>
    <t>MS18065-21</t>
  </si>
  <si>
    <t>BACN10JD3CD</t>
  </si>
  <si>
    <t>BACB30VF3K2</t>
  </si>
  <si>
    <t>AN320-4</t>
  </si>
  <si>
    <t>BACC14AD4D</t>
  </si>
  <si>
    <t>BACR12Y23</t>
  </si>
  <si>
    <t>NAS679C3W</t>
  </si>
  <si>
    <t>S8157N491-020</t>
  </si>
  <si>
    <t>880210-8</t>
  </si>
  <si>
    <t>NAS6703U28</t>
  </si>
  <si>
    <t>NAS1352C08-12</t>
  </si>
  <si>
    <t>MS51957-27</t>
  </si>
  <si>
    <t>S8168-33C0100</t>
  </si>
  <si>
    <t>MS24665-285</t>
  </si>
  <si>
    <t>CCR264SS3-8</t>
  </si>
  <si>
    <t>BACN10HR9C</t>
  </si>
  <si>
    <t>BACB30LH4-6</t>
  </si>
  <si>
    <t>BACB30LU4-6</t>
  </si>
  <si>
    <t>59494</t>
  </si>
  <si>
    <t>RS118</t>
  </si>
  <si>
    <t>69-72097-1</t>
  </si>
  <si>
    <t>BACS11AA326A</t>
  </si>
  <si>
    <t>69-50759-2</t>
  </si>
  <si>
    <t>40349-10</t>
  </si>
  <si>
    <t>0428CC30</t>
  </si>
  <si>
    <t>BACS11AA210A</t>
  </si>
  <si>
    <t>D201W3JA</t>
  </si>
  <si>
    <t xml:space="preserve">BUTTON SWITCH </t>
  </si>
  <si>
    <t>BACS11AA116A</t>
  </si>
  <si>
    <t>MS19070-052</t>
  </si>
  <si>
    <t>MS5237-587</t>
  </si>
  <si>
    <t>NAS1105-29</t>
  </si>
  <si>
    <t>S8806CC1032R9</t>
  </si>
  <si>
    <t>BACS34A21</t>
  </si>
  <si>
    <t>SCRAPER</t>
  </si>
  <si>
    <t>BACB30NR5K15</t>
  </si>
  <si>
    <t>CR3214-4-4</t>
  </si>
  <si>
    <t>NAS428H3A10</t>
  </si>
  <si>
    <t>BACB30NW6K4</t>
  </si>
  <si>
    <r>
      <rPr>
        <b/>
        <u/>
        <sz val="11"/>
        <color theme="1"/>
        <rFont val="Calibri"/>
        <family val="2"/>
        <scheme val="minor"/>
      </rPr>
      <t xml:space="preserve">NAS679A3 </t>
    </r>
    <r>
      <rPr>
        <sz val="11"/>
        <color theme="1"/>
        <rFont val="Calibri"/>
        <family val="2"/>
        <scheme val="minor"/>
      </rPr>
      <t xml:space="preserve"> ALT:  BACN10JC3CD</t>
    </r>
  </si>
  <si>
    <t>MS20664C3</t>
  </si>
  <si>
    <t xml:space="preserve">CABLE BALL END </t>
  </si>
  <si>
    <t>CR3222-6-7</t>
  </si>
  <si>
    <t>AN3-20</t>
  </si>
  <si>
    <t>AN960JD416</t>
  </si>
  <si>
    <t>BACC30BH8</t>
  </si>
  <si>
    <t>NAS1423-6LH</t>
  </si>
  <si>
    <t>NAS1399B5-3</t>
  </si>
  <si>
    <t>BACB30NW8K5</t>
  </si>
  <si>
    <t>NAS1149D0316J</t>
  </si>
  <si>
    <t>MS24665-157</t>
  </si>
  <si>
    <t>BACR12BM220</t>
  </si>
  <si>
    <t>BACC18AD5</t>
  </si>
  <si>
    <t>BACC10DK4</t>
  </si>
  <si>
    <t>AN960XC10L</t>
  </si>
  <si>
    <t>NAS1149F0463P</t>
  </si>
  <si>
    <t>BACW10BP6APU</t>
  </si>
  <si>
    <t>BACW10BP5CD</t>
  </si>
  <si>
    <t>2600LW</t>
  </si>
  <si>
    <t>BACW10BP8AL</t>
  </si>
  <si>
    <t>BACC47CP1S</t>
  </si>
  <si>
    <t>BACC10DK5</t>
  </si>
  <si>
    <t>BACS21EE4R</t>
  </si>
  <si>
    <t>BACC10DK8</t>
  </si>
  <si>
    <t>MS51844-22</t>
  </si>
  <si>
    <t>SLEEVE</t>
  </si>
  <si>
    <t>MS25237-587</t>
  </si>
  <si>
    <t>123423-3-2</t>
  </si>
  <si>
    <t>1B0491</t>
  </si>
  <si>
    <t>BACR12BM111</t>
  </si>
  <si>
    <t>1B0471</t>
  </si>
  <si>
    <t>63-533</t>
  </si>
  <si>
    <t>AS3209-132</t>
  </si>
  <si>
    <t>HL12VAZ6-18</t>
  </si>
  <si>
    <t>.16785.</t>
  </si>
  <si>
    <t>DISCHARGER</t>
  </si>
  <si>
    <t>AML76C10T01P</t>
  </si>
  <si>
    <t>GUARD</t>
  </si>
  <si>
    <t>BACN10YR3CM</t>
  </si>
  <si>
    <t>BACB30NR4HK5</t>
  </si>
  <si>
    <t>BACW10BP5DP</t>
  </si>
  <si>
    <t>NAS1805-6N</t>
  </si>
  <si>
    <t>BACN10YR3CD</t>
  </si>
  <si>
    <t>BACB30NU5K11</t>
  </si>
  <si>
    <t>MS21042L5</t>
  </si>
  <si>
    <t>BACW10BN6SP</t>
  </si>
  <si>
    <t>81394-10</t>
  </si>
  <si>
    <t>ROLLER ASSY</t>
  </si>
  <si>
    <t>HST10AG8-9</t>
  </si>
  <si>
    <t>BACW10BN7SP</t>
  </si>
  <si>
    <t>BACR15CE6D6</t>
  </si>
  <si>
    <t>NAS1352-08-6</t>
  </si>
  <si>
    <t>213N3018-1</t>
  </si>
  <si>
    <t>LINK ASSENBLY</t>
  </si>
  <si>
    <t>BACR15CE6D5</t>
  </si>
  <si>
    <t>8GH004554-28</t>
  </si>
  <si>
    <t>ASPLC2AC6</t>
  </si>
  <si>
    <t>.327.</t>
  </si>
  <si>
    <t>NAS6205-11</t>
  </si>
  <si>
    <t>310N3152-1</t>
  </si>
  <si>
    <t>.78690.</t>
  </si>
  <si>
    <t>BACW10BP3ACU</t>
  </si>
  <si>
    <t>H83248-1-010</t>
  </si>
  <si>
    <t>3179817JP-1</t>
  </si>
  <si>
    <t>3A001-1875</t>
  </si>
  <si>
    <t>SPINDLE</t>
  </si>
  <si>
    <t>BACN10JC3CD</t>
  </si>
  <si>
    <t>BACC10GE36</t>
  </si>
  <si>
    <t>1N 1-4B</t>
  </si>
  <si>
    <t>BACC10GE44</t>
  </si>
  <si>
    <t>BACC10GE54</t>
  </si>
  <si>
    <t>AS3209-216</t>
  </si>
  <si>
    <t>AS3209-157</t>
  </si>
  <si>
    <t>MS9967-118</t>
  </si>
  <si>
    <t>AS3582-140</t>
  </si>
  <si>
    <t>NAS1611-231</t>
  </si>
  <si>
    <t>AS3208-12</t>
  </si>
  <si>
    <t>AS3209-222</t>
  </si>
  <si>
    <t>M83248-1-216</t>
  </si>
  <si>
    <t>AS3209-127</t>
  </si>
  <si>
    <t>M83248-1-156</t>
  </si>
  <si>
    <t>M83248-1-904</t>
  </si>
  <si>
    <t>AA55549-13</t>
  </si>
  <si>
    <t>AS3578-021</t>
  </si>
  <si>
    <t>65-90305-25</t>
  </si>
  <si>
    <t>AN737TW22</t>
  </si>
  <si>
    <t>NAS6204-12</t>
  </si>
  <si>
    <t>HL11VAZ6-6</t>
  </si>
  <si>
    <t>BACB30NW6K6X</t>
  </si>
  <si>
    <t xml:space="preserve">NUT PLATE </t>
  </si>
  <si>
    <t>1N 1-5A</t>
  </si>
  <si>
    <t>05228-7515128</t>
  </si>
  <si>
    <t>M823248-1-216</t>
  </si>
  <si>
    <t>MS21069-3</t>
  </si>
  <si>
    <t>MS21042-6</t>
  </si>
  <si>
    <t>LOCKNUT</t>
  </si>
  <si>
    <t>BACN10HR7CS</t>
  </si>
  <si>
    <t>NAS334CPA12</t>
  </si>
  <si>
    <t>42FLW428</t>
  </si>
  <si>
    <t>NAS1303-3H</t>
  </si>
  <si>
    <t>NAS1202-2</t>
  </si>
  <si>
    <t>103-20400</t>
  </si>
  <si>
    <t>5910295-3</t>
  </si>
  <si>
    <t xml:space="preserve">PLATE BEARING </t>
  </si>
  <si>
    <t>NAS603-10</t>
  </si>
  <si>
    <t>NAS334CPA4-5</t>
  </si>
  <si>
    <t>NAS1109-27D</t>
  </si>
  <si>
    <t>BACW10BP4AC</t>
  </si>
  <si>
    <t>65-21656-73</t>
  </si>
  <si>
    <t xml:space="preserve">PLATE  </t>
  </si>
  <si>
    <t>NAS623-3-30</t>
  </si>
  <si>
    <t>MS27039-4-16</t>
  </si>
  <si>
    <t>NAS1105-8</t>
  </si>
  <si>
    <t>600263-1</t>
  </si>
  <si>
    <t xml:space="preserve">DRAIN VLAVE </t>
  </si>
  <si>
    <t>NAS1351-3-12P</t>
  </si>
  <si>
    <t>CR3242-5-3</t>
  </si>
  <si>
    <t xml:space="preserve">CHERRY RIVET </t>
  </si>
  <si>
    <t>NAS1803-3B11</t>
  </si>
  <si>
    <t>S124682-8D18-6</t>
  </si>
  <si>
    <t>AN960C8L</t>
  </si>
  <si>
    <t>NAS334CPA10</t>
  </si>
  <si>
    <t>NAS1149F0863P</t>
  </si>
  <si>
    <r>
      <rPr>
        <b/>
        <sz val="11"/>
        <color theme="1"/>
        <rFont val="Calibri"/>
        <family val="2"/>
        <scheme val="minor"/>
      </rPr>
      <t xml:space="preserve">NAS1149F0332P </t>
    </r>
    <r>
      <rPr>
        <sz val="11"/>
        <color theme="1"/>
        <rFont val="Calibri"/>
        <family val="2"/>
        <scheme val="minor"/>
      </rPr>
      <t xml:space="preserve"> ALT: AN960-10L</t>
    </r>
  </si>
  <si>
    <t>NAS1595-2</t>
  </si>
  <si>
    <t>NAS623-3-14</t>
  </si>
  <si>
    <t>NAS77-4-006</t>
  </si>
  <si>
    <t>2915191-1</t>
  </si>
  <si>
    <t>NAS75-4-004</t>
  </si>
  <si>
    <t>AN960D8</t>
  </si>
  <si>
    <t>S124682-5-12-6</t>
  </si>
  <si>
    <t>NAS514P440-6</t>
  </si>
  <si>
    <t>S133590-12</t>
  </si>
  <si>
    <t>LH7461T070</t>
  </si>
  <si>
    <t>2608438-1</t>
  </si>
  <si>
    <t>NAS1801-04-6</t>
  </si>
  <si>
    <t>MS20002C5</t>
  </si>
  <si>
    <t>HPD9-70288-3</t>
  </si>
  <si>
    <t>LATCH</t>
  </si>
  <si>
    <t>10706-00</t>
  </si>
  <si>
    <t xml:space="preserve">INER SUPPORT </t>
  </si>
  <si>
    <t>44585-10</t>
  </si>
  <si>
    <t xml:space="preserve">FITTING ASSY </t>
  </si>
  <si>
    <t>NAS1149D0463H</t>
  </si>
  <si>
    <t>MS15795-803</t>
  </si>
  <si>
    <t>2000-14</t>
  </si>
  <si>
    <t>BACB30LH3K5</t>
  </si>
  <si>
    <t>BACB30N28K8X</t>
  </si>
  <si>
    <t>NAS6204-14D</t>
  </si>
  <si>
    <t>1002690-303ACJ</t>
  </si>
  <si>
    <t xml:space="preserve">ARM REST COVER </t>
  </si>
  <si>
    <t>BACS12FA3K12BN</t>
  </si>
  <si>
    <t xml:space="preserve">SCREW-DECORATIVE </t>
  </si>
  <si>
    <t>NAS623-3-3</t>
  </si>
  <si>
    <t>8ES005588-00</t>
  </si>
  <si>
    <t xml:space="preserve">POWER UNIT </t>
  </si>
  <si>
    <t>NAS1252-10H</t>
  </si>
  <si>
    <t>MS20002-6</t>
  </si>
  <si>
    <t>65-26776-1</t>
  </si>
  <si>
    <t>69-27381-1</t>
  </si>
  <si>
    <t>SPIDER</t>
  </si>
  <si>
    <t>CR3553-5-2</t>
  </si>
  <si>
    <t>BACW10BP14ACU</t>
  </si>
  <si>
    <t>LJ70423</t>
  </si>
  <si>
    <t>2643013-1</t>
  </si>
  <si>
    <t>4958921-1</t>
  </si>
  <si>
    <t xml:space="preserve">PIN ASSY </t>
  </si>
  <si>
    <t>5910244-397</t>
  </si>
  <si>
    <t>920312-112</t>
  </si>
  <si>
    <t>NAS1739E6-3</t>
  </si>
  <si>
    <t>3959069-1</t>
  </si>
  <si>
    <t>PAD GRY112</t>
  </si>
  <si>
    <t>1N 1-5B</t>
  </si>
  <si>
    <t>KB27131</t>
  </si>
  <si>
    <t xml:space="preserve">SEAL RING </t>
  </si>
  <si>
    <t>BACN10J3CD</t>
  </si>
  <si>
    <t>TLPK424BS</t>
  </si>
  <si>
    <t>NTA12250-5AD10</t>
  </si>
  <si>
    <t>69-31696-1</t>
  </si>
  <si>
    <t>69-31256-1</t>
  </si>
  <si>
    <t>TSD5/32S</t>
  </si>
  <si>
    <t>NAS1149CN432R</t>
  </si>
  <si>
    <t>85-000600460-0</t>
  </si>
  <si>
    <t xml:space="preserve">LATCH ASSY </t>
  </si>
  <si>
    <t>1K31-4-6-4</t>
  </si>
  <si>
    <t>A1233A2</t>
  </si>
  <si>
    <t>LENS</t>
  </si>
  <si>
    <t>0332060000*</t>
  </si>
  <si>
    <t xml:space="preserve">PC MOUNT </t>
  </si>
  <si>
    <t>BACT12AC3</t>
  </si>
  <si>
    <t>TERMINAL LUG</t>
  </si>
  <si>
    <t>232N9002-6</t>
  </si>
  <si>
    <t>AR</t>
  </si>
  <si>
    <t>S9412-558</t>
  </si>
  <si>
    <t>8 VENCIDOS</t>
  </si>
  <si>
    <t>BACU24L8</t>
  </si>
  <si>
    <t>UNION</t>
  </si>
  <si>
    <t>NAS683A3</t>
  </si>
  <si>
    <t>13100000-5</t>
  </si>
  <si>
    <t xml:space="preserve">CLIP NUT </t>
  </si>
  <si>
    <t>NAS1611-149</t>
  </si>
  <si>
    <t>PACKIGN</t>
  </si>
  <si>
    <t>HE61050Z100</t>
  </si>
  <si>
    <t>7578659AM</t>
  </si>
  <si>
    <t>AS3582-006</t>
  </si>
  <si>
    <t>AN3-15A</t>
  </si>
  <si>
    <t>NAS1203-4</t>
  </si>
  <si>
    <t>NAS1106-19D</t>
  </si>
  <si>
    <t>NAS334CPA11</t>
  </si>
  <si>
    <t>AWJ7317-3</t>
  </si>
  <si>
    <t>PLATE</t>
  </si>
  <si>
    <t>LP7732-011</t>
  </si>
  <si>
    <t>28904-3</t>
  </si>
  <si>
    <t>NAS1104-12D</t>
  </si>
  <si>
    <t>HLT59-8-17</t>
  </si>
  <si>
    <t xml:space="preserve">HI LOCK </t>
  </si>
  <si>
    <t>31-281-025</t>
  </si>
  <si>
    <t>5956563-223</t>
  </si>
  <si>
    <t xml:space="preserve">1101273-07 </t>
  </si>
  <si>
    <t>STRAP</t>
  </si>
  <si>
    <t>NSA54215-06-06</t>
  </si>
  <si>
    <t>65-26776-21</t>
  </si>
  <si>
    <t xml:space="preserve">ESCUTCHEAN ASSY </t>
  </si>
  <si>
    <t>600-300</t>
  </si>
  <si>
    <t>05228-7578678</t>
  </si>
  <si>
    <t xml:space="preserve">FILTER ELEMENT </t>
  </si>
  <si>
    <t>5-86546-090</t>
  </si>
  <si>
    <t>851-30768-3521</t>
  </si>
  <si>
    <t>HL329-6-3</t>
  </si>
  <si>
    <t>10167-5001BT</t>
  </si>
  <si>
    <t>620-5-300</t>
  </si>
  <si>
    <t>1173T15-1</t>
  </si>
  <si>
    <t>THERMAL SWITCH</t>
  </si>
  <si>
    <t>RDAX6524E1</t>
  </si>
  <si>
    <t>SEAT PCU</t>
  </si>
  <si>
    <t>S9028G912</t>
  </si>
  <si>
    <t>22572-116</t>
  </si>
  <si>
    <t>NAS334CPA30</t>
  </si>
  <si>
    <t>NAS620C10L</t>
  </si>
  <si>
    <t>NAS1149F0732P</t>
  </si>
  <si>
    <t>412N1245-1</t>
  </si>
  <si>
    <t>NAS617-12</t>
  </si>
  <si>
    <t>VENCIDOS</t>
  </si>
  <si>
    <t>NAS6705-8</t>
  </si>
  <si>
    <t>NAS336CPA14</t>
  </si>
  <si>
    <t>NAS514P632-7P</t>
  </si>
  <si>
    <t>11-10579</t>
  </si>
  <si>
    <t xml:space="preserve">FILTER ASSEMBLY </t>
  </si>
  <si>
    <t>10-60779-108</t>
  </si>
  <si>
    <t xml:space="preserve">ROD END </t>
  </si>
  <si>
    <t>BACB30LK3U4</t>
  </si>
  <si>
    <t>69-50406-1</t>
  </si>
  <si>
    <t xml:space="preserve">LT PLATE </t>
  </si>
  <si>
    <t>NAS333CPA16</t>
  </si>
  <si>
    <t>K-2410</t>
  </si>
  <si>
    <t xml:space="preserve">FILL CONNECTOR KIT </t>
  </si>
  <si>
    <t>NAS335CPA7</t>
  </si>
  <si>
    <t>NAS1252-8L</t>
  </si>
  <si>
    <t>NAS43DD3-8FC</t>
  </si>
  <si>
    <t>271N6119-1</t>
  </si>
  <si>
    <t>HOUSE ASSY</t>
  </si>
  <si>
    <t>31-963-2</t>
  </si>
  <si>
    <t>3753213-149</t>
  </si>
  <si>
    <t>LANYRD</t>
  </si>
  <si>
    <t>3937057-1</t>
  </si>
  <si>
    <t>S124682-1F8-6</t>
  </si>
  <si>
    <t>RS187</t>
  </si>
  <si>
    <t>68-1234</t>
  </si>
  <si>
    <t>MS16998-32</t>
  </si>
  <si>
    <t>BACR15BB6D6</t>
  </si>
  <si>
    <t>MS20002C10</t>
  </si>
  <si>
    <t>.2609136.</t>
  </si>
  <si>
    <t>DAM</t>
  </si>
  <si>
    <t>BACC10GE27</t>
  </si>
  <si>
    <t>2609181AB</t>
  </si>
  <si>
    <t>NAS1611-015</t>
  </si>
  <si>
    <t>L1330A275A</t>
  </si>
  <si>
    <t>FUSE</t>
  </si>
  <si>
    <t>AS3209-121</t>
  </si>
  <si>
    <t>2606169-13</t>
  </si>
  <si>
    <t>.1665.</t>
  </si>
  <si>
    <t>BACB30VF4K8</t>
  </si>
  <si>
    <t>S9413-222WE</t>
  </si>
  <si>
    <t>ST1946-010</t>
  </si>
  <si>
    <t>BACG10AD24C</t>
  </si>
  <si>
    <t xml:space="preserve">SEAL </t>
  </si>
  <si>
    <t>BACB30NY5K5</t>
  </si>
  <si>
    <t>NAS620C10</t>
  </si>
  <si>
    <t>NAS1102-3-10</t>
  </si>
  <si>
    <t>4268C316M</t>
  </si>
  <si>
    <t>BACB30NT6K4</t>
  </si>
  <si>
    <t>AN960KD616</t>
  </si>
  <si>
    <t>NAS6704U13</t>
  </si>
  <si>
    <t>MS9320-10</t>
  </si>
  <si>
    <t>.7677494.</t>
  </si>
  <si>
    <t xml:space="preserve">LINING </t>
  </si>
  <si>
    <t>M83485-1-135</t>
  </si>
  <si>
    <t>2-160-431-01</t>
  </si>
  <si>
    <t>MS20002C7</t>
  </si>
  <si>
    <t>MS35276-260</t>
  </si>
  <si>
    <t>65-90305-38</t>
  </si>
  <si>
    <t>MS9015-04</t>
  </si>
  <si>
    <t>AN320-18</t>
  </si>
  <si>
    <t>NAS1352C08-6</t>
  </si>
  <si>
    <t>737257-2</t>
  </si>
  <si>
    <t>737257-1</t>
  </si>
  <si>
    <t>2703-500</t>
  </si>
  <si>
    <t>.2609829.</t>
  </si>
  <si>
    <t>RELINE INDICATOR</t>
  </si>
  <si>
    <t>HL1187-6</t>
  </si>
  <si>
    <t>BACN10JC6CM</t>
  </si>
  <si>
    <t>1280-481</t>
  </si>
  <si>
    <t>NAS513-8</t>
  </si>
  <si>
    <t>DC26F12-10S</t>
  </si>
  <si>
    <t>AN960C616</t>
  </si>
  <si>
    <t>5315-01-387-8215</t>
  </si>
  <si>
    <t>314N3013-80</t>
  </si>
  <si>
    <t xml:space="preserve">PLATE </t>
  </si>
  <si>
    <t>7P2226</t>
  </si>
  <si>
    <t>311A1099-18</t>
  </si>
  <si>
    <t>MS24693C26</t>
  </si>
  <si>
    <t>1N 1-6A</t>
  </si>
  <si>
    <t>HLT59-8-16</t>
  </si>
  <si>
    <t xml:space="preserve">HLT PIN </t>
  </si>
  <si>
    <t>2443-1</t>
  </si>
  <si>
    <t>135-00-422-03</t>
  </si>
  <si>
    <t>ARM</t>
  </si>
  <si>
    <t>BR230D-50112</t>
  </si>
  <si>
    <t>NAS7403-4</t>
  </si>
  <si>
    <t>NAS1203-3</t>
  </si>
  <si>
    <t>233T9141-4</t>
  </si>
  <si>
    <t>EWSB22-4A22</t>
  </si>
  <si>
    <t>S4928946T10</t>
  </si>
  <si>
    <t>NAS1204-8</t>
  </si>
  <si>
    <t>NAS514P832-24</t>
  </si>
  <si>
    <t>MS9385-06</t>
  </si>
  <si>
    <t>AN320-7</t>
  </si>
  <si>
    <t>MS21061L3</t>
  </si>
  <si>
    <t>8470002-1</t>
  </si>
  <si>
    <t>BACW10DY3A</t>
  </si>
  <si>
    <t>NAS1309-56</t>
  </si>
  <si>
    <t>65-29998-3</t>
  </si>
  <si>
    <t>S2210371-4A020</t>
  </si>
  <si>
    <t>69-47698-1</t>
  </si>
  <si>
    <t>BLOCK</t>
  </si>
  <si>
    <t>21911-52</t>
  </si>
  <si>
    <t>HOOK ASSY</t>
  </si>
  <si>
    <t>NAS1836-3-13</t>
  </si>
  <si>
    <t>3114M49G01</t>
  </si>
  <si>
    <t>GUIDE</t>
  </si>
  <si>
    <t>3953634-1</t>
  </si>
  <si>
    <t>LH7456T144</t>
  </si>
  <si>
    <t xml:space="preserve">BARREL NUT </t>
  </si>
  <si>
    <t>10A348-200-200</t>
  </si>
  <si>
    <t>HOUSING</t>
  </si>
  <si>
    <t>NAS1096-3-6</t>
  </si>
  <si>
    <t>NAS603-5P</t>
  </si>
  <si>
    <t>BACB30NN3K9</t>
  </si>
  <si>
    <t>183-1277-770</t>
  </si>
  <si>
    <t>CAPACITOR</t>
  </si>
  <si>
    <t>BACS13S149BNP</t>
  </si>
  <si>
    <t>INNER FERRULE</t>
  </si>
  <si>
    <t>AS21118</t>
  </si>
  <si>
    <t>NAS333CPA43</t>
  </si>
  <si>
    <t>10-61899-12</t>
  </si>
  <si>
    <t>SR0953028-4-11</t>
  </si>
  <si>
    <t xml:space="preserve">AM TOOL &amp; ENGR </t>
  </si>
  <si>
    <t>NAS1399B5-2</t>
  </si>
  <si>
    <t>A35568-1</t>
  </si>
  <si>
    <t>SR09530284-15</t>
  </si>
  <si>
    <t>SR09530284-27</t>
  </si>
  <si>
    <t>SR09530284-17</t>
  </si>
  <si>
    <t xml:space="preserve">SHIM </t>
  </si>
  <si>
    <t>SR09530284-35</t>
  </si>
  <si>
    <t>SR09530284-19</t>
  </si>
  <si>
    <t>SR09530284-13</t>
  </si>
  <si>
    <t>SR09530284-21</t>
  </si>
  <si>
    <t>DOUBLER</t>
  </si>
  <si>
    <t>91237-4</t>
  </si>
  <si>
    <t>SPRING SEAT</t>
  </si>
  <si>
    <t>NAS114PDN832H</t>
  </si>
  <si>
    <t>1N 1-6B</t>
  </si>
  <si>
    <t xml:space="preserve"> NAS623-3-4</t>
  </si>
  <si>
    <t>MS27039-1-06</t>
  </si>
  <si>
    <t>5930922-5</t>
  </si>
  <si>
    <t>NAS1169DD10L</t>
  </si>
  <si>
    <t>260-00-014-03</t>
  </si>
  <si>
    <t>NAS1149D0316H</t>
  </si>
  <si>
    <t>S1067502-1</t>
  </si>
  <si>
    <t>NAS1398B4-3</t>
  </si>
  <si>
    <t>MS21042-2</t>
  </si>
  <si>
    <t>NAS1204-10</t>
  </si>
  <si>
    <r>
      <rPr>
        <b/>
        <u/>
        <sz val="11"/>
        <color theme="1"/>
        <rFont val="Calibri"/>
        <family val="2"/>
        <scheme val="minor"/>
      </rPr>
      <t xml:space="preserve">NAS1149F0432P </t>
    </r>
    <r>
      <rPr>
        <sz val="11"/>
        <color theme="1"/>
        <rFont val="Calibri"/>
        <family val="2"/>
        <scheme val="minor"/>
      </rPr>
      <t>ALT: AN960-416L</t>
    </r>
  </si>
  <si>
    <t>MS21042L3</t>
  </si>
  <si>
    <t>NAS5050-3C</t>
  </si>
  <si>
    <t>05228-7578659AM</t>
  </si>
  <si>
    <t>CR3243-8-2</t>
  </si>
  <si>
    <t>CR3553-5-3</t>
  </si>
  <si>
    <t>BACC10JB204C236</t>
  </si>
  <si>
    <t>0549150965*</t>
  </si>
  <si>
    <t>FLASH CARD</t>
  </si>
  <si>
    <t>NAS1149DN816H</t>
  </si>
  <si>
    <t>9811M69P8</t>
  </si>
  <si>
    <t>MS21920-35</t>
  </si>
  <si>
    <t>AN315C3R</t>
  </si>
  <si>
    <t>ANCHOR TRACK</t>
  </si>
  <si>
    <t>SR09530230-5</t>
  </si>
  <si>
    <t>NAS1106-17D</t>
  </si>
  <si>
    <t>NAS334CPA8</t>
  </si>
  <si>
    <t>MS35206-260</t>
  </si>
  <si>
    <t>PIC239-3-8</t>
  </si>
  <si>
    <t>NAS1105-6</t>
  </si>
  <si>
    <t>NAS1104-22</t>
  </si>
  <si>
    <t>AN820-8</t>
  </si>
  <si>
    <t>KB27121</t>
  </si>
  <si>
    <t>HLT59-8-20</t>
  </si>
  <si>
    <t>NAS1104-13</t>
  </si>
  <si>
    <t>KB27136</t>
  </si>
  <si>
    <t>S133509-12</t>
  </si>
  <si>
    <t>MS9321-05</t>
  </si>
  <si>
    <t>BACB10EU06</t>
  </si>
  <si>
    <t>NAS1149C0932R</t>
  </si>
  <si>
    <r>
      <rPr>
        <b/>
        <sz val="11"/>
        <color theme="1"/>
        <rFont val="Calibri"/>
        <family val="2"/>
        <scheme val="minor"/>
      </rPr>
      <t xml:space="preserve">T-4619 </t>
    </r>
    <r>
      <rPr>
        <sz val="11"/>
        <color theme="1"/>
        <rFont val="Calibri"/>
        <family val="2"/>
        <scheme val="minor"/>
      </rPr>
      <t xml:space="preserve">   ALT: 2013-1</t>
    </r>
  </si>
  <si>
    <t>KEY</t>
  </si>
  <si>
    <t>KB1091</t>
  </si>
  <si>
    <t>CR3243-6-06</t>
  </si>
  <si>
    <t>FASTENER</t>
  </si>
  <si>
    <t>2632011-7</t>
  </si>
  <si>
    <t>TIP STAB</t>
  </si>
  <si>
    <t>MS2002-7</t>
  </si>
  <si>
    <t>91237-3</t>
  </si>
  <si>
    <t>TE9925-7</t>
  </si>
  <si>
    <t>HEX FASTENER</t>
  </si>
  <si>
    <t>NAS1149D0563H</t>
  </si>
  <si>
    <t>NAS1611-214A</t>
  </si>
  <si>
    <t>VL1102HS8-127</t>
  </si>
  <si>
    <t>S9413-120WE</t>
  </si>
  <si>
    <t>LL57XC82J6</t>
  </si>
  <si>
    <t>9958217-23</t>
  </si>
  <si>
    <t>77-000210-022-0</t>
  </si>
  <si>
    <t>MS35489-41</t>
  </si>
  <si>
    <t>BAC1521-715</t>
  </si>
  <si>
    <t>S124682-5D12-6</t>
  </si>
  <si>
    <t>CN1968-5</t>
  </si>
  <si>
    <t>S2917095-600</t>
  </si>
  <si>
    <t>MS20002C4</t>
  </si>
  <si>
    <t>4002T11</t>
  </si>
  <si>
    <t>NAS513-16</t>
  </si>
  <si>
    <t>AS12801-149</t>
  </si>
  <si>
    <t>2912339-1</t>
  </si>
  <si>
    <t>KB27133</t>
  </si>
  <si>
    <t>NAS561C3-18</t>
  </si>
  <si>
    <t>HLT435-6-6</t>
  </si>
  <si>
    <t>NAS514P632-7</t>
  </si>
  <si>
    <t>2650044-7</t>
  </si>
  <si>
    <t>ADAPTER</t>
  </si>
  <si>
    <t>LK76088</t>
  </si>
  <si>
    <t>NAS560HK3P5</t>
  </si>
  <si>
    <t>BACB302E4K11</t>
  </si>
  <si>
    <t>HL13V6-17</t>
  </si>
  <si>
    <t>MS9386-114</t>
  </si>
  <si>
    <t>MS29513-021</t>
  </si>
  <si>
    <t>M83248-1-030</t>
  </si>
  <si>
    <t>MS20605B6K6</t>
  </si>
  <si>
    <t>7C1-14</t>
  </si>
  <si>
    <t>CLAMP ASSY</t>
  </si>
  <si>
    <t>MS28774-017</t>
  </si>
  <si>
    <t>050554-2</t>
  </si>
  <si>
    <t>S-13117-2</t>
  </si>
  <si>
    <t>10-6075-4-19</t>
  </si>
  <si>
    <t>LK88108-3</t>
  </si>
  <si>
    <t>BAC1530-45</t>
  </si>
  <si>
    <t>232N9003-1</t>
  </si>
  <si>
    <t>S27040138L</t>
  </si>
  <si>
    <t>E-SEAL</t>
  </si>
  <si>
    <t>NAS1149F0563P</t>
  </si>
  <si>
    <t>3925634-501</t>
  </si>
  <si>
    <t>10-60031-79</t>
  </si>
  <si>
    <t>DOOR ASSY</t>
  </si>
  <si>
    <t>MS28775-013</t>
  </si>
  <si>
    <t>MS28775-428</t>
  </si>
  <si>
    <t xml:space="preserve">INSERT </t>
  </si>
  <si>
    <t>ST1076-04</t>
  </si>
  <si>
    <t>ST1076-07</t>
  </si>
  <si>
    <t>BACC10BN50025ME</t>
  </si>
  <si>
    <t xml:space="preserve">CLAMP </t>
  </si>
  <si>
    <t>MS28775-238</t>
  </si>
  <si>
    <t>GY18B10</t>
  </si>
  <si>
    <t>170-204WE</t>
  </si>
  <si>
    <t>1N3-2A</t>
  </si>
  <si>
    <t>85-633</t>
  </si>
  <si>
    <t>MS27595-145</t>
  </si>
  <si>
    <t>GYR8A20</t>
  </si>
  <si>
    <t>NAS1611-145</t>
  </si>
  <si>
    <t>MS21209F2-15</t>
  </si>
  <si>
    <t>WIPER</t>
  </si>
  <si>
    <t>AS5169D05</t>
  </si>
  <si>
    <t>HL87-6</t>
  </si>
  <si>
    <t>MS21209F7-15</t>
  </si>
  <si>
    <t>INSULATOR</t>
  </si>
  <si>
    <t>66-2955-3</t>
  </si>
  <si>
    <t>PINS</t>
  </si>
  <si>
    <t>234-040GF</t>
  </si>
  <si>
    <t>39-206</t>
  </si>
  <si>
    <t>NAS1080-6</t>
  </si>
  <si>
    <t>1N 1-7A</t>
  </si>
  <si>
    <t>3882496-1</t>
  </si>
  <si>
    <t>NAS1104-12</t>
  </si>
  <si>
    <t>NAS1104-3</t>
  </si>
  <si>
    <t>NAS1204-13</t>
  </si>
  <si>
    <t>NAS1104-11</t>
  </si>
  <si>
    <t>NAS1305-8</t>
  </si>
  <si>
    <t>NAS1104-8</t>
  </si>
  <si>
    <t>NAS1106-23D</t>
  </si>
  <si>
    <t>NAS1305-32D</t>
  </si>
  <si>
    <t>BACR17E6-4</t>
  </si>
  <si>
    <t>REDUCER</t>
  </si>
  <si>
    <t>NAS1149F0832P</t>
  </si>
  <si>
    <t>S2931983-30A06</t>
  </si>
  <si>
    <t>NAS601-16</t>
  </si>
  <si>
    <t>NAS1203-5</t>
  </si>
  <si>
    <t>NAS5903-13</t>
  </si>
  <si>
    <t>MS24694S48</t>
  </si>
  <si>
    <t>NAS6605-13</t>
  </si>
  <si>
    <t>NAS1203-6</t>
  </si>
  <si>
    <t>S2431218-6-14G</t>
  </si>
  <si>
    <t>NAS1149F0932P</t>
  </si>
  <si>
    <t>NAS1305-34H</t>
  </si>
  <si>
    <t>NAS334CPA17</t>
  </si>
  <si>
    <t>NAS335CPA17</t>
  </si>
  <si>
    <t>HL40V5-5</t>
  </si>
  <si>
    <t>7715AS15</t>
  </si>
  <si>
    <t>LIGHT</t>
  </si>
  <si>
    <t>MS20005-8</t>
  </si>
  <si>
    <t>5006987-1</t>
  </si>
  <si>
    <t>69-65746-1</t>
  </si>
  <si>
    <t>LUBE TUBE</t>
  </si>
  <si>
    <t>CR3553-6-6</t>
  </si>
  <si>
    <t>CR2249-6-02</t>
  </si>
  <si>
    <t>NAS1302-17</t>
  </si>
  <si>
    <t>BACN10JC6CD</t>
  </si>
  <si>
    <t>NAS1204-15D</t>
  </si>
  <si>
    <t>CR3243-6-5</t>
  </si>
  <si>
    <t>AN960-1016L</t>
  </si>
  <si>
    <t>NAS1252-716H</t>
  </si>
  <si>
    <t>AN9060PD616</t>
  </si>
  <si>
    <t>AN6236-3A</t>
  </si>
  <si>
    <t>BRACKET ASSY</t>
  </si>
  <si>
    <t>CR2262-6-07</t>
  </si>
  <si>
    <t>HL10V5-5</t>
  </si>
  <si>
    <t>62525-8-227</t>
  </si>
  <si>
    <t>ASSEMBLY</t>
  </si>
  <si>
    <t>1N 1-7B</t>
  </si>
  <si>
    <t>NAS1104-11D</t>
  </si>
  <si>
    <t>CR3553-5-4</t>
  </si>
  <si>
    <t>CR3552-6-4</t>
  </si>
  <si>
    <t>NAS336CPA-14</t>
  </si>
  <si>
    <t>NAS1252-616H</t>
  </si>
  <si>
    <t>NAS1252-416H</t>
  </si>
  <si>
    <t>AN4C22A</t>
  </si>
  <si>
    <t>PIC239-3-9</t>
  </si>
  <si>
    <t>S9412-036</t>
  </si>
  <si>
    <t>MS24693-S2</t>
  </si>
  <si>
    <t>NAS1203-24</t>
  </si>
  <si>
    <t>BACB30LJ4D12</t>
  </si>
  <si>
    <t>NAS1305-40</t>
  </si>
  <si>
    <t>NAS1203-15</t>
  </si>
  <si>
    <t>AN4-10</t>
  </si>
  <si>
    <t>NAS335CPA7-5</t>
  </si>
  <si>
    <t>MS20002-5</t>
  </si>
  <si>
    <t>S700S0497-125</t>
  </si>
  <si>
    <t>NAS623-3-4</t>
  </si>
  <si>
    <t>S2A114</t>
  </si>
  <si>
    <t>AS3209-107</t>
  </si>
  <si>
    <t>3202726-1</t>
  </si>
  <si>
    <t>VALVE CHECK</t>
  </si>
  <si>
    <t>NAS6204-38</t>
  </si>
  <si>
    <t>13-32480-5</t>
  </si>
  <si>
    <t>2499859-501</t>
  </si>
  <si>
    <t>69-2452-2</t>
  </si>
  <si>
    <t>P-1011</t>
  </si>
  <si>
    <t>13-32480-17</t>
  </si>
  <si>
    <t>05228-757922AM</t>
  </si>
  <si>
    <t>NAS334CPA3</t>
  </si>
  <si>
    <t>RAPID RELEASE HANGER</t>
  </si>
  <si>
    <t>05228-7507227</t>
  </si>
  <si>
    <t>10-60754-79</t>
  </si>
  <si>
    <t>NAS6404U10</t>
  </si>
  <si>
    <t>NAS1149CN616R</t>
  </si>
  <si>
    <t>M876296-3</t>
  </si>
  <si>
    <t>CARTRIDGE</t>
  </si>
  <si>
    <t>10-244812-3S</t>
  </si>
  <si>
    <t>1555M29G01</t>
  </si>
  <si>
    <t>STRUT ASSY</t>
  </si>
  <si>
    <t>1A071-0384AJ</t>
  </si>
  <si>
    <t>ARM REST UPHOLSTERY</t>
  </si>
  <si>
    <t>10-61789-1015</t>
  </si>
  <si>
    <t>ASSY</t>
  </si>
  <si>
    <t>NAS1252-816H</t>
  </si>
  <si>
    <t>10-60754-2</t>
  </si>
  <si>
    <t>MS20392-3C53</t>
  </si>
  <si>
    <t>S49</t>
  </si>
  <si>
    <t>.7270-5-30.</t>
  </si>
  <si>
    <t>CIRCUIT BREAKER</t>
  </si>
  <si>
    <t>UDB444401</t>
  </si>
  <si>
    <t>69-22991-1</t>
  </si>
  <si>
    <t>BULB</t>
  </si>
  <si>
    <t>0541140-1</t>
  </si>
  <si>
    <t>CLEVIS</t>
  </si>
  <si>
    <t>NAS679A4</t>
  </si>
  <si>
    <t>NAS1399B6-7</t>
  </si>
  <si>
    <t>REVIT</t>
  </si>
  <si>
    <t>073-08500</t>
  </si>
  <si>
    <t>NAS1149C0316R</t>
  </si>
  <si>
    <t>30300-1380</t>
  </si>
  <si>
    <t>STARTER BRUSH</t>
  </si>
  <si>
    <t>332001P</t>
  </si>
  <si>
    <t>6146W11P097</t>
  </si>
  <si>
    <t>RESITOR</t>
  </si>
  <si>
    <t>M8324811-214</t>
  </si>
  <si>
    <t>NAS1611-230</t>
  </si>
  <si>
    <t>5333-074</t>
  </si>
  <si>
    <t xml:space="preserve">ROD END SPEED REIMMING </t>
  </si>
  <si>
    <t>41-1535-1</t>
  </si>
  <si>
    <t xml:space="preserve">RING ASSY </t>
  </si>
  <si>
    <t>BACB10AT6</t>
  </si>
  <si>
    <t xml:space="preserve">BEARING </t>
  </si>
  <si>
    <t>MB543DDE6531</t>
  </si>
  <si>
    <t>.770002.</t>
  </si>
  <si>
    <t>FILTER CARTRIDGE</t>
  </si>
  <si>
    <t>H150AK47</t>
  </si>
  <si>
    <t xml:space="preserve">ROD </t>
  </si>
  <si>
    <t>13315-450</t>
  </si>
  <si>
    <t>1530460-167</t>
  </si>
  <si>
    <t>J221P906</t>
  </si>
  <si>
    <t>2873-500</t>
  </si>
  <si>
    <t>.93644.</t>
  </si>
  <si>
    <t>.4620117.</t>
  </si>
  <si>
    <t xml:space="preserve">DISK ASSY </t>
  </si>
  <si>
    <t>720752-12WE</t>
  </si>
  <si>
    <t>M83248-1-228</t>
  </si>
  <si>
    <t>NAS617-5</t>
  </si>
  <si>
    <t>MS28775-344</t>
  </si>
  <si>
    <t>69-42134-1</t>
  </si>
  <si>
    <t>2703-400</t>
  </si>
  <si>
    <t>COUPLING</t>
  </si>
  <si>
    <t>2873-550</t>
  </si>
  <si>
    <t>68-404</t>
  </si>
  <si>
    <t>END BELL</t>
  </si>
  <si>
    <t>J221P229WE</t>
  </si>
  <si>
    <t>AS15001-1P</t>
  </si>
  <si>
    <t xml:space="preserve">FITTING </t>
  </si>
  <si>
    <t>NAS1762W1010</t>
  </si>
  <si>
    <t>ELBOW</t>
  </si>
  <si>
    <t>.1315.</t>
  </si>
  <si>
    <t>.756609.</t>
  </si>
  <si>
    <t>BLADE</t>
  </si>
  <si>
    <t>BACB30PN5-19</t>
  </si>
  <si>
    <t>MS20819-8</t>
  </si>
  <si>
    <t>BACB30MT6-27</t>
  </si>
  <si>
    <t>TR-700-05</t>
  </si>
  <si>
    <t xml:space="preserve">VALVE ASSEMBLY </t>
  </si>
  <si>
    <t>AS2309-135</t>
  </si>
  <si>
    <t>.2609119.</t>
  </si>
  <si>
    <t>MS28778-6</t>
  </si>
  <si>
    <t>968C250-1</t>
  </si>
  <si>
    <t>BACP20AU6D</t>
  </si>
  <si>
    <t>BACW10BP5C</t>
  </si>
  <si>
    <t>MS35439-4X</t>
  </si>
  <si>
    <t>.361419.</t>
  </si>
  <si>
    <t>311N5059-8</t>
  </si>
  <si>
    <t>M83248-1-226</t>
  </si>
  <si>
    <t>K2411</t>
  </si>
  <si>
    <t xml:space="preserve">WATER COUPLING KIT </t>
  </si>
  <si>
    <t>1N 1-8A</t>
  </si>
  <si>
    <t>MS21318-15</t>
  </si>
  <si>
    <t>NAS6404V11</t>
  </si>
  <si>
    <t>MS27039C0811</t>
  </si>
  <si>
    <t>NAS6609-40</t>
  </si>
  <si>
    <t>NAS1306-28D</t>
  </si>
  <si>
    <t>ABYK5-10M</t>
  </si>
  <si>
    <t>AN507B1032R10</t>
  </si>
  <si>
    <t>NAS1204-4</t>
  </si>
  <si>
    <t>NAS1204-42</t>
  </si>
  <si>
    <t>4954556-1</t>
  </si>
  <si>
    <t>NAS1103-3</t>
  </si>
  <si>
    <t>SL4093-14</t>
  </si>
  <si>
    <t>AS3582-234</t>
  </si>
  <si>
    <t>B9845-12</t>
  </si>
  <si>
    <t xml:space="preserve">COVER ASSY </t>
  </si>
  <si>
    <t>NAS560HK3P6</t>
  </si>
  <si>
    <t>NAS514P1032-10</t>
  </si>
  <si>
    <t>AS27861</t>
  </si>
  <si>
    <t>NAS220-6</t>
  </si>
  <si>
    <t>M39029-32-253</t>
  </si>
  <si>
    <t>7732-011</t>
  </si>
  <si>
    <t>NAS1004-5A</t>
  </si>
  <si>
    <t>MA20002-4</t>
  </si>
  <si>
    <t>AN970-3</t>
  </si>
  <si>
    <t xml:space="preserve">THREAD REPAIR KIT </t>
  </si>
  <si>
    <t>160-1173-02</t>
  </si>
  <si>
    <t>BATTERY</t>
  </si>
  <si>
    <t>2601375-1</t>
  </si>
  <si>
    <t>DSR3978-3008</t>
  </si>
  <si>
    <t>RIVET POP</t>
  </si>
  <si>
    <t>DSR3978-3009</t>
  </si>
  <si>
    <t>5922533-25</t>
  </si>
  <si>
    <t>5820-80</t>
  </si>
  <si>
    <t xml:space="preserve">EXIT SIGN </t>
  </si>
  <si>
    <t>412N1119-121</t>
  </si>
  <si>
    <t>NAS6603-3</t>
  </si>
  <si>
    <t>AN6-26A</t>
  </si>
  <si>
    <t>MS21043-04</t>
  </si>
  <si>
    <t>NAS464P5-13</t>
  </si>
  <si>
    <t>MS24693S273</t>
  </si>
  <si>
    <t>MS24693S32</t>
  </si>
  <si>
    <t>MS28778-5</t>
  </si>
  <si>
    <t>S2439939-4</t>
  </si>
  <si>
    <t>AS43003-910</t>
  </si>
  <si>
    <t>B3-51</t>
  </si>
  <si>
    <t xml:space="preserve">GARTER FILTER ELEMENT </t>
  </si>
  <si>
    <t>M83248-1-235</t>
  </si>
  <si>
    <t>NAS1149F0532P</t>
  </si>
  <si>
    <t>MS9385-08</t>
  </si>
  <si>
    <t>063-02800</t>
  </si>
  <si>
    <t>NO ILS</t>
  </si>
  <si>
    <t>533-108-02</t>
  </si>
  <si>
    <t>KNOB</t>
  </si>
  <si>
    <t>1N 1-8B</t>
  </si>
  <si>
    <t>114200-7</t>
  </si>
  <si>
    <t>TURN STUD</t>
  </si>
  <si>
    <t>NAS1252-716L</t>
  </si>
  <si>
    <t>BACN10JC08CD</t>
  </si>
  <si>
    <t>WL-6839</t>
  </si>
  <si>
    <t>ZZLRC1212-3S8</t>
  </si>
  <si>
    <t>FUEL TRIM MOTOR</t>
  </si>
  <si>
    <t>MS24693-S29</t>
  </si>
  <si>
    <t>NAS578-6A</t>
  </si>
  <si>
    <t>BARREL NUT RETAINER</t>
  </si>
  <si>
    <t>MS20470AD5-5D</t>
  </si>
  <si>
    <t>MS20470AD5-7D</t>
  </si>
  <si>
    <t>NAS1401-3D3</t>
  </si>
  <si>
    <t xml:space="preserve">RADIUS WASHER </t>
  </si>
  <si>
    <t>NAS1252-10L</t>
  </si>
  <si>
    <t>HLT436-6-9</t>
  </si>
  <si>
    <t>S4931920-10-12</t>
  </si>
  <si>
    <t>S4931920-6-4</t>
  </si>
  <si>
    <t>HLT436-6-3</t>
  </si>
  <si>
    <t>HLT436-6-5</t>
  </si>
  <si>
    <t>S4931919-6-5</t>
  </si>
  <si>
    <t>S4931920-6-5</t>
  </si>
  <si>
    <t>S4931920-6-6</t>
  </si>
  <si>
    <t>S4931920-6-7</t>
  </si>
  <si>
    <t>HLT436-6-8</t>
  </si>
  <si>
    <t>S4931920-10-11</t>
  </si>
  <si>
    <t>HLT436-8-10</t>
  </si>
  <si>
    <t>MS20470AD5-9D</t>
  </si>
  <si>
    <t>S4931920-8-10</t>
  </si>
  <si>
    <t>MS20470AD4-10D</t>
  </si>
  <si>
    <t>S4931020-8-11</t>
  </si>
  <si>
    <t>NAS1401-3D5</t>
  </si>
  <si>
    <t>NAS1401-4D3</t>
  </si>
  <si>
    <t>NAS1401-4D5</t>
  </si>
  <si>
    <t>NAS1252-416L</t>
  </si>
  <si>
    <t>MS9966-04</t>
  </si>
  <si>
    <t>HLT436-6-11</t>
  </si>
  <si>
    <t>HLT436-8-11</t>
  </si>
  <si>
    <t>NAS1097AD4-7D</t>
  </si>
  <si>
    <t>NAS1097AD8-12D</t>
  </si>
  <si>
    <t>NAS6403U6</t>
  </si>
  <si>
    <t>NAS1252-516L</t>
  </si>
  <si>
    <t>S4931920-8-9</t>
  </si>
  <si>
    <t>S4931920-8-8</t>
  </si>
  <si>
    <t>NAS6403U7</t>
  </si>
  <si>
    <t>MS20470AD5-6D</t>
  </si>
  <si>
    <t>S9413-214WE</t>
  </si>
  <si>
    <t>NAS1611-028</t>
  </si>
  <si>
    <t>69890-106</t>
  </si>
  <si>
    <t>69-50245-3</t>
  </si>
  <si>
    <t>S8057AR19</t>
  </si>
  <si>
    <t>S9413-036WE</t>
  </si>
  <si>
    <t>MS9386-014</t>
  </si>
  <si>
    <t>MS29513-013</t>
  </si>
  <si>
    <t>AS3582-152</t>
  </si>
  <si>
    <t>AS3209-043</t>
  </si>
  <si>
    <t>AS3209-227</t>
  </si>
  <si>
    <t>AN502-10-8</t>
  </si>
  <si>
    <t>NAS602-16</t>
  </si>
  <si>
    <t>NAS601-6P</t>
  </si>
  <si>
    <t>AN509C416R-5</t>
  </si>
  <si>
    <t>NAS1303-14</t>
  </si>
  <si>
    <t>NAS1303-4</t>
  </si>
  <si>
    <t>AN737TW30-34</t>
  </si>
  <si>
    <t>GYR8A18</t>
  </si>
  <si>
    <t>MS29512-20</t>
  </si>
  <si>
    <t>66-16880-1</t>
  </si>
  <si>
    <t>NAS509-5</t>
  </si>
  <si>
    <t>NAS6204-13D</t>
  </si>
  <si>
    <t>K19798-04</t>
  </si>
  <si>
    <t>SELF LOCKING NUT</t>
  </si>
  <si>
    <t>515-1881-004</t>
  </si>
  <si>
    <t xml:space="preserve">CAP ASSY </t>
  </si>
  <si>
    <t>2A114-0021-5</t>
  </si>
  <si>
    <t>ESCUTCHEON</t>
  </si>
  <si>
    <t>2A114-0020-7</t>
  </si>
  <si>
    <t>UL27693</t>
  </si>
  <si>
    <t>3D0006-3</t>
  </si>
  <si>
    <t xml:space="preserve">NUT ASSY </t>
  </si>
  <si>
    <t>3D0006-4</t>
  </si>
  <si>
    <t>NUT ASSY</t>
  </si>
  <si>
    <t>3D0039-20</t>
  </si>
  <si>
    <t>CLMAP</t>
  </si>
  <si>
    <t>NTA12252-5AD18</t>
  </si>
  <si>
    <t>65-37945-35</t>
  </si>
  <si>
    <t>B3-5-1</t>
  </si>
  <si>
    <t>65-25643-10</t>
  </si>
  <si>
    <t>69-20782-2</t>
  </si>
  <si>
    <t>65-26776-6</t>
  </si>
  <si>
    <t>VENCE ESTE ANO</t>
  </si>
  <si>
    <t>AS3209-011</t>
  </si>
  <si>
    <t>PE7000-1</t>
  </si>
  <si>
    <t>CAPS</t>
  </si>
  <si>
    <t>11-03-0002</t>
  </si>
  <si>
    <t xml:space="preserve">PIN EXTRACTOR </t>
  </si>
  <si>
    <t xml:space="preserve">THERMO COUPLE </t>
  </si>
  <si>
    <t>MS24694-S59</t>
  </si>
  <si>
    <t>11-5566-1</t>
  </si>
  <si>
    <t>9118M81G02</t>
  </si>
  <si>
    <t>0400213-6</t>
  </si>
  <si>
    <t>PLACARD</t>
  </si>
  <si>
    <t>9130M36P256</t>
  </si>
  <si>
    <t>MS24693-S26</t>
  </si>
  <si>
    <t>MS21075L3N</t>
  </si>
  <si>
    <t>MS20426AD3-6</t>
  </si>
  <si>
    <t>9009M13P01</t>
  </si>
  <si>
    <t>PIC239-3-5</t>
  </si>
  <si>
    <t>12455-W-1</t>
  </si>
  <si>
    <t>BAIT STATION</t>
  </si>
  <si>
    <t>MS24693-S276</t>
  </si>
  <si>
    <t>NAS428H4A15</t>
  </si>
  <si>
    <t>10-60479-41</t>
  </si>
  <si>
    <t>BACR15GF6D8</t>
  </si>
  <si>
    <t>42FLW1018</t>
  </si>
  <si>
    <t>68-1275</t>
  </si>
  <si>
    <t>M832481-175</t>
  </si>
  <si>
    <t>NAS1611-116</t>
  </si>
  <si>
    <t>NAS1612-20</t>
  </si>
  <si>
    <t>AN8145-DL</t>
  </si>
  <si>
    <t>COMPONENT</t>
  </si>
  <si>
    <t xml:space="preserve">SPRING </t>
  </si>
  <si>
    <t>VR1047-550</t>
  </si>
  <si>
    <t xml:space="preserve">COUPLING </t>
  </si>
  <si>
    <t>MS9136-01</t>
  </si>
  <si>
    <t>7378438-3</t>
  </si>
  <si>
    <t>NAS1612-16</t>
  </si>
  <si>
    <t>13100-550</t>
  </si>
  <si>
    <t>BACB30PU7-29</t>
  </si>
  <si>
    <t>BACC10CC24</t>
  </si>
  <si>
    <t>152881*</t>
  </si>
  <si>
    <t>1B8144-01</t>
  </si>
  <si>
    <t xml:space="preserve">BELLCRANK ASSY </t>
  </si>
  <si>
    <t>1N 2-1A</t>
  </si>
  <si>
    <t>3935358-1</t>
  </si>
  <si>
    <t>RESTRICT</t>
  </si>
  <si>
    <t>33CTG</t>
  </si>
  <si>
    <t>GREASE</t>
  </si>
  <si>
    <t>B30PN12-28</t>
  </si>
  <si>
    <t>310N3036-1</t>
  </si>
  <si>
    <t>NAS1611-212</t>
  </si>
  <si>
    <t>3935368-501</t>
  </si>
  <si>
    <t>BASE ASSY</t>
  </si>
  <si>
    <t>NAS1352-08-8</t>
  </si>
  <si>
    <t>S8057AJ256</t>
  </si>
  <si>
    <t>2204092-2</t>
  </si>
  <si>
    <t>SHIM COMPRESSOR</t>
  </si>
  <si>
    <t>2204092-3</t>
  </si>
  <si>
    <t>AN818-6</t>
  </si>
  <si>
    <t>BACB30NX10K12</t>
  </si>
  <si>
    <t>MS21921-8</t>
  </si>
  <si>
    <t>AN819-6</t>
  </si>
  <si>
    <t>MS21922-6</t>
  </si>
  <si>
    <t>BACB30NX8K12</t>
  </si>
  <si>
    <t>BACC30X8</t>
  </si>
  <si>
    <t>MS21913-6</t>
  </si>
  <si>
    <t>BACN10JD5</t>
  </si>
  <si>
    <t>NAS623-3-2</t>
  </si>
  <si>
    <t>BACW10BP8DP</t>
  </si>
  <si>
    <t>BACW10BP5APU</t>
  </si>
  <si>
    <t>NAS1149C0832R</t>
  </si>
  <si>
    <t>NAS1149D0416J</t>
  </si>
  <si>
    <t>MS20392-2C67</t>
  </si>
  <si>
    <t>SL4121-12</t>
  </si>
  <si>
    <t>BARREL NUT</t>
  </si>
  <si>
    <t>BACW10BP8CD</t>
  </si>
  <si>
    <t>BACB30US8K26</t>
  </si>
  <si>
    <t>MS21250-10056</t>
  </si>
  <si>
    <t>2-216V1041-85</t>
  </si>
  <si>
    <t>310N3024-2</t>
  </si>
  <si>
    <t>398FRP</t>
  </si>
  <si>
    <t>CARGO TAPE</t>
  </si>
  <si>
    <t>LM522510-20629</t>
  </si>
  <si>
    <t>1N 2-1B</t>
  </si>
  <si>
    <t>.2610197.</t>
  </si>
  <si>
    <t>1N 2-2A</t>
  </si>
  <si>
    <t>.2610704.</t>
  </si>
  <si>
    <t>.2610705.</t>
  </si>
  <si>
    <t>.2614449.</t>
  </si>
  <si>
    <t>245-675</t>
  </si>
  <si>
    <t>MS9967-014</t>
  </si>
  <si>
    <t>MS9966-05</t>
  </si>
  <si>
    <t>MS9966-08</t>
  </si>
  <si>
    <t>NAS1149D0332K</t>
  </si>
  <si>
    <t>INSERT MOLDED</t>
  </si>
  <si>
    <t>MS9967-126</t>
  </si>
  <si>
    <t>VENCIDO 2EA</t>
  </si>
  <si>
    <t>MS9967-119</t>
  </si>
  <si>
    <t>AS3209-236</t>
  </si>
  <si>
    <t>MS9967-124</t>
  </si>
  <si>
    <t>BACN10JZ3A2CDMU</t>
  </si>
  <si>
    <t>MS9245-25</t>
  </si>
  <si>
    <t>AS3209-135</t>
  </si>
  <si>
    <t>M25988-1-908</t>
  </si>
  <si>
    <t>J221P145</t>
  </si>
  <si>
    <t>SE VENCE ESTE ANO</t>
  </si>
  <si>
    <t>M83248-1-906</t>
  </si>
  <si>
    <t>MS9967-122</t>
  </si>
  <si>
    <t>MS27595-218</t>
  </si>
  <si>
    <t>MS27595-225</t>
  </si>
  <si>
    <t>.9520997.</t>
  </si>
  <si>
    <t>.9520996.</t>
  </si>
  <si>
    <t>2606169-14</t>
  </si>
  <si>
    <t>M2168540-1-1</t>
  </si>
  <si>
    <t>68-185WE</t>
  </si>
  <si>
    <t>TR-756-03</t>
  </si>
  <si>
    <t>39-207</t>
  </si>
  <si>
    <t>NAS1288-4</t>
  </si>
  <si>
    <t>BACW10BP3DP</t>
  </si>
  <si>
    <t>8050917-0003WE</t>
  </si>
  <si>
    <t>PAPER</t>
  </si>
  <si>
    <t>MS9967-218</t>
  </si>
  <si>
    <t>AS3209-216        ALT: ST1946-216</t>
  </si>
  <si>
    <t>J221P904</t>
  </si>
  <si>
    <t>MS9967-114</t>
  </si>
  <si>
    <t>MS9245-47</t>
  </si>
  <si>
    <t>NAS509-4C</t>
  </si>
  <si>
    <t>BACW10BP4AP</t>
  </si>
  <si>
    <t>MS29513-028</t>
  </si>
  <si>
    <t>673-092-005</t>
  </si>
  <si>
    <t>LAMP HOLDER</t>
  </si>
  <si>
    <t>.227433.</t>
  </si>
  <si>
    <t>.9533818.</t>
  </si>
  <si>
    <t>NAS1112-67</t>
  </si>
  <si>
    <t>654N0035-12</t>
  </si>
  <si>
    <t>H-6574</t>
  </si>
  <si>
    <t>WRIST STRAP</t>
  </si>
  <si>
    <t>1N 2-2B</t>
  </si>
  <si>
    <t>M224749-20629</t>
  </si>
  <si>
    <t>AS115-04-0085</t>
  </si>
  <si>
    <t>HOSE ASSY</t>
  </si>
  <si>
    <t>AE1010452E0302</t>
  </si>
  <si>
    <t>AS115-10K0241</t>
  </si>
  <si>
    <t>AS115-08K0322</t>
  </si>
  <si>
    <t>AS115-06-0172</t>
  </si>
  <si>
    <t>AS116-08K0230</t>
  </si>
  <si>
    <t>BACH8A04EN0302B</t>
  </si>
  <si>
    <t>1N 2-3A</t>
  </si>
  <si>
    <t>NAS1612-20A</t>
  </si>
  <si>
    <t>NAS1612-8A</t>
  </si>
  <si>
    <t>M83248-1-110</t>
  </si>
  <si>
    <t>BACC2C3D00254GJ</t>
  </si>
  <si>
    <t>BACD40D10-12-30</t>
  </si>
  <si>
    <t>BACJ40K5A7A5</t>
  </si>
  <si>
    <t>CR3222-5-02</t>
  </si>
  <si>
    <t>887986-5</t>
  </si>
  <si>
    <t>GE387</t>
  </si>
  <si>
    <t>NAS1611-131</t>
  </si>
  <si>
    <t>HL19PB8-8</t>
  </si>
  <si>
    <t>CR3222-6-02</t>
  </si>
  <si>
    <t>NAS1108-23D</t>
  </si>
  <si>
    <t>S9413-237</t>
  </si>
  <si>
    <t>NAS1104-7</t>
  </si>
  <si>
    <t>S9028L908</t>
  </si>
  <si>
    <t>MS171592</t>
  </si>
  <si>
    <t>69-50760-2</t>
  </si>
  <si>
    <t>HT8132-2</t>
  </si>
  <si>
    <t>S9413-008</t>
  </si>
  <si>
    <t>M83248-1-028</t>
  </si>
  <si>
    <t>NAS1804-6</t>
  </si>
  <si>
    <t>BACW10BP6CD</t>
  </si>
  <si>
    <t>BACW10BP6DP</t>
  </si>
  <si>
    <t>BACB30NR5K14</t>
  </si>
  <si>
    <t>BACC2C30002136J</t>
  </si>
  <si>
    <t>10-60754-25</t>
  </si>
  <si>
    <t>BACB30LH3-5</t>
  </si>
  <si>
    <t xml:space="preserve"> BACW10DS6TU</t>
  </si>
  <si>
    <t>AN806-8</t>
  </si>
  <si>
    <t xml:space="preserve">FITTING UNIT </t>
  </si>
  <si>
    <t>MS27488-16-1</t>
  </si>
  <si>
    <t xml:space="preserve">SEALING PLUG </t>
  </si>
  <si>
    <t>BACE21BM1616J</t>
  </si>
  <si>
    <t>AS3209-232</t>
  </si>
  <si>
    <t>MS28782-21</t>
  </si>
  <si>
    <t>MS24392-6</t>
  </si>
  <si>
    <t>BACP18BC03A10P</t>
  </si>
  <si>
    <t>M83248-2-906</t>
  </si>
  <si>
    <t>M83248-2-908</t>
  </si>
  <si>
    <t>MS3248-2-912</t>
  </si>
  <si>
    <t>AS3209-141</t>
  </si>
  <si>
    <t>NAS1611-2-212A</t>
  </si>
  <si>
    <t>AS3209-218</t>
  </si>
  <si>
    <t>NAS1611-228</t>
  </si>
  <si>
    <t>BACR12BM212</t>
  </si>
  <si>
    <t>NAS1611-235A</t>
  </si>
  <si>
    <t>E0090-41-200</t>
  </si>
  <si>
    <t xml:space="preserve">JUMPER </t>
  </si>
  <si>
    <t>BACP18BC02A04P</t>
  </si>
  <si>
    <t>BACN10HR6CS</t>
  </si>
  <si>
    <t>MS24665-155</t>
  </si>
  <si>
    <t>720752-33WE</t>
  </si>
  <si>
    <t xml:space="preserve"> BACR15GF6D7</t>
  </si>
  <si>
    <t>MS27595-228</t>
  </si>
  <si>
    <t>AN960-PD516L</t>
  </si>
  <si>
    <t>AS3582-028</t>
  </si>
  <si>
    <t>S8057AJ169</t>
  </si>
  <si>
    <t>NAS1612-12A</t>
  </si>
  <si>
    <t>M83485-1-141</t>
  </si>
  <si>
    <t>NAS1611-020A</t>
  </si>
  <si>
    <t>J221P028WE</t>
  </si>
  <si>
    <t>M83485/1-145</t>
  </si>
  <si>
    <t>NAS1611-024A</t>
  </si>
  <si>
    <t>BACP18BC03C10P</t>
  </si>
  <si>
    <t>MS90064-13</t>
  </si>
  <si>
    <t>MS3367-6-9</t>
  </si>
  <si>
    <t>MS21921-6S</t>
  </si>
  <si>
    <t>AN929-4</t>
  </si>
  <si>
    <t>AN818-8</t>
  </si>
  <si>
    <t>MS21914-6</t>
  </si>
  <si>
    <t>RD2205438-2</t>
  </si>
  <si>
    <t>SEAL COMPRESSOR</t>
  </si>
  <si>
    <t>100 % KIT  680640-4  ENRIQUE</t>
  </si>
  <si>
    <t>NAS1802-3-5</t>
  </si>
  <si>
    <t>.387.</t>
  </si>
  <si>
    <t xml:space="preserve">BULB </t>
  </si>
  <si>
    <t>65-90305-21A</t>
  </si>
  <si>
    <t>NAS1611-220A</t>
  </si>
  <si>
    <t>5004CW</t>
  </si>
  <si>
    <t>CR3216-6-4</t>
  </si>
  <si>
    <t xml:space="preserve">RIVET </t>
  </si>
  <si>
    <t>MS9226-04</t>
  </si>
  <si>
    <t>66-12156-21</t>
  </si>
  <si>
    <t>CUP WASHER</t>
  </si>
  <si>
    <t>MS9226-02</t>
  </si>
  <si>
    <t>NAS1611-331</t>
  </si>
  <si>
    <t>M83248-2-905</t>
  </si>
  <si>
    <t>AS3209-151</t>
  </si>
  <si>
    <t>MS17826-4</t>
  </si>
  <si>
    <t>NAS1611-218A</t>
  </si>
  <si>
    <t>MS28782-19</t>
  </si>
  <si>
    <t>948B029-1</t>
  </si>
  <si>
    <t>MS24678-15</t>
  </si>
  <si>
    <t>1B5960</t>
  </si>
  <si>
    <t>1B8162-01WD</t>
  </si>
  <si>
    <t>DUCT ASSY</t>
  </si>
  <si>
    <t>M83248-1-020</t>
  </si>
  <si>
    <t>M83248-1-907</t>
  </si>
  <si>
    <t>BACW10BN3SP</t>
  </si>
  <si>
    <t>HL10VAZ5-6</t>
  </si>
  <si>
    <t>HI LOCK</t>
  </si>
  <si>
    <t>BACB30NW6K6Y</t>
  </si>
  <si>
    <t>BACB30NW6K5X</t>
  </si>
  <si>
    <t>BACB30NM4K16</t>
  </si>
  <si>
    <t>BACW10BN3UP</t>
  </si>
  <si>
    <t>HL18PB6-3</t>
  </si>
  <si>
    <t>HL62PB6-12</t>
  </si>
  <si>
    <t>BACB30MY6K6</t>
  </si>
  <si>
    <t>BACB30NW6K7Y</t>
  </si>
  <si>
    <t>224-2211-501</t>
  </si>
  <si>
    <t>HOOSING</t>
  </si>
  <si>
    <t>1N 2-3B</t>
  </si>
  <si>
    <t>224-2254-504</t>
  </si>
  <si>
    <t>HINGE AFT</t>
  </si>
  <si>
    <t>MS24665-86</t>
  </si>
  <si>
    <t>.7513128.</t>
  </si>
  <si>
    <t>FILTER ALEMENT</t>
  </si>
  <si>
    <t>46-0500-1</t>
  </si>
  <si>
    <t>224-2527-502</t>
  </si>
  <si>
    <t>HINGE ASSY AFT</t>
  </si>
  <si>
    <t>224-2530-3</t>
  </si>
  <si>
    <t>HOUSING KEEPER</t>
  </si>
  <si>
    <t>224-2532-501</t>
  </si>
  <si>
    <t>BRACKET TAIL</t>
  </si>
  <si>
    <t>224-2532-502</t>
  </si>
  <si>
    <t>HINGE ASSY FWD</t>
  </si>
  <si>
    <t>224-2577-501</t>
  </si>
  <si>
    <t xml:space="preserve">HOUSING </t>
  </si>
  <si>
    <t>ARC1366-1</t>
  </si>
  <si>
    <t>LINK</t>
  </si>
  <si>
    <t>ARC1365-1</t>
  </si>
  <si>
    <t>ARC1363-1</t>
  </si>
  <si>
    <t>ARC1361-1</t>
  </si>
  <si>
    <t>DRIVE</t>
  </si>
  <si>
    <t>H2924-11</t>
  </si>
  <si>
    <t>KEEPER ASSY</t>
  </si>
  <si>
    <t>9575-61</t>
  </si>
  <si>
    <t>KEEPER ADJUSTABLES</t>
  </si>
  <si>
    <t>ABA7098-2</t>
  </si>
  <si>
    <t>HINGE</t>
  </si>
  <si>
    <t>323U2321-332</t>
  </si>
  <si>
    <t>323U2380-3</t>
  </si>
  <si>
    <t>FITTING PLATE</t>
  </si>
  <si>
    <t>323U2395-1</t>
  </si>
  <si>
    <t>BRACKET PLATE</t>
  </si>
  <si>
    <t>65-90305-75</t>
  </si>
  <si>
    <t>5108WW</t>
  </si>
  <si>
    <t>PK388</t>
  </si>
  <si>
    <t>LACING TAPE</t>
  </si>
  <si>
    <t>3011*</t>
  </si>
  <si>
    <t>MS21919WCG43</t>
  </si>
  <si>
    <t>1N 2-4A</t>
  </si>
  <si>
    <t>69-54809-2</t>
  </si>
  <si>
    <t xml:space="preserve">TRACK </t>
  </si>
  <si>
    <t>066-03300</t>
  </si>
  <si>
    <t>154-03000</t>
  </si>
  <si>
    <t>NAS1149DN416H</t>
  </si>
  <si>
    <t>NAS1081C08D6</t>
  </si>
  <si>
    <t>NAS1081C08D9</t>
  </si>
  <si>
    <t>2924791-501</t>
  </si>
  <si>
    <t>PATCH</t>
  </si>
  <si>
    <t>AN815-8</t>
  </si>
  <si>
    <t>NAS43DD4-44</t>
  </si>
  <si>
    <t>MS24693C4</t>
  </si>
  <si>
    <t>AN3C3A</t>
  </si>
  <si>
    <t>NAS1203-10</t>
  </si>
  <si>
    <t>NAS560CK2P1</t>
  </si>
  <si>
    <t>106-518-23</t>
  </si>
  <si>
    <t>C40257</t>
  </si>
  <si>
    <t>NAS1204-25</t>
  </si>
  <si>
    <t>S2210370P4-122</t>
  </si>
  <si>
    <t>NAS1104-32</t>
  </si>
  <si>
    <t>MS20664C2</t>
  </si>
  <si>
    <t>BALL END</t>
  </si>
  <si>
    <t>BACN11P3B11C</t>
  </si>
  <si>
    <t>*NAS3340-01D0</t>
  </si>
  <si>
    <t>AS3209-124</t>
  </si>
  <si>
    <t>L20421-13</t>
  </si>
  <si>
    <t>FIXTURE</t>
  </si>
  <si>
    <t>MS20002C14</t>
  </si>
  <si>
    <t>*BR246D-S0102</t>
  </si>
  <si>
    <t>MS28775-114</t>
  </si>
  <si>
    <t>MS9388-212</t>
  </si>
  <si>
    <t>VENCE 2026</t>
  </si>
  <si>
    <t>BACR15FV6KE10</t>
  </si>
  <si>
    <t>BACR15FV6KE9</t>
  </si>
  <si>
    <t>BACR15FV6KE11</t>
  </si>
  <si>
    <t>S9413-214</t>
  </si>
  <si>
    <t>4957249-9</t>
  </si>
  <si>
    <t xml:space="preserve">KNOB ASSY </t>
  </si>
  <si>
    <t>A8S</t>
  </si>
  <si>
    <t>CLAMP HOSE</t>
  </si>
  <si>
    <t>306-5X24</t>
  </si>
  <si>
    <t>A1516R</t>
  </si>
  <si>
    <t>RECEPTABLE</t>
  </si>
  <si>
    <t>26281 OR 217384-1</t>
  </si>
  <si>
    <t>NAS1149D0316K</t>
  </si>
  <si>
    <t>MS28775-283</t>
  </si>
  <si>
    <t>DP1085-28</t>
  </si>
  <si>
    <t>NAS620A8</t>
  </si>
  <si>
    <t>PL1-10-31-7</t>
  </si>
  <si>
    <t xml:space="preserve">WASHER </t>
  </si>
  <si>
    <t>MS24665-37</t>
  </si>
  <si>
    <t xml:space="preserve">    156F001-6D0121</t>
  </si>
  <si>
    <t>650-002-007</t>
  </si>
  <si>
    <t>BAC1530-5</t>
  </si>
  <si>
    <t>MS9386-040</t>
  </si>
  <si>
    <t>4D0003-16P</t>
  </si>
  <si>
    <t>4954264-1</t>
  </si>
  <si>
    <t>NAMEPLATE</t>
  </si>
  <si>
    <t>NAS6704-3</t>
  </si>
  <si>
    <t>40S45-7B</t>
  </si>
  <si>
    <t xml:space="preserve">STUD </t>
  </si>
  <si>
    <t>FILTER ELEMENT ASSY</t>
  </si>
  <si>
    <t>4457249-9</t>
  </si>
  <si>
    <t>11 VENCIDO</t>
  </si>
  <si>
    <t>AN737</t>
  </si>
  <si>
    <t>MS20002C8</t>
  </si>
  <si>
    <t>MS20663C2</t>
  </si>
  <si>
    <t>BALL-END</t>
  </si>
  <si>
    <t>7274-55-10</t>
  </si>
  <si>
    <t>24135-7</t>
  </si>
  <si>
    <t>HEAD SET</t>
  </si>
  <si>
    <t>5910081-35</t>
  </si>
  <si>
    <t>2926074-1</t>
  </si>
  <si>
    <t>MS27981-3N</t>
  </si>
  <si>
    <t>8614PDG-11563</t>
  </si>
  <si>
    <t>294333-24PR</t>
  </si>
  <si>
    <t>2100-102</t>
  </si>
  <si>
    <t>PLASTIC LENS BOTTOM</t>
  </si>
  <si>
    <t>2TL11-50</t>
  </si>
  <si>
    <t>76279-5-4</t>
  </si>
  <si>
    <t>9500-001-2 OR S00475-2</t>
  </si>
  <si>
    <t>2607027-141</t>
  </si>
  <si>
    <t>262299-2</t>
  </si>
  <si>
    <t>ARC2821-1</t>
  </si>
  <si>
    <t xml:space="preserve">ROD END ASSY </t>
  </si>
  <si>
    <t>BACB30LH4-9</t>
  </si>
  <si>
    <t>STEEL PINS</t>
  </si>
  <si>
    <t>1N 2-4B</t>
  </si>
  <si>
    <t>AS21536</t>
  </si>
  <si>
    <t>MS21250-05010</t>
  </si>
  <si>
    <t>NAS560HK3P4</t>
  </si>
  <si>
    <t>MS27039-1-31</t>
  </si>
  <si>
    <t>MS20427M5-4</t>
  </si>
  <si>
    <t>MS51958-67</t>
  </si>
  <si>
    <t>MS24693C48</t>
  </si>
  <si>
    <t>NAS514P1032-6</t>
  </si>
  <si>
    <t>NAS679C3M</t>
  </si>
  <si>
    <t>MS51958-63</t>
  </si>
  <si>
    <t>NAS624-6</t>
  </si>
  <si>
    <t>NAS1203-11</t>
  </si>
  <si>
    <t>4913799-503</t>
  </si>
  <si>
    <t>AN503-8-4</t>
  </si>
  <si>
    <t>NAS1004-6</t>
  </si>
  <si>
    <t>AN3003A</t>
  </si>
  <si>
    <t>NAS6206-20D</t>
  </si>
  <si>
    <t>NAS1103-2</t>
  </si>
  <si>
    <t>S9028D908</t>
  </si>
  <si>
    <t>NAS1202-3</t>
  </si>
  <si>
    <t>24170-600A</t>
  </si>
  <si>
    <t>RETAINER ASSY</t>
  </si>
  <si>
    <t>NAS1203-14</t>
  </si>
  <si>
    <t>NAS1304-7</t>
  </si>
  <si>
    <t>NAS1204-17D</t>
  </si>
  <si>
    <t>NAS1105-20D</t>
  </si>
  <si>
    <t>MS24694S17</t>
  </si>
  <si>
    <t>MS21902J10</t>
  </si>
  <si>
    <t>MS17986C510</t>
  </si>
  <si>
    <t>SR09530230-9</t>
  </si>
  <si>
    <t>4933627-501</t>
  </si>
  <si>
    <t xml:space="preserve">JUMPERASSY </t>
  </si>
  <si>
    <t>4926230-1</t>
  </si>
  <si>
    <t>AS21538</t>
  </si>
  <si>
    <t>NAS333CPA44</t>
  </si>
  <si>
    <t>41039-437</t>
  </si>
  <si>
    <t>52NTE070</t>
  </si>
  <si>
    <t>AN320-9</t>
  </si>
  <si>
    <t>65-37945-37</t>
  </si>
  <si>
    <t>65-37945-34</t>
  </si>
  <si>
    <t>630-3-250</t>
  </si>
  <si>
    <t>245512-5</t>
  </si>
  <si>
    <t>65-53893-8A</t>
  </si>
  <si>
    <t>BACB30ABP14-50A</t>
  </si>
  <si>
    <t>NAS6212-67</t>
  </si>
  <si>
    <t>GEAR</t>
  </si>
  <si>
    <t>NAS1149F0332P</t>
  </si>
  <si>
    <t>30300-T380</t>
  </si>
  <si>
    <t>BRUSH  STARTER</t>
  </si>
  <si>
    <t>35235V06</t>
  </si>
  <si>
    <t xml:space="preserve">COUPLING TUBE </t>
  </si>
  <si>
    <t>3A084-0280-1</t>
  </si>
  <si>
    <t>GE1385</t>
  </si>
  <si>
    <t xml:space="preserve">LAMPS </t>
  </si>
  <si>
    <t>MS28775-254</t>
  </si>
  <si>
    <t>6354-750</t>
  </si>
  <si>
    <t>NAS1762J0606</t>
  </si>
  <si>
    <t>68-1135</t>
  </si>
  <si>
    <t>68-1136</t>
  </si>
  <si>
    <t>MS28775-269</t>
  </si>
  <si>
    <r>
      <rPr>
        <b/>
        <sz val="12"/>
        <rFont val="Calibri"/>
        <family val="2"/>
        <scheme val="minor"/>
      </rPr>
      <t>VL1041HS2-14</t>
    </r>
    <r>
      <rPr>
        <sz val="12"/>
        <rFont val="Calibri"/>
        <family val="2"/>
        <scheme val="minor"/>
      </rPr>
      <t xml:space="preserve"> ALT : 720752-14</t>
    </r>
  </si>
  <si>
    <t>68-475</t>
  </si>
  <si>
    <t>68-1115</t>
  </si>
  <si>
    <t>287N6115-2</t>
  </si>
  <si>
    <t>5937551-1</t>
  </si>
  <si>
    <t xml:space="preserve">NO STOCK </t>
  </si>
  <si>
    <t>MS28775-280</t>
  </si>
  <si>
    <t xml:space="preserve">1N 2-4B </t>
  </si>
  <si>
    <t>2873-750</t>
  </si>
  <si>
    <t>NAS1611-231A</t>
  </si>
  <si>
    <t>B0E2073-0003</t>
  </si>
  <si>
    <t>80028-10</t>
  </si>
  <si>
    <t>BACS12GR3L22</t>
  </si>
  <si>
    <t>65-90305-17</t>
  </si>
  <si>
    <t>287N6115-1</t>
  </si>
  <si>
    <t xml:space="preserve">CLIP </t>
  </si>
  <si>
    <t>TUBE ADJUSTER</t>
  </si>
  <si>
    <t>MS21916J6-5</t>
  </si>
  <si>
    <t>68-758</t>
  </si>
  <si>
    <t xml:space="preserve">SPACER </t>
  </si>
  <si>
    <t>68-1119</t>
  </si>
  <si>
    <t>.594.</t>
  </si>
  <si>
    <t>.3011871D.</t>
  </si>
  <si>
    <t>HARNESS</t>
  </si>
  <si>
    <t>1N 2-5A</t>
  </si>
  <si>
    <t>4186-12-3792</t>
  </si>
  <si>
    <t>NAS1612-4</t>
  </si>
  <si>
    <t>MS28778-8</t>
  </si>
  <si>
    <t>MS25988-4-011</t>
  </si>
  <si>
    <t>68-1586</t>
  </si>
  <si>
    <t>.9526173.</t>
  </si>
  <si>
    <t>ABP004-8</t>
  </si>
  <si>
    <t>S9413-011</t>
  </si>
  <si>
    <t>AS3582-012</t>
  </si>
  <si>
    <t>NAS1611-112</t>
  </si>
  <si>
    <t>2607027-225WE</t>
  </si>
  <si>
    <t>NAS1595-12</t>
  </si>
  <si>
    <t>AMS2817</t>
  </si>
  <si>
    <t>M83248-1-018</t>
  </si>
  <si>
    <t>ACL22-20</t>
  </si>
  <si>
    <t>NAS620C8</t>
  </si>
  <si>
    <t>MS20002C6</t>
  </si>
  <si>
    <t>M83248-1-014</t>
  </si>
  <si>
    <t>97101-519 OR BSM7001-519</t>
  </si>
  <si>
    <t>65-28906-47</t>
  </si>
  <si>
    <t>ROD</t>
  </si>
  <si>
    <t>CR3222PR-6-06</t>
  </si>
  <si>
    <t>BACN10JD110A</t>
  </si>
  <si>
    <t>BACB30LJ10CD23</t>
  </si>
  <si>
    <t>SL4070-40-18</t>
  </si>
  <si>
    <t>BACW10BR310</t>
  </si>
  <si>
    <t>BACW10BR410</t>
  </si>
  <si>
    <t>BACW10BP10ACU</t>
  </si>
  <si>
    <t>BACW10P63S</t>
  </si>
  <si>
    <t>2PS2C</t>
  </si>
  <si>
    <t>BACC10BN400L5ME</t>
  </si>
  <si>
    <t>516-6D PN?????</t>
  </si>
  <si>
    <t xml:space="preserve">7958536-6 </t>
  </si>
  <si>
    <t>AN960-C12162</t>
  </si>
  <si>
    <t>MS24694S101</t>
  </si>
  <si>
    <t>SREW</t>
  </si>
  <si>
    <t>NAS464P</t>
  </si>
  <si>
    <t>1142024-2</t>
  </si>
  <si>
    <t>7421-01-900-375-8</t>
  </si>
  <si>
    <t xml:space="preserve">FIRE DETECTOR </t>
  </si>
  <si>
    <t>MS20601AD4W5</t>
  </si>
  <si>
    <t>69-17970-1</t>
  </si>
  <si>
    <t>NAS1104-20</t>
  </si>
  <si>
    <t>2205182-1</t>
  </si>
  <si>
    <t>NOZZEL</t>
  </si>
  <si>
    <t>10-70625-92</t>
  </si>
  <si>
    <t>ID PLATES</t>
  </si>
  <si>
    <t>400-3</t>
  </si>
  <si>
    <t xml:space="preserve">IMI POINTER </t>
  </si>
  <si>
    <t>CH34492</t>
  </si>
  <si>
    <t>IGNITER</t>
  </si>
  <si>
    <t>MS20002-12</t>
  </si>
  <si>
    <t>16-0464-3</t>
  </si>
  <si>
    <t>BASE</t>
  </si>
  <si>
    <t>69-51838-3</t>
  </si>
  <si>
    <t>COLLER</t>
  </si>
  <si>
    <t>817S</t>
  </si>
  <si>
    <t xml:space="preserve">FIRE EXTINGUISHER BRAKET </t>
  </si>
  <si>
    <t>11-0559-1</t>
  </si>
  <si>
    <t xml:space="preserve">LIGHT ASSY </t>
  </si>
  <si>
    <t>69-77448-1</t>
  </si>
  <si>
    <t>5910089-21</t>
  </si>
  <si>
    <t xml:space="preserve">BREAK ASSY </t>
  </si>
  <si>
    <t>AN502-10-6</t>
  </si>
  <si>
    <t>NAS67A3W</t>
  </si>
  <si>
    <t>GM516300-1  SN:2647</t>
  </si>
  <si>
    <t>TRANSDUCER</t>
  </si>
  <si>
    <t>INGRESAR  ILS</t>
  </si>
  <si>
    <t>3106487-02</t>
  </si>
  <si>
    <t>3935358-5</t>
  </si>
  <si>
    <t>NAS161-218</t>
  </si>
  <si>
    <t>3016487-02</t>
  </si>
  <si>
    <t>MFR58657-9140</t>
  </si>
  <si>
    <t>22065182-1</t>
  </si>
  <si>
    <t>AS116-06-0176</t>
  </si>
  <si>
    <t>HOSE</t>
  </si>
  <si>
    <t>CYLINDER</t>
  </si>
  <si>
    <t>3.000.00</t>
  </si>
  <si>
    <t>NAS1106-25</t>
  </si>
  <si>
    <t>1N 2-5B</t>
  </si>
  <si>
    <t>8525-02H8B33PNH</t>
  </si>
  <si>
    <t>830-3202-020</t>
  </si>
  <si>
    <t>434-092-009</t>
  </si>
  <si>
    <t>DRAWER ASSY</t>
  </si>
  <si>
    <t>1K10-4-6</t>
  </si>
  <si>
    <t>183N2403Y5</t>
  </si>
  <si>
    <t>DEC11-008-521</t>
  </si>
  <si>
    <t xml:space="preserve"> SEAL</t>
  </si>
  <si>
    <t>AS3578-222</t>
  </si>
  <si>
    <t>MS20470AD4-6</t>
  </si>
  <si>
    <t>8 Lb</t>
  </si>
  <si>
    <t>65-21658-1084</t>
  </si>
  <si>
    <t>13636-95804-01</t>
  </si>
  <si>
    <t>CONE BOLT</t>
  </si>
  <si>
    <t>BACB30ABP14-52A</t>
  </si>
  <si>
    <t>M83248-1-916</t>
  </si>
  <si>
    <t>*R18423-49</t>
  </si>
  <si>
    <t>630-3-300</t>
  </si>
  <si>
    <t>69-59074-1</t>
  </si>
  <si>
    <t>NAS1805-12P</t>
  </si>
  <si>
    <t>R18210-2</t>
  </si>
  <si>
    <t>NAS5304-24</t>
  </si>
  <si>
    <t>MS21250-08060</t>
  </si>
  <si>
    <t>65-26776-25</t>
  </si>
  <si>
    <t>SL-4079  OR S311N503-1</t>
  </si>
  <si>
    <t>BARRELL NUT</t>
  </si>
  <si>
    <t>S4892944-215</t>
  </si>
  <si>
    <t>MS24694S109</t>
  </si>
  <si>
    <t>AS43013-118</t>
  </si>
  <si>
    <t>9634M85P10</t>
  </si>
  <si>
    <t>MS29561-216</t>
  </si>
  <si>
    <t>.2609094.</t>
  </si>
  <si>
    <t>.35344.</t>
  </si>
  <si>
    <t>LEACH RELAY</t>
  </si>
  <si>
    <t>MS25224-3</t>
  </si>
  <si>
    <t>SWITCH GUARD</t>
  </si>
  <si>
    <t>.2604879.</t>
  </si>
  <si>
    <t>BACW10BP10DP</t>
  </si>
  <si>
    <t>NAS1593-011</t>
  </si>
  <si>
    <t>53-224</t>
  </si>
  <si>
    <t>MS21042-4</t>
  </si>
  <si>
    <t>J221P162WE</t>
  </si>
  <si>
    <t>1670-08</t>
  </si>
  <si>
    <t>CR2238-5-5</t>
  </si>
  <si>
    <t>1111233-07</t>
  </si>
  <si>
    <t xml:space="preserve">SEAT BELT </t>
  </si>
  <si>
    <t>TUBE</t>
  </si>
  <si>
    <t>NAS1611-228A</t>
  </si>
  <si>
    <t>113N3370-33</t>
  </si>
  <si>
    <t>698322-10</t>
  </si>
  <si>
    <t>MS83248-1-902</t>
  </si>
  <si>
    <t>BACB30MY6K7</t>
  </si>
  <si>
    <t>.2612303.</t>
  </si>
  <si>
    <t>93710-5003 SN: 266</t>
  </si>
  <si>
    <t>LAP ASSY</t>
  </si>
  <si>
    <t>TAG DATE: 05/25/01   FEM(8130)</t>
  </si>
  <si>
    <t>M25988-2-916</t>
  </si>
  <si>
    <t>65-65620-18</t>
  </si>
  <si>
    <t>MS28782-16</t>
  </si>
  <si>
    <r>
      <rPr>
        <b/>
        <u/>
        <sz val="12"/>
        <rFont val="Calibri"/>
        <family val="2"/>
        <scheme val="minor"/>
      </rPr>
      <t>NAS679A3W</t>
    </r>
    <r>
      <rPr>
        <sz val="12"/>
        <rFont val="Calibri"/>
        <family val="2"/>
        <scheme val="minor"/>
      </rPr>
      <t xml:space="preserve"> ALT:  BACN10JC3CD</t>
    </r>
  </si>
  <si>
    <t>NAS1611-010</t>
  </si>
  <si>
    <t>BACB10ET04</t>
  </si>
  <si>
    <t>BEARING 1 WAY IW</t>
  </si>
  <si>
    <t>412N1168-7</t>
  </si>
  <si>
    <t xml:space="preserve">FILTER </t>
  </si>
  <si>
    <t>NAS1612-5</t>
  </si>
  <si>
    <t>LAMPS</t>
  </si>
  <si>
    <t>251N1011-1 OR 6-16-98</t>
  </si>
  <si>
    <t>CRANK ASSY</t>
  </si>
  <si>
    <t>CR2238-5-6</t>
  </si>
  <si>
    <t>BACB30NW14K21</t>
  </si>
  <si>
    <t>318-630-1001-452</t>
  </si>
  <si>
    <t>SENSOR</t>
  </si>
  <si>
    <t>330N3011-1</t>
  </si>
  <si>
    <t>38222-3</t>
  </si>
  <si>
    <t xml:space="preserve">CAP, FUEL FILLER WING </t>
  </si>
  <si>
    <t>4.600.00</t>
  </si>
  <si>
    <t>GREASE RETAINER</t>
  </si>
  <si>
    <t>.2609135.</t>
  </si>
  <si>
    <t>AH0888741</t>
  </si>
  <si>
    <t>BACN10JR3CD</t>
  </si>
  <si>
    <t>FITTING, REDUCER</t>
  </si>
  <si>
    <t xml:space="preserve">	DAM,GREASE</t>
  </si>
  <si>
    <t>68-1339</t>
  </si>
  <si>
    <t>1N 2-6A</t>
  </si>
  <si>
    <t>MS24693S269</t>
  </si>
  <si>
    <t>BMS13-48T10C1G20</t>
  </si>
  <si>
    <t>BACC47CN1S</t>
  </si>
  <si>
    <t>BACT12AC44</t>
  </si>
  <si>
    <t>TERMINAL</t>
  </si>
  <si>
    <t>61-74488-2001</t>
  </si>
  <si>
    <t>61-74488-2003</t>
  </si>
  <si>
    <t xml:space="preserve">WIRE </t>
  </si>
  <si>
    <t>BACT12AC48</t>
  </si>
  <si>
    <t>BMS13-48T11C1G24</t>
  </si>
  <si>
    <t>MS24693S46</t>
  </si>
  <si>
    <t>NAS5903-6</t>
  </si>
  <si>
    <t>61-74487-10102</t>
  </si>
  <si>
    <t>DECAL</t>
  </si>
  <si>
    <t>61-74487-10101</t>
  </si>
  <si>
    <t>61-74487-10104</t>
  </si>
  <si>
    <t>61-74487-10103</t>
  </si>
  <si>
    <t>61-74487-2003</t>
  </si>
  <si>
    <t>MS24665-90</t>
  </si>
  <si>
    <t>42FLW524</t>
  </si>
  <si>
    <t>7260111-445</t>
  </si>
  <si>
    <t>REEL HARNESS</t>
  </si>
  <si>
    <t>BACC47DR1</t>
  </si>
  <si>
    <t>61-74488-10201</t>
  </si>
  <si>
    <t>61-74488-10202</t>
  </si>
  <si>
    <t>D436-37</t>
  </si>
  <si>
    <t>D436-38</t>
  </si>
  <si>
    <t>BACT12AC52</t>
  </si>
  <si>
    <t>61-74488-10213</t>
  </si>
  <si>
    <t>D436-58</t>
  </si>
  <si>
    <t>180188*</t>
  </si>
  <si>
    <t>61-74488-10203</t>
  </si>
  <si>
    <t>61-74488-10204</t>
  </si>
  <si>
    <t>61-74488-10205</t>
  </si>
  <si>
    <t>61-74488-10207</t>
  </si>
  <si>
    <t>61-74488-10212</t>
  </si>
  <si>
    <t>61-74488-1</t>
  </si>
  <si>
    <t>61-74488-2008</t>
  </si>
  <si>
    <t>61-74488-2007</t>
  </si>
  <si>
    <t>BMS13-48T10C1G22</t>
  </si>
  <si>
    <t>NAS1149DN832H</t>
  </si>
  <si>
    <t>MS1204-10</t>
  </si>
  <si>
    <t>NAS114900316H</t>
  </si>
  <si>
    <t>NAS620-A10L</t>
  </si>
  <si>
    <t>NAS623-3-1</t>
  </si>
  <si>
    <t>NAS514P1032-7P</t>
  </si>
  <si>
    <r>
      <rPr>
        <b/>
        <u/>
        <sz val="11"/>
        <color theme="1"/>
        <rFont val="Calibri"/>
        <family val="2"/>
        <scheme val="minor"/>
      </rPr>
      <t>NAS1149F0432P</t>
    </r>
    <r>
      <rPr>
        <sz val="11"/>
        <color theme="1"/>
        <rFont val="Calibri"/>
        <family val="2"/>
        <scheme val="minor"/>
      </rPr>
      <t xml:space="preserve"> ALT: AN960-416L</t>
    </r>
  </si>
  <si>
    <t>MS20819-12D</t>
  </si>
  <si>
    <t>PROTECTIVE CAP</t>
  </si>
  <si>
    <t>AS3209-210</t>
  </si>
  <si>
    <t>1400J16A</t>
  </si>
  <si>
    <t>65-59893-1</t>
  </si>
  <si>
    <t>M25988-1-237</t>
  </si>
  <si>
    <t>AN737TW34</t>
  </si>
  <si>
    <t>AN960-516</t>
  </si>
  <si>
    <t>5922535-17</t>
  </si>
  <si>
    <t>680146-008</t>
  </si>
  <si>
    <t>NAS560HK3P1</t>
  </si>
  <si>
    <t>MS9386-220</t>
  </si>
  <si>
    <t>BCREF69226</t>
  </si>
  <si>
    <t>02-281</t>
  </si>
  <si>
    <t>DRILL</t>
  </si>
  <si>
    <t>2643102-4</t>
  </si>
  <si>
    <t xml:space="preserve">LINER ASSY </t>
  </si>
  <si>
    <t>NAS9307M-6-03</t>
  </si>
  <si>
    <t>S2274640</t>
  </si>
  <si>
    <t>5910296-3</t>
  </si>
  <si>
    <t>BWD7017-561</t>
  </si>
  <si>
    <t>NAS1305-9</t>
  </si>
  <si>
    <t>MS9088-10</t>
  </si>
  <si>
    <t>MS27039-5-29</t>
  </si>
  <si>
    <t>NAS1102-3-12</t>
  </si>
  <si>
    <t>NAS1102-3-16</t>
  </si>
  <si>
    <t>NAS1102E3-7</t>
  </si>
  <si>
    <t>MS35215-61</t>
  </si>
  <si>
    <t>MS9068-152</t>
  </si>
  <si>
    <t>S9412-218</t>
  </si>
  <si>
    <t>NAS1305-11</t>
  </si>
  <si>
    <t>NAS334CPA13</t>
  </si>
  <si>
    <t>HT239PB5-17D</t>
  </si>
  <si>
    <t>NAS1305-20D</t>
  </si>
  <si>
    <t>NAS1104-26D</t>
  </si>
  <si>
    <t>NAS428-5A20</t>
  </si>
  <si>
    <t>3A124-0283-11</t>
  </si>
  <si>
    <t>68-624</t>
  </si>
  <si>
    <t>SPACER PLATE</t>
  </si>
  <si>
    <t>1N 2-6B</t>
  </si>
  <si>
    <t>NAS6303-5</t>
  </si>
  <si>
    <t>NAS509L6</t>
  </si>
  <si>
    <t>MS24665-153</t>
  </si>
  <si>
    <t xml:space="preserve">COTTER PIN </t>
  </si>
  <si>
    <t>4923136-1</t>
  </si>
  <si>
    <t>BOOT</t>
  </si>
  <si>
    <t>NAS1096-2-6</t>
  </si>
  <si>
    <t>NAS1801-3-10</t>
  </si>
  <si>
    <t>NAS464P6-24</t>
  </si>
  <si>
    <t>4D0012-9P</t>
  </si>
  <si>
    <t>1142000-6</t>
  </si>
  <si>
    <t xml:space="preserve">TURN STUD </t>
  </si>
  <si>
    <t>1142024-6</t>
  </si>
  <si>
    <t>MS9967-116</t>
  </si>
  <si>
    <t>1142024-3</t>
  </si>
  <si>
    <t>1142024-4</t>
  </si>
  <si>
    <t>BACS21ED9R</t>
  </si>
  <si>
    <t>CR3245-4-1</t>
  </si>
  <si>
    <t>LH7461T070D</t>
  </si>
  <si>
    <t>75-000500-200-1</t>
  </si>
  <si>
    <t xml:space="preserve">CAP ASSEMBLY </t>
  </si>
  <si>
    <t>CR2672-3-08</t>
  </si>
  <si>
    <t>AD-4002P</t>
  </si>
  <si>
    <t xml:space="preserve">BATTERY </t>
  </si>
  <si>
    <t>MS14104-6</t>
  </si>
  <si>
    <t>NAS1611-210</t>
  </si>
  <si>
    <t>NAS1611-008</t>
  </si>
  <si>
    <t xml:space="preserve">REATINER </t>
  </si>
  <si>
    <t>3880701-1 OR 1745820</t>
  </si>
  <si>
    <t>FITER</t>
  </si>
  <si>
    <t>PAKCING</t>
  </si>
  <si>
    <t>3 VENCIDOS</t>
  </si>
  <si>
    <t>22610-13</t>
  </si>
  <si>
    <t>2607027-011</t>
  </si>
  <si>
    <t>S4892944-111</t>
  </si>
  <si>
    <t>DSR4470-1908</t>
  </si>
  <si>
    <t>SEALING RING</t>
  </si>
  <si>
    <t>ABP004-6</t>
  </si>
  <si>
    <t xml:space="preserve">ORING </t>
  </si>
  <si>
    <t>68-1585</t>
  </si>
  <si>
    <t>2612505WE</t>
  </si>
  <si>
    <t>2873-350</t>
  </si>
  <si>
    <t>VR1025-400</t>
  </si>
  <si>
    <t>2100-14</t>
  </si>
  <si>
    <t>2-083-167-02</t>
  </si>
  <si>
    <t>BACB30LE8HU9</t>
  </si>
  <si>
    <t xml:space="preserve">BACR15BA3AD2 </t>
  </si>
  <si>
    <t>MS21902J12</t>
  </si>
  <si>
    <t xml:space="preserve">UNION </t>
  </si>
  <si>
    <t>720752-10WE</t>
  </si>
  <si>
    <t>AS3066-09</t>
  </si>
  <si>
    <t>53-227</t>
  </si>
  <si>
    <t>9006A0046-01</t>
  </si>
  <si>
    <t>CR3214-6-6</t>
  </si>
  <si>
    <t>511846-4</t>
  </si>
  <si>
    <t>703775</t>
  </si>
  <si>
    <t>BACB30LH3-6</t>
  </si>
  <si>
    <t>MS21059L3</t>
  </si>
  <si>
    <t>NUTPLATE</t>
  </si>
  <si>
    <t>NAS1101E3-6P</t>
  </si>
  <si>
    <t>A1226235</t>
  </si>
  <si>
    <r>
      <rPr>
        <b/>
        <u/>
        <sz val="12"/>
        <rFont val="Calibri"/>
        <family val="2"/>
        <scheme val="minor"/>
      </rPr>
      <t xml:space="preserve">NAS679A3 </t>
    </r>
    <r>
      <rPr>
        <sz val="12"/>
        <rFont val="Calibri"/>
        <family val="2"/>
        <scheme val="minor"/>
      </rPr>
      <t>ALT:  BACN10JC3CD</t>
    </r>
  </si>
  <si>
    <t>81395-10</t>
  </si>
  <si>
    <t>NAS1149DO332J</t>
  </si>
  <si>
    <t>BACB30NZ10K10</t>
  </si>
  <si>
    <t>46068-0611S</t>
  </si>
  <si>
    <t>CR3214-6-4</t>
  </si>
  <si>
    <t>FN12-M02</t>
  </si>
  <si>
    <t>BACB28AK04-018</t>
  </si>
  <si>
    <t>MS9209-11</t>
  </si>
  <si>
    <t>AYG7206-529</t>
  </si>
  <si>
    <t>LA-4190-A</t>
  </si>
  <si>
    <t>S384-2</t>
  </si>
  <si>
    <t>R3BX92C12V11638</t>
  </si>
  <si>
    <t>CR3524-6-02</t>
  </si>
  <si>
    <t>NAS6603H3</t>
  </si>
  <si>
    <t>MS16535-83</t>
  </si>
  <si>
    <t>SECO7N4</t>
  </si>
  <si>
    <t>MS23774-015</t>
  </si>
  <si>
    <t>BACT12C20</t>
  </si>
  <si>
    <t>68-1448</t>
  </si>
  <si>
    <t>NAS1105-13D</t>
  </si>
  <si>
    <t>BACB30NY5HK5</t>
  </si>
  <si>
    <t>DAS4-14A-7</t>
  </si>
  <si>
    <t>78-129</t>
  </si>
  <si>
    <t>66-24177-1</t>
  </si>
  <si>
    <t>BACW10UB8</t>
  </si>
  <si>
    <t>AN901-4A</t>
  </si>
  <si>
    <t>BACC47CN2</t>
  </si>
  <si>
    <t>BACS34A22A</t>
  </si>
  <si>
    <t>ED741776</t>
  </si>
  <si>
    <t>VALVE POSITION INDICATOR</t>
  </si>
  <si>
    <t>NAS1102-2-24</t>
  </si>
  <si>
    <t>MS21902-4</t>
  </si>
  <si>
    <t>M83248/1-227</t>
  </si>
  <si>
    <t>BACR15CE6D10</t>
  </si>
  <si>
    <t>50-498</t>
  </si>
  <si>
    <t>MS16562-242</t>
  </si>
  <si>
    <t>MS21076L4</t>
  </si>
  <si>
    <t>5100-137</t>
  </si>
  <si>
    <t>.2609175.</t>
  </si>
  <si>
    <t>MS28775-112</t>
  </si>
  <si>
    <t>MS27039C4-25</t>
  </si>
  <si>
    <t>J221P908WE</t>
  </si>
  <si>
    <t>BACR15GF7D9</t>
  </si>
  <si>
    <t>KT2600545</t>
  </si>
  <si>
    <t>BACR15BA3AD4</t>
  </si>
  <si>
    <t>AN960C-416L</t>
  </si>
  <si>
    <t>5010711</t>
  </si>
  <si>
    <t>SWAGE</t>
  </si>
  <si>
    <t>NAS5402U6</t>
  </si>
  <si>
    <t>NAS6203-1H</t>
  </si>
  <si>
    <t>REP4H8FS436</t>
  </si>
  <si>
    <t>BACB30LU3-4</t>
  </si>
  <si>
    <t>M83485-1-906</t>
  </si>
  <si>
    <t>MS19060-4814</t>
  </si>
  <si>
    <t>NAS6608D26</t>
  </si>
  <si>
    <t>VL1041HS2-58</t>
  </si>
  <si>
    <t>MS51957-42</t>
  </si>
  <si>
    <t>161T1223-1</t>
  </si>
  <si>
    <t>NAS1101E08-6</t>
  </si>
  <si>
    <t>NAS1101E3-12</t>
  </si>
  <si>
    <t>NAS43HT4-52</t>
  </si>
  <si>
    <t>VR1006-450</t>
  </si>
  <si>
    <t>TORQUE</t>
  </si>
  <si>
    <t>NAS679C4W</t>
  </si>
  <si>
    <t>310N3151-1</t>
  </si>
  <si>
    <t>3-300-4057</t>
  </si>
  <si>
    <t>SPLIT</t>
  </si>
  <si>
    <t>FN12MO2</t>
  </si>
  <si>
    <t>.5007415.</t>
  </si>
  <si>
    <t>434-093-001</t>
  </si>
  <si>
    <t xml:space="preserve">CIRCUIT MODULE </t>
  </si>
  <si>
    <t>MS21043-08</t>
  </si>
  <si>
    <t>AA134S-1</t>
  </si>
  <si>
    <t>.2611134.</t>
  </si>
  <si>
    <t>MS2039C4-25</t>
  </si>
  <si>
    <t>PACKNG</t>
  </si>
  <si>
    <t>3862149-1</t>
  </si>
  <si>
    <t>.2603041.</t>
  </si>
  <si>
    <t xml:space="preserve">1N 2-6B </t>
  </si>
  <si>
    <t>.354117.</t>
  </si>
  <si>
    <t>46-0661-1</t>
  </si>
  <si>
    <t>SHAFT</t>
  </si>
  <si>
    <t>N5000-137</t>
  </si>
  <si>
    <t>2703-500.</t>
  </si>
  <si>
    <t>BACC18Z3R</t>
  </si>
  <si>
    <t>LINE</t>
  </si>
  <si>
    <t>NAS1056C8-158</t>
  </si>
  <si>
    <t>SPCAER</t>
  </si>
  <si>
    <t>BACB30NW12K21X</t>
  </si>
  <si>
    <t>MS9557-07</t>
  </si>
  <si>
    <t>MS20426AD6-18</t>
  </si>
  <si>
    <t>1092415</t>
  </si>
  <si>
    <t>74-00734</t>
  </si>
  <si>
    <t>DISC BRAKE</t>
  </si>
  <si>
    <t>MS9245-27</t>
  </si>
  <si>
    <t>J221P217WE</t>
  </si>
  <si>
    <t>NAS1352N08-08</t>
  </si>
  <si>
    <t>MS352666-60</t>
  </si>
  <si>
    <t>GY18A13</t>
  </si>
  <si>
    <t>40277A</t>
  </si>
  <si>
    <t>NAS1801-3-7</t>
  </si>
  <si>
    <t>MS21902D4</t>
  </si>
  <si>
    <t>TAG</t>
  </si>
  <si>
    <t>AN960C516</t>
  </si>
  <si>
    <t>BACW10UC10</t>
  </si>
  <si>
    <t>BACN10HR10CS</t>
  </si>
  <si>
    <t>4812-58</t>
  </si>
  <si>
    <t>NAS1801-4-7</t>
  </si>
  <si>
    <t>AN960JD10L</t>
  </si>
  <si>
    <t>100168-688</t>
  </si>
  <si>
    <t>3161972-1</t>
  </si>
  <si>
    <t>3612125-1</t>
  </si>
  <si>
    <t>30300-1383</t>
  </si>
  <si>
    <t>BRUSH</t>
  </si>
  <si>
    <t>1N 2-7A</t>
  </si>
  <si>
    <t>AS3209-016</t>
  </si>
  <si>
    <t>113N1077-1</t>
  </si>
  <si>
    <t>DC26F16-8S</t>
  </si>
  <si>
    <t>NAS1096-3-10</t>
  </si>
  <si>
    <t>NAS221-8</t>
  </si>
  <si>
    <t>NAS6204-7</t>
  </si>
  <si>
    <t>NAS1298-3-6</t>
  </si>
  <si>
    <t>MS35266-60</t>
  </si>
  <si>
    <t>NAS77-6-022</t>
  </si>
  <si>
    <t>NAS1398B6-5</t>
  </si>
  <si>
    <t>NAS1399B6-4</t>
  </si>
  <si>
    <t>S124682-4D14-6</t>
  </si>
  <si>
    <t>.16335.</t>
  </si>
  <si>
    <t>NAS514P632-8P</t>
  </si>
  <si>
    <t>NAS1308-28D</t>
  </si>
  <si>
    <t>NAS1402-5</t>
  </si>
  <si>
    <t>NAS1303-16</t>
  </si>
  <si>
    <t>NAS1305-17D</t>
  </si>
  <si>
    <t>NAS514P832-8P</t>
  </si>
  <si>
    <t>AN919-15J</t>
  </si>
  <si>
    <t>68-1113</t>
  </si>
  <si>
    <t>LJ75011</t>
  </si>
  <si>
    <t>BAC1530-24</t>
  </si>
  <si>
    <t>10-60814-3</t>
  </si>
  <si>
    <t>102-5565-1</t>
  </si>
  <si>
    <t>WIRECOVER</t>
  </si>
  <si>
    <t>17351-600</t>
  </si>
  <si>
    <t>S4928912-5-012</t>
  </si>
  <si>
    <t>69-10</t>
  </si>
  <si>
    <t>BOLLAST</t>
  </si>
  <si>
    <t>MS24523-23</t>
  </si>
  <si>
    <t xml:space="preserve">SWITCH TOGGLE </t>
  </si>
  <si>
    <t>AN919</t>
  </si>
  <si>
    <t>2611144-7</t>
  </si>
  <si>
    <t>M25988-4-011</t>
  </si>
  <si>
    <t>NAS1611-011</t>
  </si>
  <si>
    <t xml:space="preserve">RING SEAL </t>
  </si>
  <si>
    <t>VL1268PW95</t>
  </si>
  <si>
    <t>NAS1612-3</t>
  </si>
  <si>
    <t>NAS514P832-6P</t>
  </si>
  <si>
    <t>BACB30NR4K4</t>
  </si>
  <si>
    <t>RRT137S</t>
  </si>
  <si>
    <t>NAS1399B6-5</t>
  </si>
  <si>
    <t>D9-55-1</t>
  </si>
  <si>
    <t>1.000.00</t>
  </si>
  <si>
    <t>MS21902J3</t>
  </si>
  <si>
    <t>9066M94P01</t>
  </si>
  <si>
    <t>8-428-01</t>
  </si>
  <si>
    <t xml:space="preserve">SENSOR </t>
  </si>
  <si>
    <t>BACW10BP3NAPU</t>
  </si>
  <si>
    <t>BACS21EE16R</t>
  </si>
  <si>
    <t xml:space="preserve">TURN FASTENER </t>
  </si>
  <si>
    <t>1304-000</t>
  </si>
  <si>
    <t xml:space="preserve">AIR PRESSURE SWITCH </t>
  </si>
  <si>
    <t>14A244-1</t>
  </si>
  <si>
    <t xml:space="preserve">SEAL ASSY </t>
  </si>
  <si>
    <t>K827154</t>
  </si>
  <si>
    <t>BACJ40K5A7A7</t>
  </si>
  <si>
    <t>JUMPER</t>
  </si>
  <si>
    <t>S52376203-20200</t>
  </si>
  <si>
    <t xml:space="preserve">BRACKET </t>
  </si>
  <si>
    <t>NTA19250AE09D20</t>
  </si>
  <si>
    <t>PA47399</t>
  </si>
  <si>
    <t xml:space="preserve">LIMINATOR </t>
  </si>
  <si>
    <t>2611144-6</t>
  </si>
  <si>
    <t>AS3209-017</t>
  </si>
  <si>
    <t>S523R0019210-05</t>
  </si>
  <si>
    <t xml:space="preserve">SKIN SPLICE </t>
  </si>
  <si>
    <t>S523R0019212-05</t>
  </si>
  <si>
    <t>S523R0019220-05</t>
  </si>
  <si>
    <t xml:space="preserve">INNER SPLICE </t>
  </si>
  <si>
    <t>S523R0019204-05</t>
  </si>
  <si>
    <t xml:space="preserve">JOGGLE SPLICE </t>
  </si>
  <si>
    <t>MS21069L3</t>
  </si>
  <si>
    <t>1340422-109</t>
  </si>
  <si>
    <t>NAS1149C0363R</t>
  </si>
  <si>
    <t>LIGHTS</t>
  </si>
  <si>
    <t>BRACKET FLANGE</t>
  </si>
  <si>
    <t>69490D261</t>
  </si>
  <si>
    <t>65-21796-74</t>
  </si>
  <si>
    <t>AS24017</t>
  </si>
  <si>
    <t>A0078B502</t>
  </si>
  <si>
    <t>BACB30NF4-15</t>
  </si>
  <si>
    <t>1N 2-7B</t>
  </si>
  <si>
    <t>CARBON SEAL</t>
  </si>
  <si>
    <t>LJ70457</t>
  </si>
  <si>
    <t>CLAMPASS</t>
  </si>
  <si>
    <t>NAS1612-12</t>
  </si>
  <si>
    <t>HS28778-5</t>
  </si>
  <si>
    <t>AS3582-013</t>
  </si>
  <si>
    <t>MS9021-233</t>
  </si>
  <si>
    <t>NAS1595-16</t>
  </si>
  <si>
    <t>3033315 OR P-1011</t>
  </si>
  <si>
    <t>M83248-1-241</t>
  </si>
  <si>
    <t>MS9386-266</t>
  </si>
  <si>
    <t>AS3208-05</t>
  </si>
  <si>
    <t>J221P126WE</t>
  </si>
  <si>
    <t>S9413-227WE</t>
  </si>
  <si>
    <t>0514089-13</t>
  </si>
  <si>
    <t>MS20392-3C23</t>
  </si>
  <si>
    <t>CLEVIS PIN</t>
  </si>
  <si>
    <t>MS20663C4</t>
  </si>
  <si>
    <t>69494J910</t>
  </si>
  <si>
    <t>183-1277-830</t>
  </si>
  <si>
    <t>M83248-1-016</t>
  </si>
  <si>
    <t>RM52LHA4972-8-02</t>
  </si>
  <si>
    <t>CLIP NUT</t>
  </si>
  <si>
    <t>NAS334CPA-11</t>
  </si>
  <si>
    <t>S9026D110</t>
  </si>
  <si>
    <t>NAS1149D0316K-28</t>
  </si>
  <si>
    <t>S52375403-20205</t>
  </si>
  <si>
    <t>SHELL</t>
  </si>
  <si>
    <t>4700797-5</t>
  </si>
  <si>
    <t>MS28775-339</t>
  </si>
  <si>
    <t>CR3-9G-8</t>
  </si>
  <si>
    <t>AT-RL1005</t>
  </si>
  <si>
    <t>90-000600-007-0</t>
  </si>
  <si>
    <t>LATCH COVER</t>
  </si>
  <si>
    <t>CR3-9G-3</t>
  </si>
  <si>
    <t>65-31290-2</t>
  </si>
  <si>
    <t>5930922-15</t>
  </si>
  <si>
    <t>AML-307</t>
  </si>
  <si>
    <t xml:space="preserve">SCREW TERMINAL </t>
  </si>
  <si>
    <t>MS20604-AD4K1</t>
  </si>
  <si>
    <t>AN4-12</t>
  </si>
  <si>
    <t>S2923978-5-16</t>
  </si>
  <si>
    <t>NAS39188</t>
  </si>
  <si>
    <t>9181M38P02</t>
  </si>
  <si>
    <t>R4G</t>
  </si>
  <si>
    <t xml:space="preserve">SNAP RING </t>
  </si>
  <si>
    <t>80352-10</t>
  </si>
  <si>
    <t>NAS1611-210A</t>
  </si>
  <si>
    <t>M83248/1-210</t>
  </si>
  <si>
    <t>2606799-225</t>
  </si>
  <si>
    <t>M25988/1-237</t>
  </si>
  <si>
    <t>MS28774-111</t>
  </si>
  <si>
    <t>1101612-01</t>
  </si>
  <si>
    <t>LAP BELT</t>
  </si>
  <si>
    <t>43-1276</t>
  </si>
  <si>
    <t>BACB30VF3K1</t>
  </si>
  <si>
    <t>11-6557-5B</t>
  </si>
  <si>
    <t>BEZEL</t>
  </si>
  <si>
    <t>MS29513-212</t>
  </si>
  <si>
    <t>MS9954-06</t>
  </si>
  <si>
    <t>L45410</t>
  </si>
  <si>
    <t>68-1120</t>
  </si>
  <si>
    <t>AS3209-010</t>
  </si>
  <si>
    <t>BACW10BN3AC</t>
  </si>
  <si>
    <t>D61446-15</t>
  </si>
  <si>
    <t>S12957-210</t>
  </si>
  <si>
    <t>MS9500-31</t>
  </si>
  <si>
    <t>0016-0022-1</t>
  </si>
  <si>
    <t>NAS1097AD5-10</t>
  </si>
  <si>
    <t>A75J</t>
  </si>
  <si>
    <t>M25988-1-145</t>
  </si>
  <si>
    <t>AS1895/7-300</t>
  </si>
  <si>
    <t>ST1946-216</t>
  </si>
  <si>
    <t>AS3209-114</t>
  </si>
  <si>
    <t>460-400</t>
  </si>
  <si>
    <t>2004M30G36</t>
  </si>
  <si>
    <t>FAIRING ASSY</t>
  </si>
  <si>
    <t>M83248/1-139</t>
  </si>
  <si>
    <t>MS9966-06</t>
  </si>
  <si>
    <t>S4929668-228</t>
  </si>
  <si>
    <t>BACP18BC02A6P</t>
  </si>
  <si>
    <t>BACN10JC4CD</t>
  </si>
  <si>
    <t>M82348-1-904</t>
  </si>
  <si>
    <t>M25988-1-146</t>
  </si>
  <si>
    <t>MS21916J5-5</t>
  </si>
  <si>
    <t>3183352-012</t>
  </si>
  <si>
    <t>318-630-1001-460</t>
  </si>
  <si>
    <t>LIGTH</t>
  </si>
  <si>
    <t xml:space="preserve">THERMAL SWITCH </t>
  </si>
  <si>
    <t>VENCE  NOV 2025</t>
  </si>
  <si>
    <t>394A-2-629</t>
  </si>
  <si>
    <t>1N 3-1A</t>
  </si>
  <si>
    <t>LM121310-20629</t>
  </si>
  <si>
    <t>LM120749</t>
  </si>
  <si>
    <t>LM522549</t>
  </si>
  <si>
    <t>29685-20629</t>
  </si>
  <si>
    <t>594-20629</t>
  </si>
  <si>
    <t>GYR8A26</t>
  </si>
  <si>
    <t>MS14155-10</t>
  </si>
  <si>
    <t>BACB30PN12-28</t>
  </si>
  <si>
    <t>7378438-1</t>
  </si>
  <si>
    <t>MS24677-2</t>
  </si>
  <si>
    <t>100% KIT 398908-5</t>
  </si>
  <si>
    <t>S8157CR74-063</t>
  </si>
  <si>
    <t>MS24677-9</t>
  </si>
  <si>
    <t>MS24677-6</t>
  </si>
  <si>
    <t>VERIFICAR PN</t>
  </si>
  <si>
    <t>29782-14</t>
  </si>
  <si>
    <t>MS51957-44</t>
  </si>
  <si>
    <t>AN565AC4H3</t>
  </si>
  <si>
    <t>SETSCREW</t>
  </si>
  <si>
    <t>880291-1</t>
  </si>
  <si>
    <t>SHIELD SHAFT</t>
  </si>
  <si>
    <t>S8990-021</t>
  </si>
  <si>
    <t>NAS620-2</t>
  </si>
  <si>
    <t>WASHER FLAT</t>
  </si>
  <si>
    <t>S3033-1</t>
  </si>
  <si>
    <t>ID PLATE</t>
  </si>
  <si>
    <t>MS21083N3</t>
  </si>
  <si>
    <t>MS35206-228</t>
  </si>
  <si>
    <t>MS24264R14B15PN</t>
  </si>
  <si>
    <t>2046083-4</t>
  </si>
  <si>
    <t>533063-1</t>
  </si>
  <si>
    <t>LABEL, DIRECTIONAL IND</t>
  </si>
  <si>
    <t>D-436-37</t>
  </si>
  <si>
    <t>SPLICE BLUE</t>
  </si>
  <si>
    <t>887986-2</t>
  </si>
  <si>
    <t>358504-1</t>
  </si>
  <si>
    <t>BEARING BALL ANNULAR</t>
  </si>
  <si>
    <t>JOSE</t>
  </si>
  <si>
    <t>3613961-1</t>
  </si>
  <si>
    <t>DUTC FAN INLET</t>
  </si>
  <si>
    <t>CONDITION AR</t>
  </si>
  <si>
    <t>2743410-3</t>
  </si>
  <si>
    <t>2047168-8</t>
  </si>
  <si>
    <t>52394WE</t>
  </si>
  <si>
    <t>WICK</t>
  </si>
  <si>
    <t>63000788-1</t>
  </si>
  <si>
    <t>MS24677-7</t>
  </si>
  <si>
    <t>880500-6</t>
  </si>
  <si>
    <t>SEAL SHAFT</t>
  </si>
  <si>
    <t>BACB30NW8K8X</t>
  </si>
  <si>
    <t>HI LOCK PIN</t>
  </si>
  <si>
    <t>BACB30VF3K3</t>
  </si>
  <si>
    <t>NAS1352-06H4P or MS24677-6C</t>
  </si>
  <si>
    <t xml:space="preserve">	7378438-1</t>
  </si>
  <si>
    <t>08231-20629</t>
  </si>
  <si>
    <t>1N 3-1B</t>
  </si>
  <si>
    <t>L610549-20629</t>
  </si>
  <si>
    <t>L507949-2D629</t>
  </si>
  <si>
    <t>NAS334CPA7</t>
  </si>
  <si>
    <t>COVER PLATE</t>
  </si>
  <si>
    <t>WASHER-KEY</t>
  </si>
  <si>
    <t>AH089383</t>
  </si>
  <si>
    <t>L812111-20629</t>
  </si>
  <si>
    <t>29620-20629</t>
  </si>
  <si>
    <t>CUP</t>
  </si>
  <si>
    <t>M83248-1-245</t>
  </si>
  <si>
    <t>AS3582-267</t>
  </si>
  <si>
    <t>NAS1523C4Y</t>
  </si>
  <si>
    <t>AN814-6DL</t>
  </si>
  <si>
    <t>SS3805-32</t>
  </si>
  <si>
    <t>SS3817-14</t>
  </si>
  <si>
    <t>502276-221-2251</t>
  </si>
  <si>
    <t>STRAP ASSY</t>
  </si>
  <si>
    <t>502276-225-1028</t>
  </si>
  <si>
    <t>REEL ASSY</t>
  </si>
  <si>
    <t>502276-227-1028</t>
  </si>
  <si>
    <r>
      <t>502214-403</t>
    </r>
    <r>
      <rPr>
        <sz val="8"/>
        <color theme="1"/>
        <rFont val="Calibri"/>
        <family val="2"/>
        <scheme val="minor"/>
      </rPr>
      <t xml:space="preserve">                                                    (502276-2-2251    502276-3-2251)</t>
    </r>
  </si>
  <si>
    <t>BUCKLE FIX ASSY</t>
  </si>
  <si>
    <t>BACC63BV18B14PN</t>
  </si>
  <si>
    <t>CONECTOR</t>
  </si>
  <si>
    <t>M224712-20629</t>
  </si>
  <si>
    <t>672-20629</t>
  </si>
  <si>
    <t>LM122911</t>
  </si>
  <si>
    <t>LM718947</t>
  </si>
  <si>
    <t>27684-20629</t>
  </si>
  <si>
    <t>1N 3-2A</t>
  </si>
  <si>
    <t>NAS334C</t>
  </si>
  <si>
    <t>AG4048</t>
  </si>
  <si>
    <t>NAS1204-11</t>
  </si>
  <si>
    <t>177-00300</t>
  </si>
  <si>
    <t>DK100</t>
  </si>
  <si>
    <t>LOCATOR BEACON</t>
  </si>
  <si>
    <t>PLATE PRESSURE</t>
  </si>
  <si>
    <t>M25988/4-011</t>
  </si>
  <si>
    <t>J219P05</t>
  </si>
  <si>
    <t>LJ70172</t>
  </si>
  <si>
    <t>M83248/1-270</t>
  </si>
  <si>
    <t>ARG7207-1</t>
  </si>
  <si>
    <t>NAS334CPDA7</t>
  </si>
  <si>
    <t>NAS1103-10</t>
  </si>
  <si>
    <t>LJ75825</t>
  </si>
  <si>
    <t>NAS1352C04-16</t>
  </si>
  <si>
    <t>AN960D10L</t>
  </si>
  <si>
    <t>BACW10BP14APU</t>
  </si>
  <si>
    <t>NAS1096-2-2</t>
  </si>
  <si>
    <t>A-51280</t>
  </si>
  <si>
    <t>TOOL</t>
  </si>
  <si>
    <t>NAS1762T1010</t>
  </si>
  <si>
    <t>VL1002GE1-124</t>
  </si>
  <si>
    <t>MS29561-011</t>
  </si>
  <si>
    <t>SP24C</t>
  </si>
  <si>
    <t>AN960PD416L</t>
  </si>
  <si>
    <t>102STDW</t>
  </si>
  <si>
    <t>434-1031-2001</t>
  </si>
  <si>
    <t>LINHT</t>
  </si>
  <si>
    <t>36758-11 OR BACB20J5A</t>
  </si>
  <si>
    <t>3971918-503</t>
  </si>
  <si>
    <t>3D0042-10</t>
  </si>
  <si>
    <t>BACN10YD4</t>
  </si>
  <si>
    <t>NUT CLIP</t>
  </si>
  <si>
    <t>AN960PD10</t>
  </si>
  <si>
    <t>97-123</t>
  </si>
  <si>
    <t>CR2672-3-06</t>
  </si>
  <si>
    <t>78-123</t>
  </si>
  <si>
    <t>SHEET</t>
  </si>
  <si>
    <t>NAS1291-3</t>
  </si>
  <si>
    <t>NAS1096-3-7</t>
  </si>
  <si>
    <t>MS35489-4</t>
  </si>
  <si>
    <t>MS21095-3006</t>
  </si>
  <si>
    <t>MS20002C9</t>
  </si>
  <si>
    <t>49-395</t>
  </si>
  <si>
    <t xml:space="preserve">PLUG </t>
  </si>
  <si>
    <t>63-495</t>
  </si>
  <si>
    <t>49-279</t>
  </si>
  <si>
    <t>PLUG THERMO</t>
  </si>
  <si>
    <t>NAS1102-3-28</t>
  </si>
  <si>
    <t>NAS1102-3-26</t>
  </si>
  <si>
    <t>GWA182-7</t>
  </si>
  <si>
    <t>CONE ROLLERTAPERED</t>
  </si>
  <si>
    <t>AN3H6A</t>
  </si>
  <si>
    <t>5113WW</t>
  </si>
  <si>
    <t>D-609-06</t>
  </si>
  <si>
    <t>S8965-5</t>
  </si>
  <si>
    <t>S8990-011</t>
  </si>
  <si>
    <t>NAS1802-3-11</t>
  </si>
  <si>
    <t>NAS1802-3-9</t>
  </si>
  <si>
    <t>AN936A10</t>
  </si>
  <si>
    <t>MS35338-136</t>
  </si>
  <si>
    <t>MS35338-41</t>
  </si>
  <si>
    <t>BACB30NU9K14</t>
  </si>
  <si>
    <t>AN960KD10L</t>
  </si>
  <si>
    <t>1N 3-2B</t>
  </si>
  <si>
    <t>654T0035-9</t>
  </si>
  <si>
    <r>
      <rPr>
        <sz val="10"/>
        <color rgb="FFFF0000"/>
        <rFont val="Calibri"/>
        <family val="2"/>
        <scheme val="minor"/>
      </rPr>
      <t>PEND 4</t>
    </r>
    <r>
      <rPr>
        <sz val="10"/>
        <color theme="1"/>
        <rFont val="Calibri"/>
        <family val="2"/>
        <scheme val="minor"/>
      </rPr>
      <t xml:space="preserve">    3882496-1  ALT 7585669</t>
    </r>
  </si>
  <si>
    <t>ELEMEN FILTER</t>
  </si>
  <si>
    <t>RETRAINER GREASE</t>
  </si>
  <si>
    <t>654T0035-8</t>
  </si>
  <si>
    <t>27620-20629</t>
  </si>
  <si>
    <t>L61051020629</t>
  </si>
  <si>
    <t>LM718910-20629</t>
  </si>
  <si>
    <t>592XS-20629</t>
  </si>
  <si>
    <t>M224713A</t>
  </si>
  <si>
    <t>713805-15WE</t>
  </si>
  <si>
    <t>PAPER ROLL</t>
  </si>
  <si>
    <t>AS43013-128</t>
  </si>
  <si>
    <t>1N 3-3A</t>
  </si>
  <si>
    <t>AS43013-112</t>
  </si>
  <si>
    <t>21000-2X60HB</t>
  </si>
  <si>
    <t>DOUBLE SIDE TAPE</t>
  </si>
  <si>
    <t>MOLYKOTE</t>
  </si>
  <si>
    <t>LUBRICANTS</t>
  </si>
  <si>
    <t>M83248-1-269</t>
  </si>
  <si>
    <t>RTV732</t>
  </si>
  <si>
    <t>SEALENT 3.0 OZ</t>
  </si>
  <si>
    <t xml:space="preserve">EXPIRED SOLD </t>
  </si>
  <si>
    <t>BACB30MY6K5</t>
  </si>
  <si>
    <t>BACB30MY6K8</t>
  </si>
  <si>
    <t>BACB30MY8K15</t>
  </si>
  <si>
    <t>BACB30NX6K8X</t>
  </si>
  <si>
    <t>HL18PB6-9</t>
  </si>
  <si>
    <t>HL63PB6-4</t>
  </si>
  <si>
    <t>BOLTHI-LOK</t>
  </si>
  <si>
    <t>BACB30NW5K4</t>
  </si>
  <si>
    <t>BAG KIT</t>
  </si>
  <si>
    <t>BACN10Y03</t>
  </si>
  <si>
    <t xml:space="preserve">BACN10YR3CD </t>
  </si>
  <si>
    <t>po 82066</t>
  </si>
  <si>
    <t>BACN10YR4CD</t>
  </si>
  <si>
    <t>BACD40B016-012-6-11     ALT: BCREF1219</t>
  </si>
  <si>
    <t>BACB30NN3K4</t>
  </si>
  <si>
    <t>3-907N103-70</t>
  </si>
  <si>
    <t>BLANKET INSULATION</t>
  </si>
  <si>
    <t>22M1057-105</t>
  </si>
  <si>
    <t>193148-3AAR</t>
  </si>
  <si>
    <t>193148-1AAR</t>
  </si>
  <si>
    <t>193148-2AAR</t>
  </si>
  <si>
    <t>1A044-0187AP</t>
  </si>
  <si>
    <t>ARMREST</t>
  </si>
  <si>
    <t>80334-10ATS</t>
  </si>
  <si>
    <t>1N 3-3B</t>
  </si>
  <si>
    <t>24540-100</t>
  </si>
  <si>
    <t xml:space="preserve">1N 3-4A </t>
  </si>
  <si>
    <t>2603435*</t>
  </si>
  <si>
    <t>2609691AB</t>
  </si>
  <si>
    <t>271N6170-6</t>
  </si>
  <si>
    <t>2956495-511</t>
  </si>
  <si>
    <t>COR-BAN-27L</t>
  </si>
  <si>
    <t>4953611-501</t>
  </si>
  <si>
    <t>5912369-7</t>
  </si>
  <si>
    <t>SHELF LIFE</t>
  </si>
  <si>
    <t>4894087-1</t>
  </si>
  <si>
    <t>S9413-636</t>
  </si>
  <si>
    <t>69-30187-1</t>
  </si>
  <si>
    <t>0108370-30</t>
  </si>
  <si>
    <t>CONTROL ASSY</t>
  </si>
  <si>
    <t>NAS1611-213A</t>
  </si>
  <si>
    <t>S9026G267</t>
  </si>
  <si>
    <t>BAFFLE</t>
  </si>
  <si>
    <t>NAS617-10</t>
  </si>
  <si>
    <t>65-26776-28</t>
  </si>
  <si>
    <t>AS3582-156</t>
  </si>
  <si>
    <t>820734-401</t>
  </si>
  <si>
    <t>PIPE ASSY</t>
  </si>
  <si>
    <t>M25988-1-904</t>
  </si>
  <si>
    <t>99785-2</t>
  </si>
  <si>
    <t>NAS1352C08H10P</t>
  </si>
  <si>
    <t>BACB10AR4</t>
  </si>
  <si>
    <t>65-21796-75</t>
  </si>
  <si>
    <t>05228-7513983</t>
  </si>
  <si>
    <t>05228-7579522AM</t>
  </si>
  <si>
    <t>1N 3-4B</t>
  </si>
  <si>
    <t>NAS1611-218</t>
  </si>
  <si>
    <t>68-1520</t>
  </si>
  <si>
    <t>68-559WE</t>
  </si>
  <si>
    <t>68-559</t>
  </si>
  <si>
    <t>M29513-248</t>
  </si>
  <si>
    <t>NAS1611-225</t>
  </si>
  <si>
    <t>9607M05P42</t>
  </si>
  <si>
    <t>KJB170515BP2</t>
  </si>
  <si>
    <t>65C20665-2</t>
  </si>
  <si>
    <t>NET ASSY</t>
  </si>
  <si>
    <t>S2210370P4-048</t>
  </si>
  <si>
    <t>S2431215G12A030</t>
  </si>
  <si>
    <t>VTC00750</t>
  </si>
  <si>
    <t>65-59893-7</t>
  </si>
  <si>
    <t>SS50727K2215</t>
  </si>
  <si>
    <t>40S83-6</t>
  </si>
  <si>
    <t>8370002-1</t>
  </si>
  <si>
    <t>NAS620A6L</t>
  </si>
  <si>
    <t>S12482-3R6-3</t>
  </si>
  <si>
    <t>69890-1</t>
  </si>
  <si>
    <t>AN737TW114</t>
  </si>
  <si>
    <t>183-1277-490</t>
  </si>
  <si>
    <t>MS20604AD4W3</t>
  </si>
  <si>
    <t>MS20601AD4W4</t>
  </si>
  <si>
    <t>851051-002</t>
  </si>
  <si>
    <t>NAS334CPA6</t>
  </si>
  <si>
    <t>851051-001</t>
  </si>
  <si>
    <t>BMS13-48T10C01G022</t>
  </si>
  <si>
    <t>187FT</t>
  </si>
  <si>
    <t>CR3553-6-5</t>
  </si>
  <si>
    <t>2501123-1</t>
  </si>
  <si>
    <t>2614021-42</t>
  </si>
  <si>
    <t>2617015-24</t>
  </si>
  <si>
    <t>HINGE DOOR</t>
  </si>
  <si>
    <t>65C20471-6</t>
  </si>
  <si>
    <t>S3952-5</t>
  </si>
  <si>
    <t>5922640-72</t>
  </si>
  <si>
    <t>S1241-34</t>
  </si>
  <si>
    <t>CONTROL</t>
  </si>
  <si>
    <t>AE725030-1</t>
  </si>
  <si>
    <t>90-000910-350-2</t>
  </si>
  <si>
    <t>ARM TABLE</t>
  </si>
  <si>
    <t>6006081-2</t>
  </si>
  <si>
    <t>RO 38100</t>
  </si>
  <si>
    <t>70408-2  SN:877909</t>
  </si>
  <si>
    <t>M83248-1-158</t>
  </si>
  <si>
    <t>ASN-A2373JA10</t>
  </si>
  <si>
    <t>140N2023-1</t>
  </si>
  <si>
    <t>SUMP ASSY</t>
  </si>
  <si>
    <t>S3457-1</t>
  </si>
  <si>
    <t>NSA8206-430</t>
  </si>
  <si>
    <t>9365M41P182</t>
  </si>
  <si>
    <t>180849-2</t>
  </si>
  <si>
    <t>COALERS</t>
  </si>
  <si>
    <t>AE3663163E0230 OR 	          124J002-4CR-0230</t>
  </si>
  <si>
    <t>CA00035-02</t>
  </si>
  <si>
    <t>HIDROLOCK</t>
  </si>
  <si>
    <t>580530   SN: A6974</t>
  </si>
  <si>
    <t>TUBE ASSY</t>
  </si>
  <si>
    <t>90-000910-350-1</t>
  </si>
  <si>
    <t>1379055H406</t>
  </si>
  <si>
    <t>PIPE FIRE</t>
  </si>
  <si>
    <t>5581-10</t>
  </si>
  <si>
    <t>081-00500</t>
  </si>
  <si>
    <t>BLEEDER SEAT</t>
  </si>
  <si>
    <t>65-37945-36</t>
  </si>
  <si>
    <t>CLE-088-00100</t>
  </si>
  <si>
    <t>ST3367-009WE</t>
  </si>
  <si>
    <t>NSA8203-132</t>
  </si>
  <si>
    <t>12300  SN: 1096</t>
  </si>
  <si>
    <t>CAGE/HOUSING</t>
  </si>
  <si>
    <t>ASNA2358T3-9</t>
  </si>
  <si>
    <t>A20265</t>
  </si>
  <si>
    <t>BACB30VF4K4</t>
  </si>
  <si>
    <t>ASNA2358T3-4</t>
  </si>
  <si>
    <t>NAS1133V3</t>
  </si>
  <si>
    <t>C100-016110</t>
  </si>
  <si>
    <t>3912558-1</t>
  </si>
  <si>
    <t xml:space="preserve">UNDERWATER LOCTOR </t>
  </si>
  <si>
    <t>1N 3-5A</t>
  </si>
  <si>
    <t>1.300.00</t>
  </si>
  <si>
    <t>050-03621-0000</t>
  </si>
  <si>
    <t>071-01591-0001</t>
  </si>
  <si>
    <t xml:space="preserve">ANTENA </t>
  </si>
  <si>
    <t>071-01174-0000</t>
  </si>
  <si>
    <t>10-60754-15</t>
  </si>
  <si>
    <t>10-60754-16</t>
  </si>
  <si>
    <t>4FT</t>
  </si>
  <si>
    <t>42 VENCIDOS</t>
  </si>
  <si>
    <t>AS3578-120</t>
  </si>
  <si>
    <t>AS3578-020</t>
  </si>
  <si>
    <t>S9413-128</t>
  </si>
  <si>
    <t>050-03318-0000</t>
  </si>
  <si>
    <t>KIT INSTALATION</t>
  </si>
  <si>
    <t>PEN PN: 155-06019-0000</t>
  </si>
  <si>
    <t>NAS1611-110</t>
  </si>
  <si>
    <t>030-00134-0001</t>
  </si>
  <si>
    <t>MISMA BOLSA</t>
  </si>
  <si>
    <t>047-10735-0002</t>
  </si>
  <si>
    <t>ANT DBLR</t>
  </si>
  <si>
    <t>089-05909-0012</t>
  </si>
  <si>
    <t>SCREW PHP</t>
  </si>
  <si>
    <t>187-01831-0000</t>
  </si>
  <si>
    <t>113N1007-19</t>
  </si>
  <si>
    <t>61423-844342D</t>
  </si>
  <si>
    <t>1N 3-5B</t>
  </si>
  <si>
    <t>2612035-1</t>
  </si>
  <si>
    <t>TIE DOWN</t>
  </si>
  <si>
    <t>2614021-16</t>
  </si>
  <si>
    <t>2614026-40</t>
  </si>
  <si>
    <t>2622277-2</t>
  </si>
  <si>
    <t>RIB ASSY</t>
  </si>
  <si>
    <t>2643097-1</t>
  </si>
  <si>
    <t>214N2109-102</t>
  </si>
  <si>
    <t xml:space="preserve">DUCT ASSEMBLY </t>
  </si>
  <si>
    <t>NST-20</t>
  </si>
  <si>
    <t>BLACK SILICON ROLL</t>
  </si>
  <si>
    <t>071-1591-0001</t>
  </si>
  <si>
    <t>ANTENA KAGO</t>
  </si>
  <si>
    <t>DK120</t>
  </si>
  <si>
    <t>NAS337CPA10</t>
  </si>
  <si>
    <t>434-674-1031-2082</t>
  </si>
  <si>
    <t>2695004-2</t>
  </si>
  <si>
    <t>3927055-503G</t>
  </si>
  <si>
    <t>MS29513-248</t>
  </si>
  <si>
    <t>F39326-4</t>
  </si>
  <si>
    <t>M81714-5-3</t>
  </si>
  <si>
    <t>SR09530284-7</t>
  </si>
  <si>
    <t>AE713797-015</t>
  </si>
  <si>
    <t>15284  SN:250696-480/050399-498</t>
  </si>
  <si>
    <t>COOPLING</t>
  </si>
  <si>
    <t>BAFFLE, GREASE</t>
  </si>
  <si>
    <t>AWE7450-501</t>
  </si>
  <si>
    <t>CABLE ASSY</t>
  </si>
  <si>
    <t>75-000500-200-2</t>
  </si>
  <si>
    <t>LINK RH</t>
  </si>
  <si>
    <t>16005-025</t>
  </si>
  <si>
    <t>AWJ7316-501</t>
  </si>
  <si>
    <t>M83248/1-150</t>
  </si>
  <si>
    <t>RD-AX4312</t>
  </si>
  <si>
    <t>SEAT SN:223466</t>
  </si>
  <si>
    <t>SEAT SN: 220970</t>
  </si>
  <si>
    <t>00-30-006</t>
  </si>
  <si>
    <t>THERMOCOUPPLE</t>
  </si>
  <si>
    <t>2511166-1</t>
  </si>
  <si>
    <t>2601268-1</t>
  </si>
  <si>
    <t>2617001-1</t>
  </si>
  <si>
    <t>2617015-19</t>
  </si>
  <si>
    <t>2654018-62</t>
  </si>
  <si>
    <t>2654029-10</t>
  </si>
  <si>
    <t>ROD END</t>
  </si>
  <si>
    <t>2662005-7</t>
  </si>
  <si>
    <t>3044777-01</t>
  </si>
  <si>
    <t>33410LH90-5</t>
  </si>
  <si>
    <t>NAS1252-5161H</t>
  </si>
  <si>
    <t>NAS43DD10-2FC</t>
  </si>
  <si>
    <t>S9413-012</t>
  </si>
  <si>
    <t>2613162-5</t>
  </si>
  <si>
    <t>NAS43DD5-6FC</t>
  </si>
  <si>
    <t>NAS43DD5-18FC</t>
  </si>
  <si>
    <t>NAS620-10</t>
  </si>
  <si>
    <t>CR3552-6-12</t>
  </si>
  <si>
    <t>40545-8B</t>
  </si>
  <si>
    <t>NAS43DD3-16FC</t>
  </si>
  <si>
    <t>S1026614-015</t>
  </si>
  <si>
    <t>AN122583</t>
  </si>
  <si>
    <t>JV-20</t>
  </si>
  <si>
    <t>NAS43DD10-16FC</t>
  </si>
  <si>
    <t>141N6186-1</t>
  </si>
  <si>
    <t>LEVER</t>
  </si>
  <si>
    <t>NAS624-10</t>
  </si>
  <si>
    <t>BACN11AG4</t>
  </si>
  <si>
    <t>AN833-4C</t>
  </si>
  <si>
    <t>ASNA2001V3-10</t>
  </si>
  <si>
    <t>MS14155-5</t>
  </si>
  <si>
    <t>MS35214-40</t>
  </si>
  <si>
    <t>NAS1080P10</t>
  </si>
  <si>
    <t>HPD9-40539-1A</t>
  </si>
  <si>
    <t>CELLING PANELS</t>
  </si>
  <si>
    <t>S52376203-20000</t>
  </si>
  <si>
    <t>AS3217-145</t>
  </si>
  <si>
    <t>ASNA2001V3-9</t>
  </si>
  <si>
    <t>TR-RG6</t>
  </si>
  <si>
    <t>NSA5527-03-08</t>
  </si>
  <si>
    <t>0108163-1</t>
  </si>
  <si>
    <t>REEL</t>
  </si>
  <si>
    <t>1000P</t>
  </si>
  <si>
    <t>PAPER PROBE</t>
  </si>
  <si>
    <t>S2541037120000</t>
  </si>
  <si>
    <t>105-00200</t>
  </si>
  <si>
    <t>0460216-2</t>
  </si>
  <si>
    <t>ASNA2001V4-5</t>
  </si>
  <si>
    <t>NAS43HT5-20</t>
  </si>
  <si>
    <t>047-4570-00</t>
  </si>
  <si>
    <t>65-29966-6</t>
  </si>
  <si>
    <t>HOOK</t>
  </si>
  <si>
    <t>68-450</t>
  </si>
  <si>
    <t>031-00428-0000</t>
  </si>
  <si>
    <t>REB3N3</t>
  </si>
  <si>
    <t>ASNA2001V3-7</t>
  </si>
  <si>
    <t>NAS1080-06</t>
  </si>
  <si>
    <t>NAS43DD10-4FC</t>
  </si>
  <si>
    <t>NAS336CPA14-5</t>
  </si>
  <si>
    <t>NAS514P1032-12</t>
  </si>
  <si>
    <t>NAS1102V3-6</t>
  </si>
  <si>
    <t>TR752-03</t>
  </si>
  <si>
    <t>NAS1100-3-5</t>
  </si>
  <si>
    <t>ASNA2001V3-6</t>
  </si>
  <si>
    <t>S1641-9</t>
  </si>
  <si>
    <t>S900T12C</t>
  </si>
  <si>
    <t>NAS1100-3-10</t>
  </si>
  <si>
    <t>TSO ASSY</t>
  </si>
  <si>
    <t>ASNA2001V3-5</t>
  </si>
  <si>
    <t>48231613A0568ES</t>
  </si>
  <si>
    <t>LIFT HANDLE</t>
  </si>
  <si>
    <t>CCA-7450</t>
  </si>
  <si>
    <t>NAS6704AD15</t>
  </si>
  <si>
    <t>BACB30NF4</t>
  </si>
  <si>
    <t>CAU-B5121</t>
  </si>
  <si>
    <t>BRUSH BLACK</t>
  </si>
  <si>
    <t>95-002900-010-1</t>
  </si>
  <si>
    <t>END</t>
  </si>
  <si>
    <t>CH31566</t>
  </si>
  <si>
    <t>CHOMPION</t>
  </si>
  <si>
    <t>AN960KD8L</t>
  </si>
  <si>
    <t>BATTLE GREASE</t>
  </si>
  <si>
    <t>LOT TIE DOWN</t>
  </si>
  <si>
    <t>MS35207-261</t>
  </si>
  <si>
    <t>S4055-1</t>
  </si>
  <si>
    <t>NSA8200-5</t>
  </si>
  <si>
    <t>NAS1195D4EH</t>
  </si>
  <si>
    <t>BACP11J113</t>
  </si>
  <si>
    <t>3A124-0136-1</t>
  </si>
  <si>
    <t>2965417-1</t>
  </si>
  <si>
    <t>171856-7</t>
  </si>
  <si>
    <t>1.000.000</t>
  </si>
  <si>
    <t>DATE  04/11   07/11</t>
  </si>
  <si>
    <t xml:space="preserve">RING SUPPORT </t>
  </si>
  <si>
    <t>AS5174-0606</t>
  </si>
  <si>
    <t>S2775330A8-16</t>
  </si>
  <si>
    <t>LJ76206</t>
  </si>
  <si>
    <t>EDGE</t>
  </si>
  <si>
    <t>0182-0064-1</t>
  </si>
  <si>
    <t>OH KIT</t>
  </si>
  <si>
    <t>NAS1305-17H</t>
  </si>
  <si>
    <t>NAS6206-34D</t>
  </si>
  <si>
    <t>HLT428-6-5</t>
  </si>
  <si>
    <t>LK88108-9</t>
  </si>
  <si>
    <t>1555M41P02</t>
  </si>
  <si>
    <t>EXPANDABLE BOLT</t>
  </si>
  <si>
    <t>MS5988-4-906</t>
  </si>
  <si>
    <t>NAS1255-516H</t>
  </si>
  <si>
    <t>9101M42P01</t>
  </si>
  <si>
    <t>07482-9607M05P36</t>
  </si>
  <si>
    <t xml:space="preserve">CAPACITOR </t>
  </si>
  <si>
    <t>9055M41P01</t>
  </si>
  <si>
    <t xml:space="preserve">BRACKET TUBE </t>
  </si>
  <si>
    <t>6F0862</t>
  </si>
  <si>
    <t>SLEAVE</t>
  </si>
  <si>
    <t>BAC1521-671</t>
  </si>
  <si>
    <t>NAS1398B6-6</t>
  </si>
  <si>
    <t>280N3341-107W</t>
  </si>
  <si>
    <t>2926922-501</t>
  </si>
  <si>
    <t>2S2542</t>
  </si>
  <si>
    <t>TERMINAL JUNCTION</t>
  </si>
  <si>
    <t>NAS14P1032-12</t>
  </si>
  <si>
    <t>3171784-1</t>
  </si>
  <si>
    <t>251N2582-3</t>
  </si>
  <si>
    <t>NUT RING</t>
  </si>
  <si>
    <t>3609480-11  SN: P651C</t>
  </si>
  <si>
    <t>ASNA2001V3-4</t>
  </si>
  <si>
    <t>NAS1252-516H</t>
  </si>
  <si>
    <t>EACH</t>
  </si>
  <si>
    <t>COVER ASSY</t>
  </si>
  <si>
    <t xml:space="preserve">AR1417-6 </t>
  </si>
  <si>
    <t>NAS43DD5-19PC</t>
  </si>
  <si>
    <t>1101412-01</t>
  </si>
  <si>
    <t>CROTCH STRAP</t>
  </si>
  <si>
    <t>920007005000*</t>
  </si>
  <si>
    <t>ARM CAP</t>
  </si>
  <si>
    <t>1A081-0163-22A</t>
  </si>
  <si>
    <t>1A081-0183-21A</t>
  </si>
  <si>
    <t>46-0549-1</t>
  </si>
  <si>
    <t>7080200-3  SN : 010059</t>
  </si>
  <si>
    <t>LAMP DIMMER</t>
  </si>
  <si>
    <t>58657-0148 or 9274-7813 SN: 7813</t>
  </si>
  <si>
    <t>AWJ7000-507</t>
  </si>
  <si>
    <t>MS24665-363</t>
  </si>
  <si>
    <t>58657-9750 OR HD-A3F-011 SN: 01031</t>
  </si>
  <si>
    <t>899981-1</t>
  </si>
  <si>
    <t>ATOMIZER</t>
  </si>
  <si>
    <t>P39-401</t>
  </si>
  <si>
    <t>4958684-501</t>
  </si>
  <si>
    <t>SUPPORT, LOWER</t>
  </si>
  <si>
    <t>MS28740-4</t>
  </si>
  <si>
    <t>BACB10AF5F8HS</t>
  </si>
  <si>
    <t>146N8748U18</t>
  </si>
  <si>
    <t>TEE CLIP</t>
  </si>
  <si>
    <t>9714-1</t>
  </si>
  <si>
    <t>DREMG</t>
  </si>
  <si>
    <t>BACC30BH6</t>
  </si>
  <si>
    <t>BACT12AR203</t>
  </si>
  <si>
    <t>NAS1203-23</t>
  </si>
  <si>
    <t>BACB30NX6K3X</t>
  </si>
  <si>
    <t>BACB30NX8K4X</t>
  </si>
  <si>
    <t>3A084-0281-1</t>
  </si>
  <si>
    <t>M83248-1-010</t>
  </si>
  <si>
    <t>BACB30NX8K3X</t>
  </si>
  <si>
    <t>1N 3-6A</t>
  </si>
  <si>
    <t>M83248-1-214</t>
  </si>
  <si>
    <t>15-0133-1</t>
  </si>
  <si>
    <t xml:space="preserve">GRIME </t>
  </si>
  <si>
    <t>NO APTO PARA VENTA</t>
  </si>
  <si>
    <t>654T0035-6</t>
  </si>
  <si>
    <t>S1026614-3-015</t>
  </si>
  <si>
    <t>CHERRY MAX</t>
  </si>
  <si>
    <t>NSA1195D4EH</t>
  </si>
  <si>
    <t>2013-1A</t>
  </si>
  <si>
    <t>BMS13-48T10C1G022</t>
  </si>
  <si>
    <t>BACB30NX4K3X</t>
  </si>
  <si>
    <t>NAS1611-012A</t>
  </si>
  <si>
    <t>SHOULDER BOLT</t>
  </si>
  <si>
    <t>NAS1611-333A</t>
  </si>
  <si>
    <t>M83248-1-135</t>
  </si>
  <si>
    <t>X11291</t>
  </si>
  <si>
    <t xml:space="preserve">1N 3-6A </t>
  </si>
  <si>
    <t>.2612262.</t>
  </si>
  <si>
    <t xml:space="preserve">INSULATOR </t>
  </si>
  <si>
    <t>.9334.</t>
  </si>
  <si>
    <t xml:space="preserve"> 3001436-1  ALT.7513983. </t>
  </si>
  <si>
    <t>ROLLER</t>
  </si>
  <si>
    <t>1N 3-6B</t>
  </si>
  <si>
    <t>217384-1</t>
  </si>
  <si>
    <t xml:space="preserve">MINIATURE LAMPS </t>
  </si>
  <si>
    <t>CN0940-131</t>
  </si>
  <si>
    <t xml:space="preserve">SWITCH </t>
  </si>
  <si>
    <t>110-3-8</t>
  </si>
  <si>
    <t>AWJ7244-1</t>
  </si>
  <si>
    <t>STOP</t>
  </si>
  <si>
    <t>B5121</t>
  </si>
  <si>
    <t>BREARING ASSY</t>
  </si>
  <si>
    <t>AH088724</t>
  </si>
  <si>
    <t>PLUG ASSY</t>
  </si>
  <si>
    <t>S8990-118</t>
  </si>
  <si>
    <t>NAS514P1032-7</t>
  </si>
  <si>
    <t>NAS514P1032-5</t>
  </si>
  <si>
    <t>5915112-47</t>
  </si>
  <si>
    <t>NAS43HT5-26</t>
  </si>
  <si>
    <t>MS21250-06022</t>
  </si>
  <si>
    <t>KP27155</t>
  </si>
  <si>
    <t>MS27039-0808</t>
  </si>
  <si>
    <t>MAX RIVET</t>
  </si>
  <si>
    <t>CR3222-6-6</t>
  </si>
  <si>
    <t>687-25 OR 16885-1</t>
  </si>
  <si>
    <t>MS9556-09</t>
  </si>
  <si>
    <t>HT239PB5-15D</t>
  </si>
  <si>
    <t>NAS335CPA10</t>
  </si>
  <si>
    <t>291F01165-003</t>
  </si>
  <si>
    <t xml:space="preserve">FILTER BASKET </t>
  </si>
  <si>
    <t>S3429-2A</t>
  </si>
  <si>
    <t>ARB7099-1</t>
  </si>
  <si>
    <t>NAS43HT6-31</t>
  </si>
  <si>
    <t>MS20002-18</t>
  </si>
  <si>
    <t>1142910-1</t>
  </si>
  <si>
    <t>B14056-910</t>
  </si>
  <si>
    <t>NAS623-3-13</t>
  </si>
  <si>
    <t>POWER UNIT</t>
  </si>
  <si>
    <t>LJ70346-5</t>
  </si>
  <si>
    <t>S2210370P4-028</t>
  </si>
  <si>
    <t>4914411-1</t>
  </si>
  <si>
    <t>B6090-9</t>
  </si>
  <si>
    <t>NAS600-6P</t>
  </si>
  <si>
    <t>285N0078-18</t>
  </si>
  <si>
    <t xml:space="preserve">PC-ASSY MONITOR </t>
  </si>
  <si>
    <t>743A1FT160A</t>
  </si>
  <si>
    <t>7433FTP3</t>
  </si>
  <si>
    <t>01107001*</t>
  </si>
  <si>
    <t>PULL CW</t>
  </si>
  <si>
    <t>9066M93P01</t>
  </si>
  <si>
    <t>82-35-302-15</t>
  </si>
  <si>
    <t>MS20392-2C17</t>
  </si>
  <si>
    <t>A6912-832-502</t>
  </si>
  <si>
    <t>BACR11AW3A</t>
  </si>
  <si>
    <t>RECEPTACLE</t>
  </si>
  <si>
    <t>ARG7298-501</t>
  </si>
  <si>
    <t>NAS1149C0332R</t>
  </si>
  <si>
    <t>3D0161-3-3</t>
  </si>
  <si>
    <t xml:space="preserve">654T0035-5AM </t>
  </si>
  <si>
    <t>NAS1611-223</t>
  </si>
  <si>
    <t>VENCIDOS 5</t>
  </si>
  <si>
    <t>1N 3-7A</t>
  </si>
  <si>
    <t>1B7787KT</t>
  </si>
  <si>
    <t>BELLCRANK</t>
  </si>
  <si>
    <t>NAS1611-213</t>
  </si>
  <si>
    <t>63B10463-20</t>
  </si>
  <si>
    <t>NAS1612-4A</t>
  </si>
  <si>
    <t>65-33298-2</t>
  </si>
  <si>
    <t>NET</t>
  </si>
  <si>
    <t>BAC1521-686</t>
  </si>
  <si>
    <t>3000-46-2</t>
  </si>
  <si>
    <t>1N 3-7B</t>
  </si>
  <si>
    <t>315N5002-4</t>
  </si>
  <si>
    <t>101-0238A</t>
  </si>
  <si>
    <t>EWSB22-4A23</t>
  </si>
  <si>
    <t>NAS679A5</t>
  </si>
  <si>
    <t>AS1715-8</t>
  </si>
  <si>
    <t>NAS42DD8-108FC</t>
  </si>
  <si>
    <t>50014A43-6-0150</t>
  </si>
  <si>
    <t>HYDROFLOW</t>
  </si>
  <si>
    <t>SK12929-157</t>
  </si>
  <si>
    <t>CHAIN</t>
  </si>
  <si>
    <t>114N4081-7</t>
  </si>
  <si>
    <t>AN820-5</t>
  </si>
  <si>
    <t>8102-0401AEC</t>
  </si>
  <si>
    <t>69-29513-12</t>
  </si>
  <si>
    <t>BACT12AV011</t>
  </si>
  <si>
    <t>HLT629-6-3</t>
  </si>
  <si>
    <t>HLT PIN</t>
  </si>
  <si>
    <t>MS20002-8</t>
  </si>
  <si>
    <t>CM382AS10</t>
  </si>
  <si>
    <t>S700B0116-4D014WD</t>
  </si>
  <si>
    <t>69-47980-1</t>
  </si>
  <si>
    <t>1A124-0120-23</t>
  </si>
  <si>
    <t>COVER HINGE</t>
  </si>
  <si>
    <t>038057-0040</t>
  </si>
  <si>
    <t>ARC2554-501</t>
  </si>
  <si>
    <t>28S10-2</t>
  </si>
  <si>
    <t>BACC10GT3-20</t>
  </si>
  <si>
    <t>M81714-5-7</t>
  </si>
  <si>
    <t>TRACK</t>
  </si>
  <si>
    <t>NAS6703U2</t>
  </si>
  <si>
    <t>NAS1105-22D</t>
  </si>
  <si>
    <t>NAS1104-31</t>
  </si>
  <si>
    <t>NAS6703-5</t>
  </si>
  <si>
    <t>NAS514P832-5</t>
  </si>
  <si>
    <t>BACC10DP300BE</t>
  </si>
  <si>
    <t>3-904S383-70</t>
  </si>
  <si>
    <t xml:space="preserve">ELEMENT ASSY </t>
  </si>
  <si>
    <t>10-3365-3</t>
  </si>
  <si>
    <t>10-61454-1</t>
  </si>
  <si>
    <t>NAS1149F0632P</t>
  </si>
  <si>
    <t>BM17030-5-10A</t>
  </si>
  <si>
    <t>MS21250-06014</t>
  </si>
  <si>
    <t>NAS1297-4-28</t>
  </si>
  <si>
    <t>AN507-83R16</t>
  </si>
  <si>
    <t>MS35206-243</t>
  </si>
  <si>
    <t>NAS1104-160</t>
  </si>
  <si>
    <t>EWSB22-4A20</t>
  </si>
  <si>
    <t>69-27191-2</t>
  </si>
  <si>
    <t>232N4312-4</t>
  </si>
  <si>
    <t>05-21018-8</t>
  </si>
  <si>
    <t>STEEL BEAM</t>
  </si>
  <si>
    <t>9500-001-2</t>
  </si>
  <si>
    <t>S9412-014</t>
  </si>
  <si>
    <t>9066M95P01</t>
  </si>
  <si>
    <t>088-00100</t>
  </si>
  <si>
    <t>A1-18-1030</t>
  </si>
  <si>
    <t xml:space="preserve">SHIELD </t>
  </si>
  <si>
    <t>MS28774-023</t>
  </si>
  <si>
    <t>LK88110-504</t>
  </si>
  <si>
    <t>NAS6405U4</t>
  </si>
  <si>
    <t>10-60545-203S</t>
  </si>
  <si>
    <t>69-65746-2</t>
  </si>
  <si>
    <t>10-60754-10</t>
  </si>
  <si>
    <t>2A123-0037-23</t>
  </si>
  <si>
    <t>2A123-0037-13</t>
  </si>
  <si>
    <t>MS20002-14</t>
  </si>
  <si>
    <t>4709532-4-5</t>
  </si>
  <si>
    <t>11-4410-1</t>
  </si>
  <si>
    <t xml:space="preserve">FLOOD LIGHT ASSY </t>
  </si>
  <si>
    <t>4801542-1</t>
  </si>
  <si>
    <t>10-61899-10</t>
  </si>
  <si>
    <t>3D0042-14</t>
  </si>
  <si>
    <t>4177-0169-212</t>
  </si>
  <si>
    <t>FUEL STICK</t>
  </si>
  <si>
    <t>S9412-013</t>
  </si>
  <si>
    <r>
      <rPr>
        <b/>
        <sz val="11"/>
        <color theme="1"/>
        <rFont val="Calibri"/>
        <family val="2"/>
        <scheme val="minor"/>
      </rPr>
      <t xml:space="preserve">SLR414C12  </t>
    </r>
    <r>
      <rPr>
        <sz val="11"/>
        <color theme="1"/>
        <rFont val="Calibri"/>
        <family val="2"/>
        <scheme val="minor"/>
      </rPr>
      <t>ALT: 9155-12RET</t>
    </r>
  </si>
  <si>
    <t>RETARINER</t>
  </si>
  <si>
    <r>
      <t>SLR414C12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ALT: </t>
    </r>
    <r>
      <rPr>
        <b/>
        <sz val="11"/>
        <color theme="1"/>
        <rFont val="Calibri"/>
        <family val="2"/>
        <scheme val="minor"/>
      </rPr>
      <t>9155-12RET</t>
    </r>
  </si>
  <si>
    <t>M25988-2-906</t>
  </si>
  <si>
    <t>R071022A19N000</t>
  </si>
  <si>
    <t xml:space="preserve"> CONNECTOR</t>
  </si>
  <si>
    <t>MS35207-260</t>
  </si>
  <si>
    <t>BACR13CG2A/K-D4A-017</t>
  </si>
  <si>
    <t>BACC63BP16A10SN</t>
  </si>
  <si>
    <t>S8990-266</t>
  </si>
  <si>
    <t>BACB30LH3-4</t>
  </si>
  <si>
    <t>A4174-24-1</t>
  </si>
  <si>
    <t>AN960D416</t>
  </si>
  <si>
    <t>NAS1611-217</t>
  </si>
  <si>
    <t>BACC10GU105</t>
  </si>
  <si>
    <t>VENCIDOS 7</t>
  </si>
  <si>
    <t>AS3209-116</t>
  </si>
  <si>
    <t>7600008-101</t>
  </si>
  <si>
    <t>AIR FILTER</t>
  </si>
  <si>
    <t>1N 4-1A</t>
  </si>
  <si>
    <t>-</t>
  </si>
  <si>
    <t>AB0473993</t>
  </si>
  <si>
    <t>7600003-101</t>
  </si>
  <si>
    <t>300078-3</t>
  </si>
  <si>
    <t>1173T19-1</t>
  </si>
  <si>
    <t>1.900.00</t>
  </si>
  <si>
    <t>M83485-1-145</t>
  </si>
  <si>
    <t>1N 4-2A</t>
  </si>
  <si>
    <t>L812148</t>
  </si>
  <si>
    <t>LM120710</t>
  </si>
  <si>
    <t>2617006-1</t>
  </si>
  <si>
    <t>BAC1530-29-1</t>
  </si>
  <si>
    <t>700569-5</t>
  </si>
  <si>
    <t>HOSE DUCT</t>
  </si>
  <si>
    <t>AWJ7016-503</t>
  </si>
  <si>
    <t>MS29513-237</t>
  </si>
  <si>
    <t>95-002900-300-1</t>
  </si>
  <si>
    <t>GOGGLES SMOKE</t>
  </si>
  <si>
    <t>65-2013-42</t>
  </si>
  <si>
    <t>SHADE ASSY</t>
  </si>
  <si>
    <t>HPD5-60085-1A</t>
  </si>
  <si>
    <t>LATCH ASSY</t>
  </si>
  <si>
    <t>AS3582-252</t>
  </si>
  <si>
    <t>9910333-1</t>
  </si>
  <si>
    <t xml:space="preserve">	MOUNT</t>
  </si>
  <si>
    <t>9910573-15</t>
  </si>
  <si>
    <t xml:space="preserve">	PARTITION</t>
  </si>
  <si>
    <t>MS9386-281</t>
  </si>
  <si>
    <t>95-002900-300-2</t>
  </si>
  <si>
    <t>ARM LH</t>
  </si>
  <si>
    <t>NAS1100-3-14</t>
  </si>
  <si>
    <t xml:space="preserve">	RING RET</t>
  </si>
  <si>
    <t>S52871306-20400</t>
  </si>
  <si>
    <t>HINGES</t>
  </si>
  <si>
    <t>0412007-6</t>
  </si>
  <si>
    <t>CBLE BATT</t>
  </si>
  <si>
    <t>122-30026-02009</t>
  </si>
  <si>
    <t xml:space="preserve">	SHADE, SELF</t>
  </si>
  <si>
    <t>APC30300-1383</t>
  </si>
  <si>
    <t>1400110-2</t>
  </si>
  <si>
    <t xml:space="preserve">	JACK POINT</t>
  </si>
  <si>
    <t>MS21905D6</t>
  </si>
  <si>
    <t>TUB</t>
  </si>
  <si>
    <t>NAS1100-3-4</t>
  </si>
  <si>
    <t>HPD5-40538-5A</t>
  </si>
  <si>
    <t xml:space="preserve">	LENS EMERG LIGHT</t>
  </si>
  <si>
    <t>48245401L056800</t>
  </si>
  <si>
    <t>CONTROL LEVER</t>
  </si>
  <si>
    <t>95-002900-001-0</t>
  </si>
  <si>
    <t xml:space="preserve">	SPRING CLIP</t>
  </si>
  <si>
    <t>5003571-01</t>
  </si>
  <si>
    <t xml:space="preserve">	STAGE III ENGINE</t>
  </si>
  <si>
    <t>ASNA2000V3-4</t>
  </si>
  <si>
    <t>SHD250</t>
  </si>
  <si>
    <t>MS9967-128</t>
  </si>
  <si>
    <t>02-5600-13</t>
  </si>
  <si>
    <t>LK33428</t>
  </si>
  <si>
    <t>61-74479-2001</t>
  </si>
  <si>
    <t>CR3243-4-03</t>
  </si>
  <si>
    <t>61-74479-2002</t>
  </si>
  <si>
    <t>BACB30NZ10K9X</t>
  </si>
  <si>
    <t>149N6002-51</t>
  </si>
  <si>
    <t>SSMB539DDSD629</t>
  </si>
  <si>
    <t>M23053/5-103-4</t>
  </si>
  <si>
    <t>SLEEVE, POLYOLEFIN</t>
  </si>
  <si>
    <t>22 FT</t>
  </si>
  <si>
    <t xml:space="preserve">	65B60033-1</t>
  </si>
  <si>
    <t>PEDAL</t>
  </si>
  <si>
    <t>B49004-7</t>
  </si>
  <si>
    <t xml:space="preserve">THREAD PROTECTOR </t>
  </si>
  <si>
    <t>NAS6204-2</t>
  </si>
  <si>
    <t>M25988-3-230</t>
  </si>
  <si>
    <t>BACP11K7</t>
  </si>
  <si>
    <t>BACB28AK06-045</t>
  </si>
  <si>
    <t>BACB28AK06-037</t>
  </si>
  <si>
    <t>720752-10</t>
  </si>
  <si>
    <t>S3814-1</t>
  </si>
  <si>
    <t>S3814-2</t>
  </si>
  <si>
    <t>S3814-3</t>
  </si>
  <si>
    <t>S3815-1</t>
  </si>
  <si>
    <t>S3815-2</t>
  </si>
  <si>
    <t>S3815-3</t>
  </si>
  <si>
    <t>S3816-1</t>
  </si>
  <si>
    <t>6705153-3</t>
  </si>
  <si>
    <t>2643028-1</t>
  </si>
  <si>
    <t>LOCK RING</t>
  </si>
  <si>
    <t>2643084-1</t>
  </si>
  <si>
    <t xml:space="preserve">	LINK ASSEMBLY</t>
  </si>
  <si>
    <t>284N1016-89</t>
  </si>
  <si>
    <t>FUEL TEST</t>
  </si>
  <si>
    <t>3503405-4</t>
  </si>
  <si>
    <t>OUT PUT</t>
  </si>
  <si>
    <t>2605041-4</t>
  </si>
  <si>
    <t>2613010-14</t>
  </si>
  <si>
    <t xml:space="preserve">	SHAFT</t>
  </si>
  <si>
    <t>1N 4-2B</t>
  </si>
  <si>
    <t>ACA645F25Y4</t>
  </si>
  <si>
    <t>M83248-1-239</t>
  </si>
  <si>
    <t>103-2200</t>
  </si>
  <si>
    <t>M25988/3-230</t>
  </si>
  <si>
    <t>65B60033-1</t>
  </si>
  <si>
    <t>568-907N103-70 or     3-907N103-70</t>
  </si>
  <si>
    <t>BACCB30NN5K20</t>
  </si>
  <si>
    <t>BACC10BU6DF</t>
  </si>
  <si>
    <t>1N4-2B</t>
  </si>
  <si>
    <t>AS568-224</t>
  </si>
  <si>
    <t>AC9780F15Y11</t>
  </si>
  <si>
    <t>M83248/1-010</t>
  </si>
  <si>
    <t>MS28775-128</t>
  </si>
  <si>
    <t>1N4-3A</t>
  </si>
  <si>
    <t>NAS1611-014</t>
  </si>
  <si>
    <t>NAS1611-014A</t>
  </si>
  <si>
    <t>NAS1612-5A</t>
  </si>
  <si>
    <t>NAS1612-10A</t>
  </si>
  <si>
    <t>387*</t>
  </si>
  <si>
    <t>NAS1611-223A</t>
  </si>
  <si>
    <t>NAS1611-212A</t>
  </si>
  <si>
    <t>NAS1613-8A</t>
  </si>
  <si>
    <t>NAS1611-112A</t>
  </si>
  <si>
    <t>NAS1611-111A</t>
  </si>
  <si>
    <t>MS29513-222</t>
  </si>
  <si>
    <t>685*</t>
  </si>
  <si>
    <t>1N4-3B</t>
  </si>
  <si>
    <t>FILTERELEMENT</t>
  </si>
  <si>
    <t>1N4-4A</t>
  </si>
  <si>
    <t>07-3219-3-0016</t>
  </si>
  <si>
    <t>M83248-1-012</t>
  </si>
  <si>
    <t>383248-1-008</t>
  </si>
  <si>
    <t>AS3578-116</t>
  </si>
  <si>
    <t>MS29513-114</t>
  </si>
  <si>
    <t>M83248-111</t>
  </si>
  <si>
    <t>MS29513-333</t>
  </si>
  <si>
    <t>EXPIRED</t>
  </si>
  <si>
    <t xml:space="preserve">BIN DE KITS </t>
  </si>
  <si>
    <t>68-269</t>
  </si>
  <si>
    <t>KIT JULIO</t>
  </si>
  <si>
    <t>TRRG6</t>
  </si>
  <si>
    <t xml:space="preserve">KIT JULIO </t>
  </si>
  <si>
    <t>NUTT</t>
  </si>
  <si>
    <t xml:space="preserve">KITS SPACE </t>
  </si>
  <si>
    <t>S9413-120</t>
  </si>
  <si>
    <t>MS29561-214</t>
  </si>
  <si>
    <t>M83248-1-008</t>
  </si>
  <si>
    <t>NAS1611-114</t>
  </si>
  <si>
    <t>MS29512-04</t>
  </si>
  <si>
    <t>100 % KIT 204050 EXPIRED</t>
  </si>
  <si>
    <t>MS29513-241</t>
  </si>
  <si>
    <t>MS9388-041</t>
  </si>
  <si>
    <t>65-90305-19</t>
  </si>
  <si>
    <t>7593446-419</t>
  </si>
  <si>
    <t>65-90305-28</t>
  </si>
  <si>
    <t>S8171-112WE</t>
  </si>
  <si>
    <t>65-90305-20A</t>
  </si>
  <si>
    <t>6-55060</t>
  </si>
  <si>
    <t>MS20667-3</t>
  </si>
  <si>
    <t>BACC2A3A00829GG</t>
  </si>
  <si>
    <t>MS28783-6</t>
  </si>
  <si>
    <t>BACC2A3A01840DH</t>
  </si>
  <si>
    <t>65-90305-24</t>
  </si>
  <si>
    <t>10-60800-1</t>
  </si>
  <si>
    <t>65-90305-15</t>
  </si>
  <si>
    <t>MS29513-119</t>
  </si>
  <si>
    <t>S8990-018</t>
  </si>
  <si>
    <t>MS29513-390</t>
  </si>
  <si>
    <t>NSA8206-243</t>
  </si>
  <si>
    <t>654T0035-5</t>
  </si>
  <si>
    <t>MS29513-284</t>
  </si>
  <si>
    <t>S8171-112</t>
  </si>
  <si>
    <t>MS29513-389</t>
  </si>
  <si>
    <t>BACC2A3A02367AG</t>
  </si>
  <si>
    <t>MFR-8W928</t>
  </si>
  <si>
    <t>10-61467-1136</t>
  </si>
  <si>
    <t>LT. PLATE</t>
  </si>
  <si>
    <t>65-90305-18</t>
  </si>
  <si>
    <t>1N4-4B</t>
  </si>
  <si>
    <t>65-90305-12</t>
  </si>
  <si>
    <t>7578137-101</t>
  </si>
  <si>
    <t>65-90305-10</t>
  </si>
  <si>
    <t>ADKB5-90305-16</t>
  </si>
  <si>
    <t>10-60592-2</t>
  </si>
  <si>
    <t>10-60569-1</t>
  </si>
  <si>
    <t>ADKB5-90305-25</t>
  </si>
  <si>
    <t>AC7681E1Y2</t>
  </si>
  <si>
    <t>STRAINRY</t>
  </si>
  <si>
    <t>9B-06017-137</t>
  </si>
  <si>
    <t>CONFIGURATION MODULE</t>
  </si>
  <si>
    <t>63-2552</t>
  </si>
  <si>
    <t>MS28782-25</t>
  </si>
  <si>
    <t>NAS1161-228A</t>
  </si>
  <si>
    <t>MS28782-18</t>
  </si>
  <si>
    <t>458-4D27-6</t>
  </si>
  <si>
    <t>65C33095-1</t>
  </si>
  <si>
    <t>1N4-5A</t>
  </si>
  <si>
    <t>65C33161-2</t>
  </si>
  <si>
    <t>65C33095-1WE</t>
  </si>
  <si>
    <t xml:space="preserve"> AC9806F-30</t>
  </si>
  <si>
    <t>65-44303-3</t>
  </si>
  <si>
    <t>NAS1161-242A</t>
  </si>
  <si>
    <t>M83248-1-001</t>
  </si>
  <si>
    <t>NAS1057T1-009</t>
  </si>
  <si>
    <t>BACB30KZ4-23</t>
  </si>
  <si>
    <t>BACB30KZ-31</t>
  </si>
  <si>
    <t>NAS564-23</t>
  </si>
  <si>
    <t>MS9954-03</t>
  </si>
  <si>
    <t>NAS564-37</t>
  </si>
  <si>
    <t>BACB30KZ4-65</t>
  </si>
  <si>
    <t>BACB30NE3-5</t>
  </si>
  <si>
    <t>NAS564-47</t>
  </si>
  <si>
    <t>NAS6604-4</t>
  </si>
  <si>
    <t>BACB30NE4-15</t>
  </si>
  <si>
    <t>BACR15FT5D5C</t>
  </si>
  <si>
    <t>P65-90305-17</t>
  </si>
  <si>
    <t>P65-90305-10</t>
  </si>
  <si>
    <t>7513128-10</t>
  </si>
  <si>
    <t>BACB30KZ4-15</t>
  </si>
  <si>
    <t>MS9513-237</t>
  </si>
  <si>
    <t>AN735D6</t>
  </si>
  <si>
    <t>240098-600</t>
  </si>
  <si>
    <t>P4-01-0021</t>
  </si>
  <si>
    <t>POWER UNIT ASSY</t>
  </si>
  <si>
    <t>NAS1523-34</t>
  </si>
  <si>
    <t>50D678</t>
  </si>
  <si>
    <t>FAIRING</t>
  </si>
  <si>
    <t>65C33161-1</t>
  </si>
  <si>
    <t>1N4-5B</t>
  </si>
  <si>
    <t>6-49783</t>
  </si>
  <si>
    <t>65-90305-9</t>
  </si>
  <si>
    <t>1N5-5A</t>
  </si>
  <si>
    <t>F64399</t>
  </si>
  <si>
    <t>NAS617-8</t>
  </si>
  <si>
    <t>MS29513-224</t>
  </si>
  <si>
    <t>M83248-1-215</t>
  </si>
  <si>
    <t>M83248-1-210</t>
  </si>
  <si>
    <t>BOE2109</t>
  </si>
  <si>
    <t>FLEX DUCT</t>
  </si>
  <si>
    <t>MS29513-239</t>
  </si>
  <si>
    <t>05228-7593446-419</t>
  </si>
  <si>
    <t>MS29513-142</t>
  </si>
  <si>
    <t>MS29512-08</t>
  </si>
  <si>
    <t>DANADO</t>
  </si>
  <si>
    <t>SE DESCARTO</t>
  </si>
  <si>
    <t>MS9386-214</t>
  </si>
  <si>
    <t>AS3578-139</t>
  </si>
  <si>
    <t>MS9021-116</t>
  </si>
  <si>
    <t>MS9021-020</t>
  </si>
  <si>
    <t>AS568-110-V75</t>
  </si>
  <si>
    <t>MS28775-345</t>
  </si>
  <si>
    <t>MS35769-6</t>
  </si>
  <si>
    <t>MS9021-010</t>
  </si>
  <si>
    <t>VL1102HS8-128</t>
  </si>
  <si>
    <t>AN900-8</t>
  </si>
  <si>
    <t>MS29513-218</t>
  </si>
  <si>
    <t>AS3578-016</t>
  </si>
  <si>
    <t>MS29513-227</t>
  </si>
  <si>
    <t>MS28775-446</t>
  </si>
  <si>
    <t>878238-02</t>
  </si>
  <si>
    <t>WIRE CONNECTOR</t>
  </si>
  <si>
    <t>10-3274-18</t>
  </si>
  <si>
    <t>07-3218-3-0005</t>
  </si>
  <si>
    <t>69-66708-32</t>
  </si>
  <si>
    <t>1N5-5B</t>
  </si>
  <si>
    <t>1N5-6A</t>
  </si>
  <si>
    <t>10-61421-4</t>
  </si>
  <si>
    <t>10-61421-2</t>
  </si>
  <si>
    <t>10-60754-21</t>
  </si>
  <si>
    <t>FUEL FILTER</t>
  </si>
  <si>
    <t>69-66708-33</t>
  </si>
  <si>
    <t>66-21108-3</t>
  </si>
  <si>
    <t>P65-90305-38</t>
  </si>
  <si>
    <t>69490D127</t>
  </si>
  <si>
    <t>AN900-6</t>
  </si>
  <si>
    <t>V4019</t>
  </si>
  <si>
    <t>SEAL KIT</t>
  </si>
  <si>
    <t>BACR15BB6AD4</t>
  </si>
  <si>
    <t>S13068-212</t>
  </si>
  <si>
    <t>TEFLON</t>
  </si>
  <si>
    <t>MS28774-212</t>
  </si>
  <si>
    <t>MS28774-218</t>
  </si>
  <si>
    <t>MS9058-20</t>
  </si>
  <si>
    <t>S9413-555WE</t>
  </si>
  <si>
    <t>MS28878-6</t>
  </si>
  <si>
    <t>7429FT-972-P3</t>
  </si>
  <si>
    <t>S11065-3004-5</t>
  </si>
  <si>
    <t>AN6227B59</t>
  </si>
  <si>
    <t>S12766-228</t>
  </si>
  <si>
    <t>NAS1161-216A</t>
  </si>
  <si>
    <t>FLTER KIT</t>
  </si>
  <si>
    <t>P65-90305-21A</t>
  </si>
  <si>
    <t>F71136-23</t>
  </si>
  <si>
    <t>BUSHING, SHEAR</t>
  </si>
  <si>
    <t>AN7DD34A</t>
  </si>
  <si>
    <t>PIN, SHEAR</t>
  </si>
  <si>
    <t>7445FT972P3</t>
  </si>
  <si>
    <t>M89386-266</t>
  </si>
  <si>
    <t xml:space="preserve">GENTHRUST XVII INVENTORY </t>
  </si>
  <si>
    <t>PN</t>
  </si>
  <si>
    <t>SERIAL</t>
  </si>
  <si>
    <t>DESCRIPTION</t>
  </si>
  <si>
    <t>QTY</t>
  </si>
  <si>
    <t>LOCATION</t>
  </si>
  <si>
    <t>TAG DATE</t>
  </si>
  <si>
    <t>TALLER</t>
  </si>
  <si>
    <t>COMMENT</t>
  </si>
  <si>
    <t>8130</t>
  </si>
  <si>
    <t>NSN</t>
  </si>
  <si>
    <t>B6</t>
  </si>
  <si>
    <t>NEW</t>
  </si>
  <si>
    <t>CERTIFICA</t>
  </si>
  <si>
    <t>RETRAINER</t>
  </si>
  <si>
    <t>B5</t>
  </si>
  <si>
    <t>MISSING</t>
  </si>
  <si>
    <t>D13</t>
  </si>
  <si>
    <t>RHEOSTATA MAO LIGHT</t>
  </si>
  <si>
    <t>J15</t>
  </si>
  <si>
    <t>VENDIDO</t>
  </si>
  <si>
    <t>OK</t>
  </si>
  <si>
    <t>K2</t>
  </si>
  <si>
    <t>RHEOSTAT MAP LIGTH</t>
  </si>
  <si>
    <t>D14</t>
  </si>
  <si>
    <t>RP</t>
  </si>
  <si>
    <t>ROVER AEROSPACE</t>
  </si>
  <si>
    <t>01639*</t>
  </si>
  <si>
    <t>ACCUMULATOR</t>
  </si>
  <si>
    <t>1-2-6*</t>
  </si>
  <si>
    <t>OVERHAUL ACCESSORY</t>
  </si>
  <si>
    <t xml:space="preserve">                    </t>
  </si>
  <si>
    <t>01892*</t>
  </si>
  <si>
    <t>2-3-1*</t>
  </si>
  <si>
    <t>234-2</t>
  </si>
  <si>
    <t>01596*</t>
  </si>
  <si>
    <t>2-2-1*</t>
  </si>
  <si>
    <t>IGNITION EXCITER</t>
  </si>
  <si>
    <t>222-3</t>
  </si>
  <si>
    <t>JJA AVIATIONS</t>
  </si>
  <si>
    <t>235-3</t>
  </si>
  <si>
    <t>IGNITION LEAD</t>
  </si>
  <si>
    <t>INSPT</t>
  </si>
  <si>
    <t>FLORIDA AERO SYSTEMS</t>
  </si>
  <si>
    <t>H1914G</t>
  </si>
  <si>
    <t>HAND PUMP</t>
  </si>
  <si>
    <t>F10</t>
  </si>
  <si>
    <t>OH</t>
  </si>
  <si>
    <t>PORT CAP</t>
  </si>
  <si>
    <t>B18</t>
  </si>
  <si>
    <t xml:space="preserve">EGYPT AIR M&amp;E CO </t>
  </si>
  <si>
    <t>SHUTOFF VALVE</t>
  </si>
  <si>
    <t>F13</t>
  </si>
  <si>
    <t>AEROTRONICS AEROSPACE</t>
  </si>
  <si>
    <t>K0262A</t>
  </si>
  <si>
    <t>POWER TRANSFER</t>
  </si>
  <si>
    <t>E24</t>
  </si>
  <si>
    <t>41500A</t>
  </si>
  <si>
    <t>SERVO VALVE</t>
  </si>
  <si>
    <t>B14</t>
  </si>
  <si>
    <t>TEST</t>
  </si>
  <si>
    <t>SOUTHWINGS AVIONICS</t>
  </si>
  <si>
    <t>RAT CONTROL VALVE</t>
  </si>
  <si>
    <t>A-14</t>
  </si>
  <si>
    <t>PRECICION TECH AERO</t>
  </si>
  <si>
    <t>K13</t>
  </si>
  <si>
    <t>ok</t>
  </si>
  <si>
    <t xml:space="preserve">                  </t>
  </si>
  <si>
    <t>0A2210735</t>
  </si>
  <si>
    <t>NO</t>
  </si>
  <si>
    <t>HH15</t>
  </si>
  <si>
    <t>HYDRAULIC PUMP</t>
  </si>
  <si>
    <t>B26</t>
  </si>
  <si>
    <t>01866*</t>
  </si>
  <si>
    <t>234-4</t>
  </si>
  <si>
    <t>1924A</t>
  </si>
  <si>
    <t>SELECTOR VALVE</t>
  </si>
  <si>
    <t>WH</t>
  </si>
  <si>
    <t>MX-315252</t>
  </si>
  <si>
    <t>HYD PUMP</t>
  </si>
  <si>
    <t>223-4</t>
  </si>
  <si>
    <t>WORLD INOVATION</t>
  </si>
  <si>
    <t>118-4974</t>
  </si>
  <si>
    <t>C20</t>
  </si>
  <si>
    <t>MX-547216</t>
  </si>
  <si>
    <t>HYDRAULIC MOTOR</t>
  </si>
  <si>
    <t>HH10</t>
  </si>
  <si>
    <t>MX615335</t>
  </si>
  <si>
    <t>C5</t>
  </si>
  <si>
    <t>FAN AXIAL FLOW</t>
  </si>
  <si>
    <t>I17</t>
  </si>
  <si>
    <t>MX-510149</t>
  </si>
  <si>
    <t>ACMP</t>
  </si>
  <si>
    <t>1-1-1*</t>
  </si>
  <si>
    <t>STROBE LIGHT</t>
  </si>
  <si>
    <t>C17</t>
  </si>
  <si>
    <t>NOBEL AEROSPACE</t>
  </si>
  <si>
    <t>IDG PLUG FLANGE</t>
  </si>
  <si>
    <t>B12</t>
  </si>
  <si>
    <t>AEROSPCAE SUPPORT</t>
  </si>
  <si>
    <t>AA2</t>
  </si>
  <si>
    <t>223-2</t>
  </si>
  <si>
    <t>0896*</t>
  </si>
  <si>
    <t>F19</t>
  </si>
  <si>
    <t>M9</t>
  </si>
  <si>
    <t>MX-557809</t>
  </si>
  <si>
    <t>PUMP HYDRALIC</t>
  </si>
  <si>
    <t>U4</t>
  </si>
  <si>
    <t>MX598717</t>
  </si>
  <si>
    <t>U6</t>
  </si>
  <si>
    <t>0929*</t>
  </si>
  <si>
    <t>K8</t>
  </si>
  <si>
    <t>E23</t>
  </si>
  <si>
    <t>A0495</t>
  </si>
  <si>
    <t>CDS</t>
  </si>
  <si>
    <t>430H</t>
  </si>
  <si>
    <t>STARTER VALVE</t>
  </si>
  <si>
    <t>HH7</t>
  </si>
  <si>
    <t>FAN</t>
  </si>
  <si>
    <t>M10</t>
  </si>
  <si>
    <t>MX-476995</t>
  </si>
  <si>
    <t>HYDR PUMP</t>
  </si>
  <si>
    <t>1-2-1*</t>
  </si>
  <si>
    <t>OA1455</t>
  </si>
  <si>
    <t>MCDU</t>
  </si>
  <si>
    <t>T13</t>
  </si>
  <si>
    <t>0271*</t>
  </si>
  <si>
    <t>SCREW ASSEMBLIES</t>
  </si>
  <si>
    <t>T15</t>
  </si>
  <si>
    <t>X-657970</t>
  </si>
  <si>
    <t>PORTABLE FIRE HALON</t>
  </si>
  <si>
    <t>FIRE-TEC AERO SYSTEMS</t>
  </si>
  <si>
    <t>03461*</t>
  </si>
  <si>
    <t>DETECTOR</t>
  </si>
  <si>
    <t>E20</t>
  </si>
  <si>
    <t>ROSEMOUNT AEROSPACE</t>
  </si>
  <si>
    <t>RA26560</t>
  </si>
  <si>
    <t>TIRE GAUCE</t>
  </si>
  <si>
    <t>235-4</t>
  </si>
  <si>
    <t>1353H</t>
  </si>
  <si>
    <t>J10</t>
  </si>
  <si>
    <t>0104244-003</t>
  </si>
  <si>
    <t>LOGO LIGHT</t>
  </si>
  <si>
    <t>212-1</t>
  </si>
  <si>
    <t>M6</t>
  </si>
  <si>
    <t>033638*</t>
  </si>
  <si>
    <t>C06190636</t>
  </si>
  <si>
    <t xml:space="preserve">BLOWER </t>
  </si>
  <si>
    <t>B15</t>
  </si>
  <si>
    <t>B13</t>
  </si>
  <si>
    <t>AVAIR LLC</t>
  </si>
  <si>
    <t>AFR727</t>
  </si>
  <si>
    <t>BLOWER</t>
  </si>
  <si>
    <t>HH2</t>
  </si>
  <si>
    <t>AGN981</t>
  </si>
  <si>
    <t>FLAP BALL SCREW</t>
  </si>
  <si>
    <t>T14</t>
  </si>
  <si>
    <t>A03823</t>
  </si>
  <si>
    <t>C &amp; C AEROSYSTEMS LLC</t>
  </si>
  <si>
    <t>ED0419</t>
  </si>
  <si>
    <t>K12</t>
  </si>
  <si>
    <t>MAD105</t>
  </si>
  <si>
    <t>AEJ415</t>
  </si>
  <si>
    <t>1561AK</t>
  </si>
  <si>
    <t>SQUIB</t>
  </si>
  <si>
    <t>R6</t>
  </si>
  <si>
    <t>MEGGITT SAFETY SYSTEMS</t>
  </si>
  <si>
    <t>85089D1</t>
  </si>
  <si>
    <t>FIRE BOTTLE</t>
  </si>
  <si>
    <t>20601D1</t>
  </si>
  <si>
    <t>C24</t>
  </si>
  <si>
    <t>CAJAS FOAM VENDIDO</t>
  </si>
  <si>
    <t>007D4242-301</t>
  </si>
  <si>
    <t>SAFETY NET</t>
  </si>
  <si>
    <t>A-10</t>
  </si>
  <si>
    <t>REPAIRTECH</t>
  </si>
  <si>
    <t>019-012-001</t>
  </si>
  <si>
    <t>RESERVOIR HIDRAULIC</t>
  </si>
  <si>
    <t>B19</t>
  </si>
  <si>
    <t>066-50008-0408</t>
  </si>
  <si>
    <t>RECEIVER TRANSMITTER</t>
  </si>
  <si>
    <t>1-2-2*</t>
  </si>
  <si>
    <t>066-50008-0406</t>
  </si>
  <si>
    <t>RTA4B-20774</t>
  </si>
  <si>
    <t>1-1-2*</t>
  </si>
  <si>
    <t>SUNSHINE AVIONICS</t>
  </si>
  <si>
    <t>066-50029-1101</t>
  </si>
  <si>
    <t>RMA55B-02772</t>
  </si>
  <si>
    <t>MULTI MODERT RCVR</t>
  </si>
  <si>
    <t>1-3-3*</t>
  </si>
  <si>
    <t>A00616</t>
  </si>
  <si>
    <t>BLOWER ASSY</t>
  </si>
  <si>
    <t>ILLUMINAIR SUPPORT</t>
  </si>
  <si>
    <t>071-01503-1501</t>
  </si>
  <si>
    <t>X PONDER PNL</t>
  </si>
  <si>
    <t>146-1</t>
  </si>
  <si>
    <t>AVIATION INSTRUMENT</t>
  </si>
  <si>
    <t>0851FJ-1*</t>
  </si>
  <si>
    <t>PITOT PROBE</t>
  </si>
  <si>
    <t>A-11</t>
  </si>
  <si>
    <t>314689/308692</t>
  </si>
  <si>
    <t>PITOT TUBE</t>
  </si>
  <si>
    <t xml:space="preserve">VENDIDO </t>
  </si>
  <si>
    <t>A00692</t>
  </si>
  <si>
    <t>064-50000-0110</t>
  </si>
  <si>
    <t>RTA-AAD</t>
  </si>
  <si>
    <t>1-2-5*</t>
  </si>
  <si>
    <t>1-002-0102-2089</t>
  </si>
  <si>
    <t>CV001659</t>
  </si>
  <si>
    <t>STATIC INVERTER</t>
  </si>
  <si>
    <t>1-3-5*</t>
  </si>
  <si>
    <t>CV001082</t>
  </si>
  <si>
    <t>1-3-2*</t>
  </si>
  <si>
    <t>DELTA TECHOPS</t>
  </si>
  <si>
    <t>10078-0101</t>
  </si>
  <si>
    <t>873/2556</t>
  </si>
  <si>
    <t>LOAD SELECT IND</t>
  </si>
  <si>
    <t>HH1</t>
  </si>
  <si>
    <t>10080-0201</t>
  </si>
  <si>
    <t>142-4</t>
  </si>
  <si>
    <t>R5</t>
  </si>
  <si>
    <t>102-00000</t>
  </si>
  <si>
    <t>E21</t>
  </si>
  <si>
    <t xml:space="preserve"> VENDIDO</t>
  </si>
  <si>
    <t>066-01127-1101</t>
  </si>
  <si>
    <t>ACT TRANSPONDER</t>
  </si>
  <si>
    <t>1-1-5*</t>
  </si>
  <si>
    <t xml:space="preserve">AERO INSTRUMENTS </t>
  </si>
  <si>
    <t>066-01127-1602</t>
  </si>
  <si>
    <t>MODE S TRANSPONDER</t>
  </si>
  <si>
    <t>1-2-4*</t>
  </si>
  <si>
    <t>CONTINENTAL AIRCRAFT</t>
  </si>
  <si>
    <t>066-50000-2120</t>
  </si>
  <si>
    <t>TCAS PROSSESOR</t>
  </si>
  <si>
    <t>SUNCHINE AVIONICS</t>
  </si>
  <si>
    <t>RMA55B-02742</t>
  </si>
  <si>
    <t>DEFENSE FLIGT AEROSPACE LLC</t>
  </si>
  <si>
    <t>103642-3</t>
  </si>
  <si>
    <t>114-613</t>
  </si>
  <si>
    <t>PRESSURE VALVE</t>
  </si>
  <si>
    <t>I9</t>
  </si>
  <si>
    <t>73-2895</t>
  </si>
  <si>
    <t>VALVE PRESS</t>
  </si>
  <si>
    <t>L2</t>
  </si>
  <si>
    <t>143-2</t>
  </si>
  <si>
    <t>0A090-0649</t>
  </si>
  <si>
    <t>CUSHION SEAT PAN</t>
  </si>
  <si>
    <t>231-1</t>
  </si>
  <si>
    <t>VAUTH AVIATION</t>
  </si>
  <si>
    <t>0L3071BPE</t>
  </si>
  <si>
    <t>LAMP ASSY</t>
  </si>
  <si>
    <t>J6</t>
  </si>
  <si>
    <t>102-00074</t>
  </si>
  <si>
    <t>AA01799</t>
  </si>
  <si>
    <t>TEMP SENSOR</t>
  </si>
  <si>
    <t>1026V0800</t>
  </si>
  <si>
    <t>A-15</t>
  </si>
  <si>
    <t>107474-1</t>
  </si>
  <si>
    <t>PRSOV REGULATOR</t>
  </si>
  <si>
    <t>D16</t>
  </si>
  <si>
    <t>HH9</t>
  </si>
  <si>
    <t>107494-3</t>
  </si>
  <si>
    <t>P-190C</t>
  </si>
  <si>
    <t>10-353875-4</t>
  </si>
  <si>
    <t>225-2</t>
  </si>
  <si>
    <t>37-991</t>
  </si>
  <si>
    <t>PRESSURE RELIEF VALVE</t>
  </si>
  <si>
    <t>224-2</t>
  </si>
  <si>
    <t>10-60498-4</t>
  </si>
  <si>
    <t>86C-705</t>
  </si>
  <si>
    <t>E15</t>
  </si>
  <si>
    <t>AOG REACTION</t>
  </si>
  <si>
    <t>1122027*</t>
  </si>
  <si>
    <t>04916*</t>
  </si>
  <si>
    <t>1151324-1</t>
  </si>
  <si>
    <t>1151324-07217</t>
  </si>
  <si>
    <t>ELT</t>
  </si>
  <si>
    <t>GYRO SPECIALIST</t>
  </si>
  <si>
    <t>1173T11</t>
  </si>
  <si>
    <t>HH6</t>
  </si>
  <si>
    <t>1173T11-1</t>
  </si>
  <si>
    <t>TEMP SWITCH</t>
  </si>
  <si>
    <t>D17</t>
  </si>
  <si>
    <t>D15</t>
  </si>
  <si>
    <t>1173T211</t>
  </si>
  <si>
    <t>SWITCH TEMP</t>
  </si>
  <si>
    <t>J5</t>
  </si>
  <si>
    <t>UNICORP SYSTEMS</t>
  </si>
  <si>
    <t>1173T234</t>
  </si>
  <si>
    <t>1209457-101</t>
  </si>
  <si>
    <t>H-11889</t>
  </si>
  <si>
    <t>HH13</t>
  </si>
  <si>
    <t>10-900-21</t>
  </si>
  <si>
    <t>13UND STATIC DISCHARGE</t>
  </si>
  <si>
    <t>109644-6-1</t>
  </si>
  <si>
    <t>P-855</t>
  </si>
  <si>
    <t>VALVE BUTTERFLY</t>
  </si>
  <si>
    <t>B25</t>
  </si>
  <si>
    <t>P-2925</t>
  </si>
  <si>
    <t>K4</t>
  </si>
  <si>
    <t>129626-5</t>
  </si>
  <si>
    <t>HH19</t>
  </si>
  <si>
    <t>129682-5</t>
  </si>
  <si>
    <t>vendido</t>
  </si>
  <si>
    <t>1151864-1</t>
  </si>
  <si>
    <t>048C-0439</t>
  </si>
  <si>
    <t>PACK TEMP CONTROLLER</t>
  </si>
  <si>
    <t>AOG REACTION INC</t>
  </si>
  <si>
    <t>TERMP SWITCH</t>
  </si>
  <si>
    <t>E8</t>
  </si>
  <si>
    <t>1173T21-1</t>
  </si>
  <si>
    <t>0588*</t>
  </si>
  <si>
    <t>E19</t>
  </si>
  <si>
    <t>FIERO AERO LLC</t>
  </si>
  <si>
    <t>123562-4-1</t>
  </si>
  <si>
    <t>J9</t>
  </si>
  <si>
    <t>123766-2</t>
  </si>
  <si>
    <t>P-1659</t>
  </si>
  <si>
    <t>HH16</t>
  </si>
  <si>
    <t>1546-1-3</t>
  </si>
  <si>
    <t>LAMP DIMMER CONTROL</t>
  </si>
  <si>
    <t>P10</t>
  </si>
  <si>
    <t>INSPT/TEST</t>
  </si>
  <si>
    <t>1546-1-3*</t>
  </si>
  <si>
    <t>DIMMER</t>
  </si>
  <si>
    <t>S6</t>
  </si>
  <si>
    <t>154DB3</t>
  </si>
  <si>
    <t>F20</t>
  </si>
  <si>
    <t>123CH1A</t>
  </si>
  <si>
    <t>C18</t>
  </si>
  <si>
    <t>F17</t>
  </si>
  <si>
    <t>163100-103</t>
  </si>
  <si>
    <t>SERVO ASSY</t>
  </si>
  <si>
    <t>B28</t>
  </si>
  <si>
    <t>130502-6</t>
  </si>
  <si>
    <t>70-727</t>
  </si>
  <si>
    <t>PANEL CONTROL</t>
  </si>
  <si>
    <t>144-1</t>
  </si>
  <si>
    <t>130502-7</t>
  </si>
  <si>
    <t>121-A1043</t>
  </si>
  <si>
    <t>142-3</t>
  </si>
  <si>
    <t>72-A0187</t>
  </si>
  <si>
    <t>143-1</t>
  </si>
  <si>
    <t>CROSS CHECK AVIATION</t>
  </si>
  <si>
    <t>13986-001</t>
  </si>
  <si>
    <t>D8</t>
  </si>
  <si>
    <t>140-025-2</t>
  </si>
  <si>
    <t>W92371</t>
  </si>
  <si>
    <t>TRANSDUCES WHEEL</t>
  </si>
  <si>
    <t>B4</t>
  </si>
  <si>
    <t>016466*</t>
  </si>
  <si>
    <t>TRANSDUCCES WHEEL</t>
  </si>
  <si>
    <t>C19</t>
  </si>
  <si>
    <t>18-1969-17</t>
  </si>
  <si>
    <t>0310B</t>
  </si>
  <si>
    <t>POSITION TRANSMITTER</t>
  </si>
  <si>
    <t>0493B</t>
  </si>
  <si>
    <t>TRANSMITTER</t>
  </si>
  <si>
    <t>E9</t>
  </si>
  <si>
    <t>0551B</t>
  </si>
  <si>
    <t>016448*</t>
  </si>
  <si>
    <t>18-1969-18</t>
  </si>
  <si>
    <t>0658B</t>
  </si>
  <si>
    <t>J11</t>
  </si>
  <si>
    <t>1540600-1</t>
  </si>
  <si>
    <t>PCU</t>
  </si>
  <si>
    <t>U2</t>
  </si>
  <si>
    <t>E26</t>
  </si>
  <si>
    <t>158935-3</t>
  </si>
  <si>
    <t>49-4985</t>
  </si>
  <si>
    <t xml:space="preserve">	OIL TEMP CONTROL VAL</t>
  </si>
  <si>
    <t>E16</t>
  </si>
  <si>
    <t>CIMA AVIATION</t>
  </si>
  <si>
    <t>160500-101</t>
  </si>
  <si>
    <t>BRAKE ASSY</t>
  </si>
  <si>
    <t>163100-104</t>
  </si>
  <si>
    <t>VALVE PITCH CONTROL</t>
  </si>
  <si>
    <t>211-4</t>
  </si>
  <si>
    <t>163200-105</t>
  </si>
  <si>
    <t>ROLLOUT SERVO</t>
  </si>
  <si>
    <t>233-1</t>
  </si>
  <si>
    <t>171F141-4CR-0134</t>
  </si>
  <si>
    <t>KIT ASSY</t>
  </si>
  <si>
    <t>214-3</t>
  </si>
  <si>
    <t>EAGLE AVIATION</t>
  </si>
  <si>
    <t>1800*</t>
  </si>
  <si>
    <t>E12</t>
  </si>
  <si>
    <t>18-1969-14</t>
  </si>
  <si>
    <t>0663A</t>
  </si>
  <si>
    <t>J1</t>
  </si>
  <si>
    <t>1FA14012-6</t>
  </si>
  <si>
    <t>FAH7083</t>
  </si>
  <si>
    <t>K11</t>
  </si>
  <si>
    <t>FAH7072</t>
  </si>
  <si>
    <t>FAH7070</t>
  </si>
  <si>
    <t>K10</t>
  </si>
  <si>
    <t>1FA14013-6</t>
  </si>
  <si>
    <t>FAH1894A-B</t>
  </si>
  <si>
    <t>214-2</t>
  </si>
  <si>
    <t>0854B</t>
  </si>
  <si>
    <t>ICON AEROSPACE</t>
  </si>
  <si>
    <t>0191B</t>
  </si>
  <si>
    <t>BATTERY ASSY</t>
  </si>
  <si>
    <t>141-1</t>
  </si>
  <si>
    <t>AEROTRONICS AEROSPACE ENGINEERING</t>
  </si>
  <si>
    <t>2012-1</t>
  </si>
  <si>
    <t>BATERRY CHARGER</t>
  </si>
  <si>
    <t>C15</t>
  </si>
  <si>
    <t>18-2141-2</t>
  </si>
  <si>
    <t>TRAX PRESS</t>
  </si>
  <si>
    <t>HH12</t>
  </si>
  <si>
    <t>18-2141-3</t>
  </si>
  <si>
    <t>XMTR PRESSURE HYDRI</t>
  </si>
  <si>
    <t>D7</t>
  </si>
  <si>
    <t>1827T100-5</t>
  </si>
  <si>
    <t>ACTUATOR LINEAR</t>
  </si>
  <si>
    <t>B16</t>
  </si>
  <si>
    <t>194278-4</t>
  </si>
  <si>
    <t>103-2697</t>
  </si>
  <si>
    <t>WATER EXTRACTOR</t>
  </si>
  <si>
    <t>2-3-6*</t>
  </si>
  <si>
    <t>MT AERO INC</t>
  </si>
  <si>
    <t>1A044-0259JET</t>
  </si>
  <si>
    <t>COVER BACK</t>
  </si>
  <si>
    <t>1-4-7*</t>
  </si>
  <si>
    <t>JET REPAIR CENTER</t>
  </si>
  <si>
    <t>2022432-4</t>
  </si>
  <si>
    <t>70-3508</t>
  </si>
  <si>
    <t>DOOR ACTUATOR</t>
  </si>
  <si>
    <t>223-1</t>
  </si>
  <si>
    <t>1A3609</t>
  </si>
  <si>
    <t>TURBINE NUT</t>
  </si>
  <si>
    <t>M2</t>
  </si>
  <si>
    <t>WGI INC DBA WESTFIELD</t>
  </si>
  <si>
    <t>2022478-4</t>
  </si>
  <si>
    <t>28-1738</t>
  </si>
  <si>
    <t>MOTOR AC</t>
  </si>
  <si>
    <t>J14</t>
  </si>
  <si>
    <t>88-1806</t>
  </si>
  <si>
    <t>2022478-5</t>
  </si>
  <si>
    <t>74-790</t>
  </si>
  <si>
    <t>AC MOTOR</t>
  </si>
  <si>
    <t>1B6231</t>
  </si>
  <si>
    <t>FAN BLADE</t>
  </si>
  <si>
    <t>1-1-6*</t>
  </si>
  <si>
    <t>INSPT/REP</t>
  </si>
  <si>
    <t>GAS TURBINE INSPECTION</t>
  </si>
  <si>
    <t>BELL CRNK ASSY</t>
  </si>
  <si>
    <t>211-3</t>
  </si>
  <si>
    <t>DELTA AIR LINES</t>
  </si>
  <si>
    <t>204050-11</t>
  </si>
  <si>
    <t>70-3358</t>
  </si>
  <si>
    <t>COOLING TURBINE</t>
  </si>
  <si>
    <t>A-19</t>
  </si>
  <si>
    <t>36-883</t>
  </si>
  <si>
    <t>A-23</t>
  </si>
  <si>
    <t>1B8154-01</t>
  </si>
  <si>
    <t>H1</t>
  </si>
  <si>
    <t>2041167-3706</t>
  </si>
  <si>
    <t>DME INTERROGATOR</t>
  </si>
  <si>
    <t>1-2-3*</t>
  </si>
  <si>
    <t>1FA13050-2</t>
  </si>
  <si>
    <t>HYD POWER PACK</t>
  </si>
  <si>
    <t>HH5</t>
  </si>
  <si>
    <t>62-3876</t>
  </si>
  <si>
    <t>232-2*</t>
  </si>
  <si>
    <t>204950-5-5</t>
  </si>
  <si>
    <t>48-3813</t>
  </si>
  <si>
    <t>ACM MD</t>
  </si>
  <si>
    <t>225-4</t>
  </si>
  <si>
    <t>FAH7071</t>
  </si>
  <si>
    <t>2117342-20</t>
  </si>
  <si>
    <t>13-B0375</t>
  </si>
  <si>
    <t>APCU</t>
  </si>
  <si>
    <t>120-1517</t>
  </si>
  <si>
    <t>CONTRLLR</t>
  </si>
  <si>
    <t>2117388-11</t>
  </si>
  <si>
    <t>66-953</t>
  </si>
  <si>
    <t>CABIN PRESS CONTROLL</t>
  </si>
  <si>
    <t>56-F0174</t>
  </si>
  <si>
    <t>CABIN PRESS CONTROL</t>
  </si>
  <si>
    <t>2117388-6</t>
  </si>
  <si>
    <t>77-1307</t>
  </si>
  <si>
    <t>CONTROLLER</t>
  </si>
  <si>
    <t>40-2068</t>
  </si>
  <si>
    <t>1-3-4*</t>
  </si>
  <si>
    <t>1G390</t>
  </si>
  <si>
    <t>P1</t>
  </si>
  <si>
    <t>19/07/23</t>
  </si>
  <si>
    <t>2117388-8</t>
  </si>
  <si>
    <t>15-A0830</t>
  </si>
  <si>
    <t>1-3-1*</t>
  </si>
  <si>
    <t>204950-6-1</t>
  </si>
  <si>
    <t>875825-11</t>
  </si>
  <si>
    <t>ACM</t>
  </si>
  <si>
    <t>E25</t>
  </si>
  <si>
    <t>20-212-09</t>
  </si>
  <si>
    <t>0933*</t>
  </si>
  <si>
    <t>FUEL INDICATOR</t>
  </si>
  <si>
    <t>141-2</t>
  </si>
  <si>
    <t>TESLA AVIONICS</t>
  </si>
  <si>
    <t>75-5948</t>
  </si>
  <si>
    <t>RAM AIR DOOR ACTUATOR</t>
  </si>
  <si>
    <t>F18</t>
  </si>
  <si>
    <t>18-1720</t>
  </si>
  <si>
    <t>101-3077</t>
  </si>
  <si>
    <t>ALTERNATING CURRENT MOTOR</t>
  </si>
  <si>
    <t>11-2861*</t>
  </si>
  <si>
    <t>2156-204A</t>
  </si>
  <si>
    <t>SMOKE DETECTOR</t>
  </si>
  <si>
    <t>211C223-519</t>
  </si>
  <si>
    <t>D03209A</t>
  </si>
  <si>
    <t>PRESS SWITCH</t>
  </si>
  <si>
    <t>J4</t>
  </si>
  <si>
    <t>2189000-18</t>
  </si>
  <si>
    <t>0348*</t>
  </si>
  <si>
    <t>THRUST REVERSER</t>
  </si>
  <si>
    <t>21FA104</t>
  </si>
  <si>
    <t>2022480-6</t>
  </si>
  <si>
    <t>35-434</t>
  </si>
  <si>
    <t xml:space="preserve">ACTUATOR </t>
  </si>
  <si>
    <t>B21</t>
  </si>
  <si>
    <t>2022480-8</t>
  </si>
  <si>
    <t>106-621</t>
  </si>
  <si>
    <t>OUTFLOW VALVE</t>
  </si>
  <si>
    <t>H9</t>
  </si>
  <si>
    <t>GENERAL MRO AEROSPACE</t>
  </si>
  <si>
    <t>2233000-816-1</t>
  </si>
  <si>
    <t>03073*</t>
  </si>
  <si>
    <t>DFDAU</t>
  </si>
  <si>
    <t>202945-2</t>
  </si>
  <si>
    <t>B11</t>
  </si>
  <si>
    <t>PRESTIGE AERO SERVICES</t>
  </si>
  <si>
    <t>5038W</t>
  </si>
  <si>
    <t>232-3*</t>
  </si>
  <si>
    <t>45-1252</t>
  </si>
  <si>
    <t>232-4</t>
  </si>
  <si>
    <t>114-1392</t>
  </si>
  <si>
    <t>PARTE EN EL TALLER,                          8130 AQUI</t>
  </si>
  <si>
    <t>2041166-5204</t>
  </si>
  <si>
    <t>RADIO ALTIMETER</t>
  </si>
  <si>
    <t>ASI AVIONICS SPECIALIST</t>
  </si>
  <si>
    <t>2041220-0412</t>
  </si>
  <si>
    <t>WEATHER RADAR</t>
  </si>
  <si>
    <t>145-1</t>
  </si>
  <si>
    <t>2041231-3618</t>
  </si>
  <si>
    <t>VOR/MARKER RECEIVER</t>
  </si>
  <si>
    <t>PENTA AVIONICS</t>
  </si>
  <si>
    <t>76-305</t>
  </si>
  <si>
    <t>70-2120</t>
  </si>
  <si>
    <t>211C223-199</t>
  </si>
  <si>
    <t>Q01108B</t>
  </si>
  <si>
    <t>SWITCH PRESSURE</t>
  </si>
  <si>
    <t>J7</t>
  </si>
  <si>
    <t>L00107B</t>
  </si>
  <si>
    <t>211C223-323</t>
  </si>
  <si>
    <t>Q01060C</t>
  </si>
  <si>
    <t>PRESSURE SWITCH</t>
  </si>
  <si>
    <t>211C223-326</t>
  </si>
  <si>
    <t>N01048C</t>
  </si>
  <si>
    <t>HYDRAULIC PRESS SWITCH</t>
  </si>
  <si>
    <t>A-5</t>
  </si>
  <si>
    <t>2610-08-1*</t>
  </si>
  <si>
    <t>DIGITAL CLOCK</t>
  </si>
  <si>
    <t>CL7845</t>
  </si>
  <si>
    <t>CLOCK</t>
  </si>
  <si>
    <t>141-3</t>
  </si>
  <si>
    <t>M01094C</t>
  </si>
  <si>
    <t>2670288-7</t>
  </si>
  <si>
    <t>VALVE ASSY</t>
  </si>
  <si>
    <t>C4</t>
  </si>
  <si>
    <t>L01210C</t>
  </si>
  <si>
    <t>INSP</t>
  </si>
  <si>
    <t>273N2004-3</t>
  </si>
  <si>
    <t>SAO1827</t>
  </si>
  <si>
    <t>TILT ACTUATOR</t>
  </si>
  <si>
    <t>232-3</t>
  </si>
  <si>
    <t>211C223-327</t>
  </si>
  <si>
    <t>P01126C</t>
  </si>
  <si>
    <t>HYDR PRESS SWITCH</t>
  </si>
  <si>
    <t>215-016-001</t>
  </si>
  <si>
    <t>INDICATOR FLAP</t>
  </si>
  <si>
    <t>143-4</t>
  </si>
  <si>
    <t>SA00950</t>
  </si>
  <si>
    <t>275N1211-2</t>
  </si>
  <si>
    <t>00513*</t>
  </si>
  <si>
    <t>ACTUATOR STEERING</t>
  </si>
  <si>
    <t>221-1</t>
  </si>
  <si>
    <t>I13</t>
  </si>
  <si>
    <t>2-7680-2</t>
  </si>
  <si>
    <t>18076/16360</t>
  </si>
  <si>
    <t>FUSE ASSY</t>
  </si>
  <si>
    <t>S3</t>
  </si>
  <si>
    <t>2-7681-2</t>
  </si>
  <si>
    <t>0629*</t>
  </si>
  <si>
    <t>FUSE RUDDER ASSY</t>
  </si>
  <si>
    <t>S4</t>
  </si>
  <si>
    <t>2156-604</t>
  </si>
  <si>
    <t>1810A</t>
  </si>
  <si>
    <t>2780537-104</t>
  </si>
  <si>
    <t>0515A</t>
  </si>
  <si>
    <t>VALVE  ANTI ICE</t>
  </si>
  <si>
    <t>C14</t>
  </si>
  <si>
    <t>4175T</t>
  </si>
  <si>
    <t>VALVE ANTI ICE</t>
  </si>
  <si>
    <t>21FP604</t>
  </si>
  <si>
    <t>1-3-6*</t>
  </si>
  <si>
    <t>2790583-108</t>
  </si>
  <si>
    <t>0741AF</t>
  </si>
  <si>
    <t>ANTI ICE VALVE</t>
  </si>
  <si>
    <t>U3</t>
  </si>
  <si>
    <t>SA01017</t>
  </si>
  <si>
    <t>ACTUATOR ASSY</t>
  </si>
  <si>
    <t>4852F</t>
  </si>
  <si>
    <t>D27</t>
  </si>
  <si>
    <t>2202323-4</t>
  </si>
  <si>
    <t>H12</t>
  </si>
  <si>
    <t>4171F</t>
  </si>
  <si>
    <t>CTRL VALVE</t>
  </si>
  <si>
    <t>L5</t>
  </si>
  <si>
    <t>00245*</t>
  </si>
  <si>
    <t>1457F</t>
  </si>
  <si>
    <t>L8</t>
  </si>
  <si>
    <t>2790598-102</t>
  </si>
  <si>
    <t>0972*</t>
  </si>
  <si>
    <t>U5</t>
  </si>
  <si>
    <t>2205122-2</t>
  </si>
  <si>
    <t>HONEYWELL</t>
  </si>
  <si>
    <t>2233000-815-1</t>
  </si>
  <si>
    <t>03460*</t>
  </si>
  <si>
    <t>DFDAN</t>
  </si>
  <si>
    <t>TELEDYNE CONTROLS</t>
  </si>
  <si>
    <t>2263-01-1*</t>
  </si>
  <si>
    <t>143-3</t>
  </si>
  <si>
    <t>CABIN TEMP INDICATOR</t>
  </si>
  <si>
    <t>142-2</t>
  </si>
  <si>
    <t xml:space="preserve">INDICATOR </t>
  </si>
  <si>
    <t>146-4</t>
  </si>
  <si>
    <t>2790598-103</t>
  </si>
  <si>
    <t>224-4</t>
  </si>
  <si>
    <t>22M1057-103</t>
  </si>
  <si>
    <t>INSULATION</t>
  </si>
  <si>
    <t>H3</t>
  </si>
  <si>
    <t>233N3202-17</t>
  </si>
  <si>
    <t>D00935</t>
  </si>
  <si>
    <t>ANNUNCIATOR PANEL</t>
  </si>
  <si>
    <t>142-1</t>
  </si>
  <si>
    <t>233N3209-3025</t>
  </si>
  <si>
    <t>D00863</t>
  </si>
  <si>
    <t>PANEL ASSY</t>
  </si>
  <si>
    <t>285N0028-36</t>
  </si>
  <si>
    <t>D08008</t>
  </si>
  <si>
    <t>PC ASSY</t>
  </si>
  <si>
    <t>145-4</t>
  </si>
  <si>
    <t>233T3217-41</t>
  </si>
  <si>
    <t>D00582</t>
  </si>
  <si>
    <t>PANEL ANTI COLLISIO</t>
  </si>
  <si>
    <t>144-4</t>
  </si>
  <si>
    <t>SKYTEAM SYSTEM</t>
  </si>
  <si>
    <t>D00747</t>
  </si>
  <si>
    <t>PCA CARD</t>
  </si>
  <si>
    <t>285N0200-204</t>
  </si>
  <si>
    <t>D01884</t>
  </si>
  <si>
    <t>ENGINE SPEED CARD</t>
  </si>
  <si>
    <t>2465T100-1</t>
  </si>
  <si>
    <t>MOTOR ASSY</t>
  </si>
  <si>
    <t>251N3244-5</t>
  </si>
  <si>
    <t>00348A</t>
  </si>
  <si>
    <t xml:space="preserve"> VALVE BYPASS</t>
  </si>
  <si>
    <t>I10</t>
  </si>
  <si>
    <t>251N4022-35</t>
  </si>
  <si>
    <t>OA2210807</t>
  </si>
  <si>
    <t>TRANSMITION FLAP</t>
  </si>
  <si>
    <t>251N4077-4</t>
  </si>
  <si>
    <t>NSN3-28170</t>
  </si>
  <si>
    <t>GIMBAL ASSY</t>
  </si>
  <si>
    <t>J3</t>
  </si>
  <si>
    <t>285T0022-43</t>
  </si>
  <si>
    <t>D02034</t>
  </si>
  <si>
    <t>AUDIO SELET PANEL</t>
  </si>
  <si>
    <t>Q1</t>
  </si>
  <si>
    <t>2670288-6</t>
  </si>
  <si>
    <t>C12</t>
  </si>
  <si>
    <t>2670288-9</t>
  </si>
  <si>
    <t>0047*</t>
  </si>
  <si>
    <t>285T0017-104</t>
  </si>
  <si>
    <t>D02321</t>
  </si>
  <si>
    <t>POWER SUPLY</t>
  </si>
  <si>
    <t>SA00411</t>
  </si>
  <si>
    <t>285T0031-17</t>
  </si>
  <si>
    <t>D00293</t>
  </si>
  <si>
    <t>WARNING MODULE CARD</t>
  </si>
  <si>
    <t>R7</t>
  </si>
  <si>
    <t>273N2007-1</t>
  </si>
  <si>
    <t>00774*</t>
  </si>
  <si>
    <t>E17</t>
  </si>
  <si>
    <t>285T0032-19</t>
  </si>
  <si>
    <t>D01085</t>
  </si>
  <si>
    <t>PC CARD</t>
  </si>
  <si>
    <t>R8</t>
  </si>
  <si>
    <t>285T0035-11</t>
  </si>
  <si>
    <t>D01337</t>
  </si>
  <si>
    <t>POWER SUPPLY</t>
  </si>
  <si>
    <t>2241A</t>
  </si>
  <si>
    <t>I6</t>
  </si>
  <si>
    <t>2790583-104</t>
  </si>
  <si>
    <t>0121*</t>
  </si>
  <si>
    <t>VALVE COWL THERMAL</t>
  </si>
  <si>
    <t>E22</t>
  </si>
  <si>
    <t>1302A</t>
  </si>
  <si>
    <t>K3</t>
  </si>
  <si>
    <t>4869F</t>
  </si>
  <si>
    <t>225-3</t>
  </si>
  <si>
    <t>D00673</t>
  </si>
  <si>
    <t>067/07/22</t>
  </si>
  <si>
    <t>5484F</t>
  </si>
  <si>
    <t>CTRL VLV</t>
  </si>
  <si>
    <t>285T1104-19</t>
  </si>
  <si>
    <t>D02662</t>
  </si>
  <si>
    <t>CARD</t>
  </si>
  <si>
    <t>Q10</t>
  </si>
  <si>
    <t>0997*</t>
  </si>
  <si>
    <t>J19</t>
  </si>
  <si>
    <t>HH17</t>
  </si>
  <si>
    <t>K17</t>
  </si>
  <si>
    <t>30-1526-9</t>
  </si>
  <si>
    <t>ANTI COLLITION LIGHT</t>
  </si>
  <si>
    <t>J12</t>
  </si>
  <si>
    <t>HH3</t>
  </si>
  <si>
    <t>OA2210416</t>
  </si>
  <si>
    <t>D23</t>
  </si>
  <si>
    <t>3029981-001</t>
  </si>
  <si>
    <t>MX523473</t>
  </si>
  <si>
    <t>PUMP  HYDR</t>
  </si>
  <si>
    <t>223-3</t>
  </si>
  <si>
    <t>MX465268</t>
  </si>
  <si>
    <t>31-5268-3</t>
  </si>
  <si>
    <t>W28526</t>
  </si>
  <si>
    <t>LIGTH SUB ASSY</t>
  </si>
  <si>
    <t>M5</t>
  </si>
  <si>
    <t>D19</t>
  </si>
  <si>
    <t>2-8020-18</t>
  </si>
  <si>
    <t>HYDRALIC FUSE</t>
  </si>
  <si>
    <t>D11</t>
  </si>
  <si>
    <t>31-5451-1</t>
  </si>
  <si>
    <t>NSN5325</t>
  </si>
  <si>
    <t>LIGHT SUBASSEMBLY</t>
  </si>
  <si>
    <t>FUSE HYD</t>
  </si>
  <si>
    <t>315A1800-6</t>
  </si>
  <si>
    <t>TR NON LOCK ACT</t>
  </si>
  <si>
    <t>D10297</t>
  </si>
  <si>
    <t>315A1801-24</t>
  </si>
  <si>
    <t>0944*</t>
  </si>
  <si>
    <t>TR LOCK ACT</t>
  </si>
  <si>
    <t>315A1801-28</t>
  </si>
  <si>
    <t>285T0012-201</t>
  </si>
  <si>
    <t>D06200</t>
  </si>
  <si>
    <t>SPOILER CONTROL</t>
  </si>
  <si>
    <t>315N3507-22</t>
  </si>
  <si>
    <t>BLOCKER DOOR</t>
  </si>
  <si>
    <t>N5</t>
  </si>
  <si>
    <t>D09391</t>
  </si>
  <si>
    <t>SPEED SENSOR</t>
  </si>
  <si>
    <t>OA2110529</t>
  </si>
  <si>
    <t>WING LIGHT</t>
  </si>
  <si>
    <t>C7</t>
  </si>
  <si>
    <t>285T0013-126</t>
  </si>
  <si>
    <t>D02478</t>
  </si>
  <si>
    <t>YAW DAMPER MODULE</t>
  </si>
  <si>
    <t>285T0014-104</t>
  </si>
  <si>
    <t>D01766</t>
  </si>
  <si>
    <t>RUDDER MODULE ASSY</t>
  </si>
  <si>
    <t>31-9289-4</t>
  </si>
  <si>
    <t>LIGTH ASSY</t>
  </si>
  <si>
    <t>285T0017-201</t>
  </si>
  <si>
    <t>D07814</t>
  </si>
  <si>
    <t>3202130-3</t>
  </si>
  <si>
    <t>APU BLEED AIR CHECK</t>
  </si>
  <si>
    <t>L4</t>
  </si>
  <si>
    <t>285T0022-38</t>
  </si>
  <si>
    <t>D00886</t>
  </si>
  <si>
    <t>142-5</t>
  </si>
  <si>
    <t>285T0022-43 or 285T0022-37</t>
  </si>
  <si>
    <t>D03701</t>
  </si>
  <si>
    <t>AUDIO SELECT PANEL</t>
  </si>
  <si>
    <t>JUVER AVIATION SERVICES</t>
  </si>
  <si>
    <t>285T0030-14</t>
  </si>
  <si>
    <t>D01515</t>
  </si>
  <si>
    <t>DTA CARD</t>
  </si>
  <si>
    <t>Q7</t>
  </si>
  <si>
    <t>D00854</t>
  </si>
  <si>
    <t>DATA CARD</t>
  </si>
  <si>
    <t>Q9</t>
  </si>
  <si>
    <t>3174726-5</t>
  </si>
  <si>
    <t>PAZ50685</t>
  </si>
  <si>
    <t>APU FILTER</t>
  </si>
  <si>
    <t>3214306-7</t>
  </si>
  <si>
    <t>3214488-6</t>
  </si>
  <si>
    <t>valve</t>
  </si>
  <si>
    <t>3214488-7</t>
  </si>
  <si>
    <t>1396C</t>
  </si>
  <si>
    <t>1135C</t>
  </si>
  <si>
    <t>L3</t>
  </si>
  <si>
    <t>1213C</t>
  </si>
  <si>
    <t>K16</t>
  </si>
  <si>
    <t>MID JET REPAIR</t>
  </si>
  <si>
    <t>D01001</t>
  </si>
  <si>
    <t>BAE SYSTEMS CONTROLS</t>
  </si>
  <si>
    <t>D02429</t>
  </si>
  <si>
    <t>POWER SUPPLY ASSY</t>
  </si>
  <si>
    <t>D03151</t>
  </si>
  <si>
    <t>3214230-2</t>
  </si>
  <si>
    <t>M8</t>
  </si>
  <si>
    <t>AMERICAN AIRLINES INC</t>
  </si>
  <si>
    <t>3289628-5</t>
  </si>
  <si>
    <t>FANAIR VALVE</t>
  </si>
  <si>
    <t>H13</t>
  </si>
  <si>
    <t>M4</t>
  </si>
  <si>
    <t>285T0553-4</t>
  </si>
  <si>
    <t>D01441</t>
  </si>
  <si>
    <t>PANEL</t>
  </si>
  <si>
    <t>145-3</t>
  </si>
  <si>
    <t>285T0554-5</t>
  </si>
  <si>
    <t>D01918</t>
  </si>
  <si>
    <t>PANEL VOR</t>
  </si>
  <si>
    <t>D03206</t>
  </si>
  <si>
    <t>145-2</t>
  </si>
  <si>
    <t>146-2</t>
  </si>
  <si>
    <t>3321500-16B</t>
  </si>
  <si>
    <t>FLIGHT SPLR ACT</t>
  </si>
  <si>
    <t>211-1</t>
  </si>
  <si>
    <t>211-2</t>
  </si>
  <si>
    <t>FLIGTH SPLR ACT</t>
  </si>
  <si>
    <t>212-2</t>
  </si>
  <si>
    <t>215-4</t>
  </si>
  <si>
    <t>30071-0404</t>
  </si>
  <si>
    <t>FQPU</t>
  </si>
  <si>
    <t>3289696-1</t>
  </si>
  <si>
    <t>VALVE CONTROL</t>
  </si>
  <si>
    <t>HH18</t>
  </si>
  <si>
    <t>3321520-8</t>
  </si>
  <si>
    <t>93X1804</t>
  </si>
  <si>
    <t>A-24</t>
  </si>
  <si>
    <t>30-1526-3</t>
  </si>
  <si>
    <t>BA695</t>
  </si>
  <si>
    <t>J13</t>
  </si>
  <si>
    <t>J16</t>
  </si>
  <si>
    <t>AEROSPACE MAINTENANCE</t>
  </si>
  <si>
    <t>3399004-7</t>
  </si>
  <si>
    <t>PILOT VALVE</t>
  </si>
  <si>
    <t>31-5268-4</t>
  </si>
  <si>
    <t>NSN5339</t>
  </si>
  <si>
    <t>C16</t>
  </si>
  <si>
    <t>NSN5340</t>
  </si>
  <si>
    <t>760C</t>
  </si>
  <si>
    <t>VALVE HIGH PRESS</t>
  </si>
  <si>
    <t>861C</t>
  </si>
  <si>
    <t>I14</t>
  </si>
  <si>
    <t>915C</t>
  </si>
  <si>
    <t>34600010-28</t>
  </si>
  <si>
    <t>09869F1</t>
  </si>
  <si>
    <t>C28</t>
  </si>
  <si>
    <t>34600013-21</t>
  </si>
  <si>
    <t>08554F1</t>
  </si>
  <si>
    <t>C23</t>
  </si>
  <si>
    <t>18472F1</t>
  </si>
  <si>
    <t>C26</t>
  </si>
  <si>
    <t>3505716-6</t>
  </si>
  <si>
    <t>31486W</t>
  </si>
  <si>
    <t>STARTER</t>
  </si>
  <si>
    <t>69682W</t>
  </si>
  <si>
    <t>B29</t>
  </si>
  <si>
    <t>93455W</t>
  </si>
  <si>
    <t>09908W</t>
  </si>
  <si>
    <t>F22</t>
  </si>
  <si>
    <t>41911W</t>
  </si>
  <si>
    <t>SAA22827</t>
  </si>
  <si>
    <t>LOCKING ACTUATOR</t>
  </si>
  <si>
    <t>350880-6</t>
  </si>
  <si>
    <t>MX-534539</t>
  </si>
  <si>
    <t>D25</t>
  </si>
  <si>
    <t>3511-004</t>
  </si>
  <si>
    <t>3399004-6</t>
  </si>
  <si>
    <t>1002C</t>
  </si>
  <si>
    <t>PRESS VALVE</t>
  </si>
  <si>
    <t>769C</t>
  </si>
  <si>
    <t>L12</t>
  </si>
  <si>
    <t>315A1808-3</t>
  </si>
  <si>
    <t>T12</t>
  </si>
  <si>
    <t>AERO CONTROLS</t>
  </si>
  <si>
    <t>11956F1</t>
  </si>
  <si>
    <t>FIRE EXTINGUISHER</t>
  </si>
  <si>
    <t>HRD AERO SYSTEMS</t>
  </si>
  <si>
    <t>MX246676</t>
  </si>
  <si>
    <t>315N3509-45</t>
  </si>
  <si>
    <t>204772-5</t>
  </si>
  <si>
    <t>N4</t>
  </si>
  <si>
    <t>TEAM AEROSPACE</t>
  </si>
  <si>
    <t>317100-1005</t>
  </si>
  <si>
    <t>PRESS SENSOR</t>
  </si>
  <si>
    <t>SAA22067</t>
  </si>
  <si>
    <t>3614400-7</t>
  </si>
  <si>
    <t>A-20</t>
  </si>
  <si>
    <t>ID05-0098C</t>
  </si>
  <si>
    <t>A-4</t>
  </si>
  <si>
    <t>3617750-1</t>
  </si>
  <si>
    <t>9777W</t>
  </si>
  <si>
    <t>FUEL CONTROL</t>
  </si>
  <si>
    <t>6286W</t>
  </si>
  <si>
    <t>362-021-002</t>
  </si>
  <si>
    <t>RUDDER TRIM INDICATOR</t>
  </si>
  <si>
    <t>S2</t>
  </si>
  <si>
    <t>31-9292-4</t>
  </si>
  <si>
    <t>LENS ASSY</t>
  </si>
  <si>
    <t>F11</t>
  </si>
  <si>
    <t>379103D-27</t>
  </si>
  <si>
    <t>EMERGENCY DESCENT</t>
  </si>
  <si>
    <t>235-1</t>
  </si>
  <si>
    <t>235-2</t>
  </si>
  <si>
    <t>CHECK VALVE</t>
  </si>
  <si>
    <t>3202166-2</t>
  </si>
  <si>
    <t>3601-58</t>
  </si>
  <si>
    <t xml:space="preserve">	FIRE/OVERHEAT DETECT</t>
  </si>
  <si>
    <t>E10</t>
  </si>
  <si>
    <t>FIRE DETECTOR</t>
  </si>
  <si>
    <t>I2</t>
  </si>
  <si>
    <t>3202190-1</t>
  </si>
  <si>
    <t>M11</t>
  </si>
  <si>
    <t>3605812-14-1</t>
  </si>
  <si>
    <t>P-2139</t>
  </si>
  <si>
    <t>APU STARTER</t>
  </si>
  <si>
    <t>224-1</t>
  </si>
  <si>
    <t>3214304-3</t>
  </si>
  <si>
    <t>819C</t>
  </si>
  <si>
    <t>VALVE CONTROLL</t>
  </si>
  <si>
    <t>222-4</t>
  </si>
  <si>
    <t>31473/31465</t>
  </si>
  <si>
    <t>KIT EMERGECY</t>
  </si>
  <si>
    <t>A-2</t>
  </si>
  <si>
    <t>CAPEWELL AERIAL SYSTEMS</t>
  </si>
  <si>
    <t xml:space="preserve">OK </t>
  </si>
  <si>
    <t>31463/31439</t>
  </si>
  <si>
    <t>A-1</t>
  </si>
  <si>
    <t>B1</t>
  </si>
  <si>
    <t>3800035-120</t>
  </si>
  <si>
    <t>232-2</t>
  </si>
  <si>
    <t>B3</t>
  </si>
  <si>
    <t>33307/33313</t>
  </si>
  <si>
    <t>C1</t>
  </si>
  <si>
    <t>B2</t>
  </si>
  <si>
    <t>3876035-5</t>
  </si>
  <si>
    <t>071121413829*</t>
  </si>
  <si>
    <t>MODULATING VALVE</t>
  </si>
  <si>
    <t>6557-1-43</t>
  </si>
  <si>
    <t>E14</t>
  </si>
  <si>
    <t>071121413698*</t>
  </si>
  <si>
    <t>INLET SENSOR</t>
  </si>
  <si>
    <t>321452-6</t>
  </si>
  <si>
    <t>3800022-107</t>
  </si>
  <si>
    <t>0768*</t>
  </si>
  <si>
    <t>RUDDER PCU</t>
  </si>
  <si>
    <t>214-4</t>
  </si>
  <si>
    <t>3876048-3</t>
  </si>
  <si>
    <t>13381U</t>
  </si>
  <si>
    <t>SWITCH APU</t>
  </si>
  <si>
    <t>B17</t>
  </si>
  <si>
    <t>99071691631P</t>
  </si>
  <si>
    <t xml:space="preserve">Q2 </t>
  </si>
  <si>
    <t>SENSORLAB INC</t>
  </si>
  <si>
    <t>321942-1-1</t>
  </si>
  <si>
    <t>P-4599</t>
  </si>
  <si>
    <t>VALVE STARTER</t>
  </si>
  <si>
    <t>D20</t>
  </si>
  <si>
    <t>P-2877</t>
  </si>
  <si>
    <t>C22</t>
  </si>
  <si>
    <t>PAZ AVIATION</t>
  </si>
  <si>
    <t>3289562-5</t>
  </si>
  <si>
    <t>PRECOOLER CONTROL VALVE</t>
  </si>
  <si>
    <t>222-2*</t>
  </si>
  <si>
    <t>3888076-3</t>
  </si>
  <si>
    <t>LEAD ELEC IGNITER</t>
  </si>
  <si>
    <t>PRECOOLER VALVE</t>
  </si>
  <si>
    <t>051121413410*</t>
  </si>
  <si>
    <t>3289626-4</t>
  </si>
  <si>
    <t xml:space="preserve">	VALVE PRECOOLER</t>
  </si>
  <si>
    <t>226-3</t>
  </si>
  <si>
    <t>396480-1</t>
  </si>
  <si>
    <t>A-22</t>
  </si>
  <si>
    <t>3876084-2</t>
  </si>
  <si>
    <t>5927-10A-88</t>
  </si>
  <si>
    <t>J2</t>
  </si>
  <si>
    <t>398750-5</t>
  </si>
  <si>
    <t>TEMP CONTROL VALVE</t>
  </si>
  <si>
    <t>I5</t>
  </si>
  <si>
    <t>THREE INCH DIAMTER TEMP</t>
  </si>
  <si>
    <t>VALVE, TEMP</t>
  </si>
  <si>
    <t>I12</t>
  </si>
  <si>
    <t>3290432-2-2</t>
  </si>
  <si>
    <t>HPSOV</t>
  </si>
  <si>
    <t>H11</t>
  </si>
  <si>
    <t>398786-3</t>
  </si>
  <si>
    <t>TRIM AIR MOD VALVE</t>
  </si>
  <si>
    <t>3321500-13</t>
  </si>
  <si>
    <t>213-4</t>
  </si>
  <si>
    <t>398786-5</t>
  </si>
  <si>
    <t>2440C</t>
  </si>
  <si>
    <t>I7</t>
  </si>
  <si>
    <t>X004863</t>
  </si>
  <si>
    <t>ELECTRICAL IGNITER PLUG</t>
  </si>
  <si>
    <t>SETNIX  A SETNA COMPANY</t>
  </si>
  <si>
    <t>U1</t>
  </si>
  <si>
    <t>39-617</t>
  </si>
  <si>
    <t>099117504*</t>
  </si>
  <si>
    <t>ANTISKID CONTROL</t>
  </si>
  <si>
    <t>E11</t>
  </si>
  <si>
    <t>DIVERSE AIRCRAFT SERVICE CORP</t>
  </si>
  <si>
    <t>3B41-3-A</t>
  </si>
  <si>
    <t>N3316</t>
  </si>
  <si>
    <t>ELECTRICAL LOAD CONTROL</t>
  </si>
  <si>
    <t>Q2</t>
  </si>
  <si>
    <t>3B41-3-B</t>
  </si>
  <si>
    <t>N4069</t>
  </si>
  <si>
    <t>141-2*</t>
  </si>
  <si>
    <t>031C-B359</t>
  </si>
  <si>
    <t>ELECTIC LOAD CNTRL</t>
  </si>
  <si>
    <t>213-1</t>
  </si>
  <si>
    <t>5-21-260</t>
  </si>
  <si>
    <t>213-3</t>
  </si>
  <si>
    <t>215-3</t>
  </si>
  <si>
    <t>4052506-941</t>
  </si>
  <si>
    <t>FLIGHT MGMT COMPUTER</t>
  </si>
  <si>
    <t>4052506-955</t>
  </si>
  <si>
    <t>MFC</t>
  </si>
  <si>
    <t>9909F236</t>
  </si>
  <si>
    <t>4058650-931</t>
  </si>
  <si>
    <t>4058650-950</t>
  </si>
  <si>
    <t>3321520-7</t>
  </si>
  <si>
    <t>T4</t>
  </si>
  <si>
    <t>3321530-11</t>
  </si>
  <si>
    <t>234-3</t>
  </si>
  <si>
    <t>3321530-9</t>
  </si>
  <si>
    <t>T3</t>
  </si>
  <si>
    <t>40885-2</t>
  </si>
  <si>
    <t>FUEL VALVE</t>
  </si>
  <si>
    <t>E7</t>
  </si>
  <si>
    <t>677C</t>
  </si>
  <si>
    <t>PILOT STAGE</t>
  </si>
  <si>
    <t>3399004-9</t>
  </si>
  <si>
    <t>L11</t>
  </si>
  <si>
    <t>MED-CRAFT INC</t>
  </si>
  <si>
    <t>340565*</t>
  </si>
  <si>
    <t>1699A</t>
  </si>
  <si>
    <t>B20</t>
  </si>
  <si>
    <t>AIR TURBINE STARTER</t>
  </si>
  <si>
    <t>40-618-6</t>
  </si>
  <si>
    <t>INICATOR TRIM</t>
  </si>
  <si>
    <t>P3</t>
  </si>
  <si>
    <t>MX699069</t>
  </si>
  <si>
    <t>4-254-04</t>
  </si>
  <si>
    <t>C5310</t>
  </si>
  <si>
    <t>BATTERY CHARGER</t>
  </si>
  <si>
    <t>MX-561712</t>
  </si>
  <si>
    <t>HYDROLIC PUMP</t>
  </si>
  <si>
    <t>3601-27</t>
  </si>
  <si>
    <t>DETECTOR FIRE</t>
  </si>
  <si>
    <t>A-7</t>
  </si>
  <si>
    <t>42-757-1</t>
  </si>
  <si>
    <t>ANTI-SKID CONTROL</t>
  </si>
  <si>
    <t>A-8</t>
  </si>
  <si>
    <t>430988*</t>
  </si>
  <si>
    <t>IGNITION LEADS</t>
  </si>
  <si>
    <t>F15</t>
  </si>
  <si>
    <t>3601-29</t>
  </si>
  <si>
    <t>3601-58-1050</t>
  </si>
  <si>
    <t>FIRE OVERHEAT DETECT</t>
  </si>
  <si>
    <t>37-309</t>
  </si>
  <si>
    <t>30733A</t>
  </si>
  <si>
    <t>VALVE SERVO</t>
  </si>
  <si>
    <t>3800014-106</t>
  </si>
  <si>
    <t>000152*</t>
  </si>
  <si>
    <t>METERING VALVE MODULE</t>
  </si>
  <si>
    <t>3800022-105</t>
  </si>
  <si>
    <t>0336*</t>
  </si>
  <si>
    <t>215-2</t>
  </si>
  <si>
    <t>0436*</t>
  </si>
  <si>
    <t>SERVO ACTUATOR</t>
  </si>
  <si>
    <t>47649-2</t>
  </si>
  <si>
    <t>DSGCAL8076</t>
  </si>
  <si>
    <t>EXCITER</t>
  </si>
  <si>
    <t>0788A*</t>
  </si>
  <si>
    <t>234-1</t>
  </si>
  <si>
    <t>3810056-106</t>
  </si>
  <si>
    <t>03549*</t>
  </si>
  <si>
    <t>VALVE MODULE</t>
  </si>
  <si>
    <t>226-2</t>
  </si>
  <si>
    <t>3826262-1</t>
  </si>
  <si>
    <t>BMP01124</t>
  </si>
  <si>
    <t>BRITT METAL PROCESSING</t>
  </si>
  <si>
    <t>3830041-105</t>
  </si>
  <si>
    <t>0040*</t>
  </si>
  <si>
    <t>VALVE ACTUATOR</t>
  </si>
  <si>
    <t>383152-19-1</t>
  </si>
  <si>
    <t>P-18353</t>
  </si>
  <si>
    <t>3876026-3</t>
  </si>
  <si>
    <t>A260070</t>
  </si>
  <si>
    <t>A-9</t>
  </si>
  <si>
    <t>519858-6</t>
  </si>
  <si>
    <t>72-3266</t>
  </si>
  <si>
    <t>ENGINE STARTER</t>
  </si>
  <si>
    <t>24-3706</t>
  </si>
  <si>
    <t>A-13</t>
  </si>
  <si>
    <t>519858-8</t>
  </si>
  <si>
    <t>109-5003</t>
  </si>
  <si>
    <t>25-907</t>
  </si>
  <si>
    <t>MFR97424-DTH2144</t>
  </si>
  <si>
    <t>OA-10690</t>
  </si>
  <si>
    <t>110-2627</t>
  </si>
  <si>
    <t>F21</t>
  </si>
  <si>
    <t>41-2861C</t>
  </si>
  <si>
    <t>B27</t>
  </si>
  <si>
    <t>3880190-10</t>
  </si>
  <si>
    <t>A4056</t>
  </si>
  <si>
    <t>PUMP ASSY</t>
  </si>
  <si>
    <t>3882500-17</t>
  </si>
  <si>
    <t>A-1464C</t>
  </si>
  <si>
    <t xml:space="preserve">FUEL CONTROL </t>
  </si>
  <si>
    <t>J17</t>
  </si>
  <si>
    <t>55098-08</t>
  </si>
  <si>
    <t>184115K</t>
  </si>
  <si>
    <t>5669-18</t>
  </si>
  <si>
    <t>225-1</t>
  </si>
  <si>
    <t>57186-10</t>
  </si>
  <si>
    <t>OA2379</t>
  </si>
  <si>
    <t>PUMP ELECTRIC</t>
  </si>
  <si>
    <t>A-21</t>
  </si>
  <si>
    <t xml:space="preserve"> PUMP ELECTRIC</t>
  </si>
  <si>
    <t>SA2430</t>
  </si>
  <si>
    <t>572756-1</t>
  </si>
  <si>
    <t>392678-3-1</t>
  </si>
  <si>
    <t>PRESSURE REGULATOR</t>
  </si>
  <si>
    <t>M7</t>
  </si>
  <si>
    <t>233-3</t>
  </si>
  <si>
    <t>398750-4</t>
  </si>
  <si>
    <t>P-582C</t>
  </si>
  <si>
    <t>L7</t>
  </si>
  <si>
    <t>14-634C</t>
  </si>
  <si>
    <t>D24</t>
  </si>
  <si>
    <t>TEMPERATURE CONTROL VALVE</t>
  </si>
  <si>
    <t>5910525-140</t>
  </si>
  <si>
    <t>K14</t>
  </si>
  <si>
    <t>398786-4</t>
  </si>
  <si>
    <t>P-423C</t>
  </si>
  <si>
    <t>MODULATING</t>
  </si>
  <si>
    <t>F14</t>
  </si>
  <si>
    <t>P-620</t>
  </si>
  <si>
    <t>I8</t>
  </si>
  <si>
    <t>0911/23</t>
  </si>
  <si>
    <t>60-3368-7</t>
  </si>
  <si>
    <t>HH11</t>
  </si>
  <si>
    <t>606832-18</t>
  </si>
  <si>
    <t>108-934</t>
  </si>
  <si>
    <t>3B41-1-A</t>
  </si>
  <si>
    <t>141-4</t>
  </si>
  <si>
    <t>60-755100-4</t>
  </si>
  <si>
    <t>069816533T</t>
  </si>
  <si>
    <t>FUEL BOOST PUMP</t>
  </si>
  <si>
    <t>069816823T</t>
  </si>
  <si>
    <t>60-989100-5</t>
  </si>
  <si>
    <t>BOOST PUMP</t>
  </si>
  <si>
    <t>L10</t>
  </si>
  <si>
    <t>4038170-905</t>
  </si>
  <si>
    <t>CONTROL DISPLAY</t>
  </si>
  <si>
    <t>AJW TECHNIQUE</t>
  </si>
  <si>
    <t>4039892-904</t>
  </si>
  <si>
    <t>BAROMETRIC</t>
  </si>
  <si>
    <t>146-3</t>
  </si>
  <si>
    <t>4040800-912</t>
  </si>
  <si>
    <t>AIR DATA COMPUTER</t>
  </si>
  <si>
    <t>MOD</t>
  </si>
  <si>
    <t>622-5272-120</t>
  </si>
  <si>
    <t>COMPUTER</t>
  </si>
  <si>
    <t>HF RECEIVER XMTR</t>
  </si>
  <si>
    <t>40616-1 OR A7714-1</t>
  </si>
  <si>
    <t>CSD PLUG</t>
  </si>
  <si>
    <t>D6</t>
  </si>
  <si>
    <t>40616-2 OR A7713</t>
  </si>
  <si>
    <t>D5</t>
  </si>
  <si>
    <t>INDICATOR TRIM</t>
  </si>
  <si>
    <t>622-7998-003</t>
  </si>
  <si>
    <t>ELECTRONIC DIS UNIT</t>
  </si>
  <si>
    <t>CONTROL UNIT</t>
  </si>
  <si>
    <t>HH4</t>
  </si>
  <si>
    <t>622-7999-003</t>
  </si>
  <si>
    <t>CAPTION HIS</t>
  </si>
  <si>
    <t>40885-4</t>
  </si>
  <si>
    <t>233-2</t>
  </si>
  <si>
    <t>0A1554</t>
  </si>
  <si>
    <t>D18</t>
  </si>
  <si>
    <t xml:space="preserve">4140329-2 </t>
  </si>
  <si>
    <t>K7</t>
  </si>
  <si>
    <t>418-00141</t>
  </si>
  <si>
    <t>11-68-074</t>
  </si>
  <si>
    <t>TRANSITTER PRESSURE</t>
  </si>
  <si>
    <t>418-16054</t>
  </si>
  <si>
    <t>AAA7378</t>
  </si>
  <si>
    <t>MAIN OIL PRESS</t>
  </si>
  <si>
    <t>E13</t>
  </si>
  <si>
    <t>624016-1</t>
  </si>
  <si>
    <t>011C-5367</t>
  </si>
  <si>
    <t>DUCT TEMP SENSOR</t>
  </si>
  <si>
    <t>624018-1</t>
  </si>
  <si>
    <t>099C-3576</t>
  </si>
  <si>
    <t>J8</t>
  </si>
  <si>
    <t>41SG118-2</t>
  </si>
  <si>
    <t>B7</t>
  </si>
  <si>
    <t>624066-5</t>
  </si>
  <si>
    <t>052C-193</t>
  </si>
  <si>
    <t>WINDOW CONTROL UNIT</t>
  </si>
  <si>
    <t>055C-2981</t>
  </si>
  <si>
    <t>118C-1229</t>
  </si>
  <si>
    <t>WINDOW CONTROL</t>
  </si>
  <si>
    <t>101C-2105</t>
  </si>
  <si>
    <t>42-641-2</t>
  </si>
  <si>
    <t>0A157</t>
  </si>
  <si>
    <t>ANTISKID-BRAKE C.U</t>
  </si>
  <si>
    <t>ELECTRONIC DISPLAY</t>
  </si>
  <si>
    <t>OE443</t>
  </si>
  <si>
    <t>42D377</t>
  </si>
  <si>
    <t>076*</t>
  </si>
  <si>
    <t>OIL PRESSSURE SWITCH</t>
  </si>
  <si>
    <t>D9</t>
  </si>
  <si>
    <t>42D378</t>
  </si>
  <si>
    <t>022*</t>
  </si>
  <si>
    <t>42G114-1</t>
  </si>
  <si>
    <t>012C-5945</t>
  </si>
  <si>
    <t>S9</t>
  </si>
  <si>
    <t>433-097-003</t>
  </si>
  <si>
    <t>BOEING</t>
  </si>
  <si>
    <t>434-674-1031-2246</t>
  </si>
  <si>
    <t>434-674-1033-2205</t>
  </si>
  <si>
    <t>625946-8</t>
  </si>
  <si>
    <t>023C-391</t>
  </si>
  <si>
    <t xml:space="preserve">CONTROL </t>
  </si>
  <si>
    <t>45080-1</t>
  </si>
  <si>
    <t>SELENOID VALVE 3 WAY</t>
  </si>
  <si>
    <t>451N5601-2</t>
  </si>
  <si>
    <t>CARGO NET</t>
  </si>
  <si>
    <t>H6</t>
  </si>
  <si>
    <t>AMSAFE BRIDPORT</t>
  </si>
  <si>
    <t>473977-1</t>
  </si>
  <si>
    <t>65896EL</t>
  </si>
  <si>
    <t>C25</t>
  </si>
  <si>
    <t>EXITER</t>
  </si>
  <si>
    <t>641121-1</t>
  </si>
  <si>
    <t>13240/13130/13547</t>
  </si>
  <si>
    <t>SWITCH TERMINAL</t>
  </si>
  <si>
    <t>S1</t>
  </si>
  <si>
    <t>50086-003</t>
  </si>
  <si>
    <t>17901ML</t>
  </si>
  <si>
    <t>5051-1-5*</t>
  </si>
  <si>
    <t>AUDIO PANEL</t>
  </si>
  <si>
    <t>143-5</t>
  </si>
  <si>
    <t>5145-1-51</t>
  </si>
  <si>
    <t>STARTER APU</t>
  </si>
  <si>
    <t>522-1859-069</t>
  </si>
  <si>
    <t>DISTANCE INDICATOR</t>
  </si>
  <si>
    <t>144-5</t>
  </si>
  <si>
    <t>ASTRO INSTRUMENTS SERVICES</t>
  </si>
  <si>
    <t>5500-C6A-BF23A</t>
  </si>
  <si>
    <t>OXYGEN BOTTLES</t>
  </si>
  <si>
    <t>ST21411</t>
  </si>
  <si>
    <t>HRD AERO SYSTEMS INC</t>
  </si>
  <si>
    <t>55098-01</t>
  </si>
  <si>
    <t>152189K</t>
  </si>
  <si>
    <t>M1</t>
  </si>
  <si>
    <t>MOD -8 VENDIDO</t>
  </si>
  <si>
    <t>AEROMATIC VALVE</t>
  </si>
  <si>
    <t>5910525-138</t>
  </si>
  <si>
    <t>1539A</t>
  </si>
  <si>
    <t>K6</t>
  </si>
  <si>
    <t>0791A</t>
  </si>
  <si>
    <t>VALVE, LCC</t>
  </si>
  <si>
    <t>B24</t>
  </si>
  <si>
    <t>1561A</t>
  </si>
  <si>
    <t>CONTROL VALVE</t>
  </si>
  <si>
    <t>5910525-139</t>
  </si>
  <si>
    <t>0679A</t>
  </si>
  <si>
    <t>VALVE, CLEARANCE L</t>
  </si>
  <si>
    <t>224-3</t>
  </si>
  <si>
    <t>66068-06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</si>
  <si>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</si>
  <si>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>4N1-1A</t>
  </si>
  <si>
    <t>0504*</t>
  </si>
  <si>
    <t>K15</t>
  </si>
  <si>
    <t>5910525-141</t>
  </si>
  <si>
    <t>K5</t>
  </si>
  <si>
    <t>6672M402</t>
  </si>
  <si>
    <t>BJ49</t>
  </si>
  <si>
    <t>DIGITAL TRACKING</t>
  </si>
  <si>
    <t>1-1-3*</t>
  </si>
  <si>
    <t>NORTH BAY AVIATION</t>
  </si>
  <si>
    <t>A-16</t>
  </si>
  <si>
    <t>60-755100</t>
  </si>
  <si>
    <t>119817713T</t>
  </si>
  <si>
    <t>FUEL PUMP</t>
  </si>
  <si>
    <t>HH14</t>
  </si>
  <si>
    <t>THE FUEL CELL INC</t>
  </si>
  <si>
    <t>66790-1</t>
  </si>
  <si>
    <t>0950*</t>
  </si>
  <si>
    <t xml:space="preserve"> CONTROL VALVE ASSY</t>
  </si>
  <si>
    <t>0562*</t>
  </si>
  <si>
    <t>0532*</t>
  </si>
  <si>
    <t>GLOBAL AIR TECNOLOGIES</t>
  </si>
  <si>
    <t>60-755100-5</t>
  </si>
  <si>
    <t>PUMPFUEL BOOST</t>
  </si>
  <si>
    <t>C13</t>
  </si>
  <si>
    <t>60B40026-13</t>
  </si>
  <si>
    <t>TRANSFORMER</t>
  </si>
  <si>
    <t>L14</t>
  </si>
  <si>
    <t>AOG LOGISTIC</t>
  </si>
  <si>
    <t>MATERIAL CERT</t>
  </si>
  <si>
    <t>680640-4</t>
  </si>
  <si>
    <t>32-2562</t>
  </si>
  <si>
    <t>AIR CYCLE MACHINE</t>
  </si>
  <si>
    <t>2N3-1A</t>
  </si>
  <si>
    <t>622-4591-512</t>
  </si>
  <si>
    <t>FLIGHT CTRL COMPUTER</t>
  </si>
  <si>
    <t>622-5046-101</t>
  </si>
  <si>
    <t>EICAS</t>
  </si>
  <si>
    <t>RECEIVER XMTR</t>
  </si>
  <si>
    <t>700842A</t>
  </si>
  <si>
    <t>A0381</t>
  </si>
  <si>
    <t>CSD</t>
  </si>
  <si>
    <t>CONSTANT SPEED DRIVE</t>
  </si>
  <si>
    <t>622-5374-002</t>
  </si>
  <si>
    <t>AUTOLAND STATUS</t>
  </si>
  <si>
    <t>727810C</t>
  </si>
  <si>
    <t>0843*</t>
  </si>
  <si>
    <t>GENERATOR 90KVA</t>
  </si>
  <si>
    <t>0181*</t>
  </si>
  <si>
    <t>AUXILIAR GENERATOR</t>
  </si>
  <si>
    <t>WEREHOUSE</t>
  </si>
  <si>
    <t>732-11240-01</t>
  </si>
  <si>
    <t>89-1366</t>
  </si>
  <si>
    <t>MODULE PRESS</t>
  </si>
  <si>
    <t>D21</t>
  </si>
  <si>
    <t>732-13870-09</t>
  </si>
  <si>
    <t>120-4501</t>
  </si>
  <si>
    <t>ACTUACTOR DOOR</t>
  </si>
  <si>
    <t>45-118A</t>
  </si>
  <si>
    <t>ACTUATOR DOOR</t>
  </si>
  <si>
    <t>H7</t>
  </si>
  <si>
    <t>VENDIDO ENRIQUE</t>
  </si>
  <si>
    <t>622-6827-002</t>
  </si>
  <si>
    <t>622-8757-105</t>
  </si>
  <si>
    <t>FLIGHT CONTROL COMPU</t>
  </si>
  <si>
    <t>734284E</t>
  </si>
  <si>
    <t>GCU</t>
  </si>
  <si>
    <t>622-8757-106</t>
  </si>
  <si>
    <t>FHIGHT COMUTER</t>
  </si>
  <si>
    <t>622-9353-425</t>
  </si>
  <si>
    <t>VSI</t>
  </si>
  <si>
    <t>7522-1-11*</t>
  </si>
  <si>
    <t>755299D</t>
  </si>
  <si>
    <t>L406</t>
  </si>
  <si>
    <t>ROTARY ACTUATOR</t>
  </si>
  <si>
    <t>F8</t>
  </si>
  <si>
    <t>708200-3</t>
  </si>
  <si>
    <t>009625*</t>
  </si>
  <si>
    <t>LAMP DIMMER ASSY</t>
  </si>
  <si>
    <t>755300D</t>
  </si>
  <si>
    <t>F7</t>
  </si>
  <si>
    <t>775538-6</t>
  </si>
  <si>
    <t>622-9436-101</t>
  </si>
  <si>
    <t>L ELEX FIT INST SYS</t>
  </si>
  <si>
    <t>J18</t>
  </si>
  <si>
    <t>L6</t>
  </si>
  <si>
    <t>061C-1998</t>
  </si>
  <si>
    <t>WINDOW HEAT CNTRL</t>
  </si>
  <si>
    <t>779100-5</t>
  </si>
  <si>
    <t>A4513</t>
  </si>
  <si>
    <t>F39980</t>
  </si>
  <si>
    <t>T2</t>
  </si>
  <si>
    <t>113C-2714</t>
  </si>
  <si>
    <t>625868-1</t>
  </si>
  <si>
    <t>119C-3366</t>
  </si>
  <si>
    <t>SELECTOR</t>
  </si>
  <si>
    <t>P4</t>
  </si>
  <si>
    <t>GENESIS AVIATION</t>
  </si>
  <si>
    <t>784750A5</t>
  </si>
  <si>
    <t>222-2</t>
  </si>
  <si>
    <t>784750A6</t>
  </si>
  <si>
    <t>STARTER PNEUMATIC</t>
  </si>
  <si>
    <t>792-6140-001</t>
  </si>
  <si>
    <t>HF COUPLER</t>
  </si>
  <si>
    <t>ANTENA COUPLER</t>
  </si>
  <si>
    <t>ANTENNA COUPLER</t>
  </si>
  <si>
    <t>CONFIDENCE AVIATION</t>
  </si>
  <si>
    <t>625868-07832</t>
  </si>
  <si>
    <t>GENERADOR CONTOL UNIT</t>
  </si>
  <si>
    <t>735511A</t>
  </si>
  <si>
    <t>B1250</t>
  </si>
  <si>
    <t>80004-10</t>
  </si>
  <si>
    <t>CARGO PALLET LOCK</t>
  </si>
  <si>
    <t>801240-4</t>
  </si>
  <si>
    <t>127-5810</t>
  </si>
  <si>
    <t>TURBO FAN</t>
  </si>
  <si>
    <t>11-2059*</t>
  </si>
  <si>
    <t>99-1788</t>
  </si>
  <si>
    <t>B7268</t>
  </si>
  <si>
    <t>A8293</t>
  </si>
  <si>
    <t>8055515-4506</t>
  </si>
  <si>
    <t>PTA45B-05896</t>
  </si>
  <si>
    <t>PRINTER</t>
  </si>
  <si>
    <t>073C-4911</t>
  </si>
  <si>
    <t>S5</t>
  </si>
  <si>
    <t>625878-1</t>
  </si>
  <si>
    <t>125C711</t>
  </si>
  <si>
    <t>SWITCH ALT</t>
  </si>
  <si>
    <t>784750A3</t>
  </si>
  <si>
    <t>822-1033-100</t>
  </si>
  <si>
    <t>ENG ALERT PROCCESOR</t>
  </si>
  <si>
    <t>1010/23</t>
  </si>
  <si>
    <t>062C-4674</t>
  </si>
  <si>
    <t>D12</t>
  </si>
  <si>
    <t>625928-2</t>
  </si>
  <si>
    <t>052C-7548</t>
  </si>
  <si>
    <t>OUTLET SENSOR</t>
  </si>
  <si>
    <t>ALTIMA TECHNOLOGIES</t>
  </si>
  <si>
    <t>831S-G-250-20R</t>
  </si>
  <si>
    <t>625946-10</t>
  </si>
  <si>
    <t>101C-3797</t>
  </si>
  <si>
    <t>PACK TEMP CONTROL</t>
  </si>
  <si>
    <t>800-000914-1    OR                     S233T100-526</t>
  </si>
  <si>
    <t>LIGHT PLATE</t>
  </si>
  <si>
    <t>D4</t>
  </si>
  <si>
    <t>8-416-02</t>
  </si>
  <si>
    <t>PSEU</t>
  </si>
  <si>
    <t>103C-4526</t>
  </si>
  <si>
    <t>107C-3161</t>
  </si>
  <si>
    <t>111C-156</t>
  </si>
  <si>
    <t>082C-4192</t>
  </si>
  <si>
    <t>092C-4206</t>
  </si>
  <si>
    <t>073C-454</t>
  </si>
  <si>
    <t>ENG. ALERT PROCESSOR</t>
  </si>
  <si>
    <t>1-1-4*</t>
  </si>
  <si>
    <t>8930-223B90H014</t>
  </si>
  <si>
    <t>O1</t>
  </si>
  <si>
    <t>6328M2</t>
  </si>
  <si>
    <t>P5</t>
  </si>
  <si>
    <t>144-3</t>
  </si>
  <si>
    <t>625946-9</t>
  </si>
  <si>
    <t>055C-4801</t>
  </si>
  <si>
    <t>TEMP CONTROL PACK</t>
  </si>
  <si>
    <t xml:space="preserve">8-930-03 OR S282T003-3 </t>
  </si>
  <si>
    <t>C5325</t>
  </si>
  <si>
    <t>898126-2-1</t>
  </si>
  <si>
    <t>P-450</t>
  </si>
  <si>
    <t>REGULATOR</t>
  </si>
  <si>
    <t>63999-001</t>
  </si>
  <si>
    <t>2250-483</t>
  </si>
  <si>
    <t>HAND HELD MIC</t>
  </si>
  <si>
    <t>I1</t>
  </si>
  <si>
    <t>2250-494</t>
  </si>
  <si>
    <t>8D1496</t>
  </si>
  <si>
    <t>OIL PRESSURE SWITCH</t>
  </si>
  <si>
    <t>63999-003</t>
  </si>
  <si>
    <t>MICROPHONE</t>
  </si>
  <si>
    <t>S8</t>
  </si>
  <si>
    <t>8TJ124GGN3</t>
  </si>
  <si>
    <t>4881L</t>
  </si>
  <si>
    <t>FUEL TRAX</t>
  </si>
  <si>
    <t>6445-01</t>
  </si>
  <si>
    <t>4267E</t>
  </si>
  <si>
    <t>FIRE CARD</t>
  </si>
  <si>
    <t>Q8</t>
  </si>
  <si>
    <t>90-0215-3</t>
  </si>
  <si>
    <t>0689*</t>
  </si>
  <si>
    <t>WIPER MOTOR</t>
  </si>
  <si>
    <t>H8</t>
  </si>
  <si>
    <t>4297E</t>
  </si>
  <si>
    <t>90-0215-4</t>
  </si>
  <si>
    <t>0486*</t>
  </si>
  <si>
    <t>213-2</t>
  </si>
  <si>
    <t>4234E</t>
  </si>
  <si>
    <t>4258E</t>
  </si>
  <si>
    <t>65-24482-93</t>
  </si>
  <si>
    <t>ASTAR02252008</t>
  </si>
  <si>
    <t>LH MLG UPLOCK/DOWN</t>
  </si>
  <si>
    <t>65-26758-39</t>
  </si>
  <si>
    <t>REP-33-00059</t>
  </si>
  <si>
    <t>GLASS</t>
  </si>
  <si>
    <t>LJ WALCH CO. INC</t>
  </si>
  <si>
    <t>65-44503-10</t>
  </si>
  <si>
    <t>BAC ASSY</t>
  </si>
  <si>
    <t>908D049-1</t>
  </si>
  <si>
    <t>COVER TERMINAL GEN</t>
  </si>
  <si>
    <t>GMAIR</t>
  </si>
  <si>
    <t>65-44810-5</t>
  </si>
  <si>
    <t>DA2085</t>
  </si>
  <si>
    <t>65-5093-4</t>
  </si>
  <si>
    <t>FB83319</t>
  </si>
  <si>
    <t>L13</t>
  </si>
  <si>
    <t>AEROSPACE INNOVATIONS</t>
  </si>
  <si>
    <t>65-54993-508</t>
  </si>
  <si>
    <t>CAS2866</t>
  </si>
  <si>
    <t>COBALT AERO SERVICES</t>
  </si>
  <si>
    <t>9324G-10676</t>
  </si>
  <si>
    <t>GFI CONTACTOR</t>
  </si>
  <si>
    <t>6577-1</t>
  </si>
  <si>
    <t>FAN, VALVE AXIAL</t>
  </si>
  <si>
    <t>B22</t>
  </si>
  <si>
    <t>6577-2</t>
  </si>
  <si>
    <t>PAZ-8939</t>
  </si>
  <si>
    <t>H10</t>
  </si>
  <si>
    <t>65806-002-1</t>
  </si>
  <si>
    <t>ELECTRONIC CLOOCK</t>
  </si>
  <si>
    <t>65C26864-3</t>
  </si>
  <si>
    <t>E-2107</t>
  </si>
  <si>
    <t>SPOLIER</t>
  </si>
  <si>
    <t>976J252-6</t>
  </si>
  <si>
    <t>Y15933</t>
  </si>
  <si>
    <t>GENERATOR</t>
  </si>
  <si>
    <t>976J498-2</t>
  </si>
  <si>
    <t>TT717WM</t>
  </si>
  <si>
    <t>GENERADOR</t>
  </si>
  <si>
    <t>2N3-1C</t>
  </si>
  <si>
    <t>XI11632</t>
  </si>
  <si>
    <t>WG10345</t>
  </si>
  <si>
    <t>3N3-3C</t>
  </si>
  <si>
    <t>SU1307M</t>
  </si>
  <si>
    <t>RW2017</t>
  </si>
  <si>
    <t>XL13657</t>
  </si>
  <si>
    <t>979088-7</t>
  </si>
  <si>
    <t>866C</t>
  </si>
  <si>
    <t>H14</t>
  </si>
  <si>
    <t>979806-12</t>
  </si>
  <si>
    <t>324C</t>
  </si>
  <si>
    <t>SURGE VALVE</t>
  </si>
  <si>
    <t>6670M2224</t>
  </si>
  <si>
    <t>BF51</t>
  </si>
  <si>
    <t>AVM SIGNAL CONDITION</t>
  </si>
  <si>
    <t>NOSTH BAY AVIATION</t>
  </si>
  <si>
    <t>908C828-1</t>
  </si>
  <si>
    <t>BRACKET, COVER TERM</t>
  </si>
  <si>
    <t>AIRCRAFT SUPPORT</t>
  </si>
  <si>
    <t>AL25</t>
  </si>
  <si>
    <t>166C</t>
  </si>
  <si>
    <t>E27</t>
  </si>
  <si>
    <t>66760-4</t>
  </si>
  <si>
    <t>0738*</t>
  </si>
  <si>
    <t>HYD MODULE</t>
  </si>
  <si>
    <t>K1</t>
  </si>
  <si>
    <t>0534*</t>
  </si>
  <si>
    <t>66940*</t>
  </si>
  <si>
    <t>SELENOID VALVE</t>
  </si>
  <si>
    <t>E18</t>
  </si>
  <si>
    <t>67-2906-002</t>
  </si>
  <si>
    <t>AIR SHUTOFF VALVE</t>
  </si>
  <si>
    <t>03880198*</t>
  </si>
  <si>
    <t>684D100-17</t>
  </si>
  <si>
    <t>C8</t>
  </si>
  <si>
    <t>6937-5</t>
  </si>
  <si>
    <t>RVDT</t>
  </si>
  <si>
    <t>967-0212-002</t>
  </si>
  <si>
    <t>0582*</t>
  </si>
  <si>
    <t>PACIFIC AEROSPACE</t>
  </si>
  <si>
    <t>6A47-000</t>
  </si>
  <si>
    <t>OIL COOLER</t>
  </si>
  <si>
    <t>662C</t>
  </si>
  <si>
    <t xml:space="preserve"> SURGE VALVE</t>
  </si>
  <si>
    <t>AE2428-1</t>
  </si>
  <si>
    <t>CYLINDER ASSY</t>
  </si>
  <si>
    <t>708520-2</t>
  </si>
  <si>
    <t>DC TIE CONTROL UNIT</t>
  </si>
  <si>
    <t>VELOCITY AREOSPACE FT</t>
  </si>
  <si>
    <t>721101A1</t>
  </si>
  <si>
    <t>2UND SWITCH</t>
  </si>
  <si>
    <t>F16</t>
  </si>
  <si>
    <t>FIRST CLASS AIR SUPPORT</t>
  </si>
  <si>
    <t>91-009S</t>
  </si>
  <si>
    <t>APU ACTUATOR DOOR</t>
  </si>
  <si>
    <t>110-4380</t>
  </si>
  <si>
    <t>732-13870-14</t>
  </si>
  <si>
    <t>67-1197</t>
  </si>
  <si>
    <t>214-1</t>
  </si>
  <si>
    <t>B30US6</t>
  </si>
  <si>
    <t>233-4</t>
  </si>
  <si>
    <t>DONOVAN</t>
  </si>
  <si>
    <t>B-430</t>
  </si>
  <si>
    <t>CE-64588</t>
  </si>
  <si>
    <t>I16</t>
  </si>
  <si>
    <t>734284F</t>
  </si>
  <si>
    <t>AABA006840</t>
  </si>
  <si>
    <t>GENERATOR CNTRL UNIT</t>
  </si>
  <si>
    <t>VELOCITY AEROSPACE INC</t>
  </si>
  <si>
    <t>A4022</t>
  </si>
  <si>
    <t>GEARED ROTARY ACT</t>
  </si>
  <si>
    <t>F12</t>
  </si>
  <si>
    <t>7613MSR</t>
  </si>
  <si>
    <t>ID PLATE DECAL</t>
  </si>
  <si>
    <t>C9</t>
  </si>
  <si>
    <t>AERO DECALS</t>
  </si>
  <si>
    <t>WHEELS JULIO</t>
  </si>
  <si>
    <t>STARTER CONTROL VALVE</t>
  </si>
  <si>
    <t>C-07202-2</t>
  </si>
  <si>
    <t>COAXIAL CONTROL</t>
  </si>
  <si>
    <t>778718-8</t>
  </si>
  <si>
    <t>R5038-05</t>
  </si>
  <si>
    <t>TRANSMISSION HOUSING</t>
  </si>
  <si>
    <t>RO PARA MOD</t>
  </si>
  <si>
    <t>F19710</t>
  </si>
  <si>
    <t>T1</t>
  </si>
  <si>
    <t>ACCEL AVIATION ACCESSORIES</t>
  </si>
  <si>
    <t>68332W</t>
  </si>
  <si>
    <t>PNEUMATIC STARTER</t>
  </si>
  <si>
    <t>7G110-3</t>
  </si>
  <si>
    <t>28013A</t>
  </si>
  <si>
    <t>DM1601354-001</t>
  </si>
  <si>
    <t>ATC ANTENA</t>
  </si>
  <si>
    <t>D10</t>
  </si>
  <si>
    <t>L3 HARRIS TECHNOLOGIES INC</t>
  </si>
  <si>
    <t>7T0456</t>
  </si>
  <si>
    <t>A-6</t>
  </si>
  <si>
    <t>49-2262</t>
  </si>
  <si>
    <t>802300-14</t>
  </si>
  <si>
    <t>E24050363</t>
  </si>
  <si>
    <t>PBE</t>
  </si>
  <si>
    <t>AVOX SYSTEM INC</t>
  </si>
  <si>
    <t>803436-22</t>
  </si>
  <si>
    <t>STOWAGE</t>
  </si>
  <si>
    <t>K9</t>
  </si>
  <si>
    <t>AVOX SYSTEMS INC</t>
  </si>
  <si>
    <t>8055515-4502</t>
  </si>
  <si>
    <t>DATA PRINTER</t>
  </si>
  <si>
    <t>O2</t>
  </si>
  <si>
    <t>G7404-121</t>
  </si>
  <si>
    <t>RADIO TUNING PANEL</t>
  </si>
  <si>
    <t>S7</t>
  </si>
  <si>
    <t>O3</t>
  </si>
  <si>
    <t>813558-1</t>
  </si>
  <si>
    <t>GEAR PIN</t>
  </si>
  <si>
    <t>DSC TRADING</t>
  </si>
  <si>
    <t>GM7184-3</t>
  </si>
  <si>
    <t>DUAL LINER TRANSD</t>
  </si>
  <si>
    <t>822-0282-102</t>
  </si>
  <si>
    <t>RECEIVER ASSY LDG</t>
  </si>
  <si>
    <t>HG1050AD15</t>
  </si>
  <si>
    <t>I R U</t>
  </si>
  <si>
    <t>822-0330-001</t>
  </si>
  <si>
    <t>HG1050AE11</t>
  </si>
  <si>
    <t>IRU</t>
  </si>
  <si>
    <t>HG1050AE15</t>
  </si>
  <si>
    <t>822-1088-001</t>
  </si>
  <si>
    <t>PANEL INDICATOR</t>
  </si>
  <si>
    <t>ROCKWEL COLLINS SALES AND SERVICES</t>
  </si>
  <si>
    <t>HG1064AA07</t>
  </si>
  <si>
    <t>FUEL QTY PROCCESSOR</t>
  </si>
  <si>
    <t>822-1338-003</t>
  </si>
  <si>
    <t>1JTTF</t>
  </si>
  <si>
    <t>ATC TRANSPONDER</t>
  </si>
  <si>
    <t>INERTIAL AEROSPACE SERVICES</t>
  </si>
  <si>
    <t>8-345-03</t>
  </si>
  <si>
    <t>SENSOR PROXIMITY</t>
  </si>
  <si>
    <t>A121278</t>
  </si>
  <si>
    <t>881600-1001 OR 1060811-13</t>
  </si>
  <si>
    <t>892809-0400-02</t>
  </si>
  <si>
    <t>FCU CONTROL UNIT</t>
  </si>
  <si>
    <t>144-2</t>
  </si>
  <si>
    <t>MC10-25-104</t>
  </si>
  <si>
    <t>CREW O2 MASK REG</t>
  </si>
  <si>
    <t>AOG ACCESSORIES</t>
  </si>
  <si>
    <t xml:space="preserve"> MID JET REPAIR</t>
  </si>
  <si>
    <t>898732-02</t>
  </si>
  <si>
    <t>0110*</t>
  </si>
  <si>
    <t>0069*</t>
  </si>
  <si>
    <t>MS28034-1</t>
  </si>
  <si>
    <t>TEMP BULB</t>
  </si>
  <si>
    <t>0637*</t>
  </si>
  <si>
    <t>8TJ85GBA2</t>
  </si>
  <si>
    <t>C-917ACE</t>
  </si>
  <si>
    <t>FLOWMETER TRANS</t>
  </si>
  <si>
    <t>C21</t>
  </si>
  <si>
    <t>0655*</t>
  </si>
  <si>
    <t>0361*</t>
  </si>
  <si>
    <t>S231N210-14</t>
  </si>
  <si>
    <t>1227D</t>
  </si>
  <si>
    <t>CABIN PRESS IND</t>
  </si>
  <si>
    <t>90-0327-1WE</t>
  </si>
  <si>
    <t>S233T100-526</t>
  </si>
  <si>
    <t>S282T002-6</t>
  </si>
  <si>
    <t>BATTERY CHAGER</t>
  </si>
  <si>
    <t>S282T003-3 /8-930-03</t>
  </si>
  <si>
    <t>C8689</t>
  </si>
  <si>
    <t>CHARGER CONTROOLLER</t>
  </si>
  <si>
    <t>90-10021-3</t>
  </si>
  <si>
    <t>9045000-1</t>
  </si>
  <si>
    <t>03374061*</t>
  </si>
  <si>
    <t>S67-2002-18</t>
  </si>
  <si>
    <t>ANTENNAL LOW RANGE</t>
  </si>
  <si>
    <t>SEDL-0C9B</t>
  </si>
  <si>
    <t>INDICATOR BLEED</t>
  </si>
  <si>
    <t>908D049-1  ALT: 83843</t>
  </si>
  <si>
    <t>TOTAL AIRCRAFT SUPPORT</t>
  </si>
  <si>
    <t>SETL-0C420M</t>
  </si>
  <si>
    <t>468ABCDEF</t>
  </si>
  <si>
    <t>CABIN PRESS GAUGES</t>
  </si>
  <si>
    <t>R4</t>
  </si>
  <si>
    <t>1500EA</t>
  </si>
  <si>
    <t>MF10-02-11</t>
  </si>
  <si>
    <t>OXIGEN MASK T</t>
  </si>
  <si>
    <t>S67-1575-133</t>
  </si>
  <si>
    <t>436-19068</t>
  </si>
  <si>
    <t>GPS ANTENA</t>
  </si>
  <si>
    <t>L9</t>
  </si>
  <si>
    <t>9207-8339</t>
  </si>
  <si>
    <t>ZL57M</t>
  </si>
  <si>
    <t>TD7905M</t>
  </si>
  <si>
    <t>9-217-33</t>
  </si>
  <si>
    <t>D6957</t>
  </si>
  <si>
    <t>I3</t>
  </si>
  <si>
    <t>FT1221</t>
  </si>
  <si>
    <t>AAG/APS</t>
  </si>
  <si>
    <t>941D339-1</t>
  </si>
  <si>
    <t>XJ8125</t>
  </si>
  <si>
    <t>TRANSFORMER ASSY</t>
  </si>
  <si>
    <t>222-1</t>
  </si>
  <si>
    <t>04048*</t>
  </si>
  <si>
    <t>UNIT</t>
  </si>
  <si>
    <t>PUMP</t>
  </si>
  <si>
    <t>916C</t>
  </si>
  <si>
    <t>YL9955</t>
  </si>
  <si>
    <t>948E503G2</t>
  </si>
  <si>
    <t>91M1336</t>
  </si>
  <si>
    <t>965-0876-030-B05-B04</t>
  </si>
  <si>
    <t>DPWS COMPUTER</t>
  </si>
  <si>
    <t>AIRBORNE MANTENANCE</t>
  </si>
  <si>
    <t>979410-4</t>
  </si>
  <si>
    <t>P-216C</t>
  </si>
  <si>
    <t>M3</t>
  </si>
  <si>
    <t>P-602C</t>
  </si>
  <si>
    <t xml:space="preserve"> CONTROL VALVE</t>
  </si>
  <si>
    <t>980-6022-001</t>
  </si>
  <si>
    <t>CVR120-13157</t>
  </si>
  <si>
    <t>COCKPIT VOICE RECOR</t>
  </si>
  <si>
    <t>B1736EA</t>
  </si>
  <si>
    <t>P2</t>
  </si>
  <si>
    <t>98220K</t>
  </si>
  <si>
    <t>TL10746</t>
  </si>
  <si>
    <t>PROBE THERMO</t>
  </si>
  <si>
    <t>B8</t>
  </si>
  <si>
    <t>SA05176</t>
  </si>
  <si>
    <t>TL10759</t>
  </si>
  <si>
    <t>B9</t>
  </si>
  <si>
    <t>SERV</t>
  </si>
  <si>
    <t>SA05179</t>
  </si>
  <si>
    <t>9D-80510-2</t>
  </si>
  <si>
    <t>FUEL QUANTITY IND</t>
  </si>
  <si>
    <t>INNOVATIVE SOLUTIONS</t>
  </si>
  <si>
    <t>A-1077DD</t>
  </si>
  <si>
    <t>CK-49516</t>
  </si>
  <si>
    <t>A31007-59</t>
  </si>
  <si>
    <t>ADAPTER TEST CABLE</t>
  </si>
  <si>
    <t>AERO TOOLS CONNRCTION</t>
  </si>
  <si>
    <t>A64847-007</t>
  </si>
  <si>
    <t>IGV ACTUATOR</t>
  </si>
  <si>
    <t xml:space="preserve">	IGNITER PLUG</t>
  </si>
  <si>
    <t>C6</t>
  </si>
  <si>
    <t>HOUR MTR</t>
  </si>
  <si>
    <t>RD7825M</t>
  </si>
  <si>
    <t>PE8086M</t>
  </si>
  <si>
    <t>AC2-A</t>
  </si>
  <si>
    <t>0759*</t>
  </si>
  <si>
    <t>SERVO AUTO THROTTLE</t>
  </si>
  <si>
    <t>A-12</t>
  </si>
  <si>
    <t>117-A0341</t>
  </si>
  <si>
    <t>AC30-0003-3</t>
  </si>
  <si>
    <t>SLECTOR SWITCH</t>
  </si>
  <si>
    <t>B &amp; G INSTRUMENTS</t>
  </si>
  <si>
    <t>AC69606</t>
  </si>
  <si>
    <t>VALVE IP BLEED</t>
  </si>
  <si>
    <t>APU CHECK VALVE</t>
  </si>
  <si>
    <t>AD-4579</t>
  </si>
  <si>
    <t>AVIOCRAFT</t>
  </si>
  <si>
    <t>NW1760M</t>
  </si>
  <si>
    <t>161452D</t>
  </si>
  <si>
    <t>AE82574H</t>
  </si>
  <si>
    <t>59560655-05</t>
  </si>
  <si>
    <t>ADAPTER METAL</t>
  </si>
  <si>
    <t>3886167-3</t>
  </si>
  <si>
    <t>59560656-01</t>
  </si>
  <si>
    <t>ROD ASSY</t>
  </si>
  <si>
    <t>I11</t>
  </si>
  <si>
    <t>3605812-22</t>
  </si>
  <si>
    <t>P-993</t>
  </si>
  <si>
    <t>ELECTRIC STARTER</t>
  </si>
  <si>
    <t>B18D18</t>
  </si>
  <si>
    <t>CSD OIL COOLER</t>
  </si>
  <si>
    <t>232-1</t>
  </si>
  <si>
    <t>B4188MRS</t>
  </si>
  <si>
    <t>B-430-1</t>
  </si>
  <si>
    <t>CK-46402</t>
  </si>
  <si>
    <t>O4</t>
  </si>
  <si>
    <t>BACJ40A20-8</t>
  </si>
  <si>
    <t>A-3</t>
  </si>
  <si>
    <t>AVIAIR</t>
  </si>
  <si>
    <t>BACJ40AB22-9</t>
  </si>
  <si>
    <t>BDC5</t>
  </si>
  <si>
    <t>DIMMER CONTROL UNIT</t>
  </si>
  <si>
    <t>Q4</t>
  </si>
  <si>
    <t>NOVO AERO SERVICES</t>
  </si>
  <si>
    <t>CG1093AC01</t>
  </si>
  <si>
    <t>INERTIAL PANEL</t>
  </si>
  <si>
    <t>CG1093AD01</t>
  </si>
  <si>
    <t>INERTIAL MODE PANEL</t>
  </si>
  <si>
    <t>CH53556</t>
  </si>
  <si>
    <t>IGNITER CABLE</t>
  </si>
  <si>
    <t>L1</t>
  </si>
  <si>
    <t>D25BD</t>
  </si>
  <si>
    <t>TA-05366</t>
  </si>
  <si>
    <t>B23</t>
  </si>
  <si>
    <t>S282T002-6 OR 4-254-04</t>
  </si>
  <si>
    <t>D-31C</t>
  </si>
  <si>
    <t>CK-27398A</t>
  </si>
  <si>
    <t>CR-07917A</t>
  </si>
  <si>
    <t>D455-07-001</t>
  </si>
  <si>
    <t>988/09-89</t>
  </si>
  <si>
    <t>SWITCH SHUT OFF ENGE</t>
  </si>
  <si>
    <t>4404B000-004</t>
  </si>
  <si>
    <t>DK120-90</t>
  </si>
  <si>
    <t>AT212471</t>
  </si>
  <si>
    <t>U/W BEACON</t>
  </si>
  <si>
    <t>DUKANE SEACOM</t>
  </si>
  <si>
    <t>VALVE PURPOSE</t>
  </si>
  <si>
    <t>ANTENNA</t>
  </si>
  <si>
    <t>L3HARRIS TECHONOLOGIES</t>
  </si>
  <si>
    <t>E-308AH</t>
  </si>
  <si>
    <t>TA-03561</t>
  </si>
  <si>
    <t>Q5</t>
  </si>
  <si>
    <t>00106*</t>
  </si>
  <si>
    <t>16728F1</t>
  </si>
  <si>
    <t>CK-10094</t>
  </si>
  <si>
    <t>CJ-72976</t>
  </si>
  <si>
    <t>C10</t>
  </si>
  <si>
    <t>G7404-21</t>
  </si>
  <si>
    <t>GM6937-5</t>
  </si>
  <si>
    <t>ROTARY TRANSDUCER</t>
  </si>
  <si>
    <t>00181*</t>
  </si>
  <si>
    <t>10-617075-6</t>
  </si>
  <si>
    <t>IMX AEROSPACE</t>
  </si>
  <si>
    <t>H321AKM1</t>
  </si>
  <si>
    <t>GYRO HORIZON</t>
  </si>
  <si>
    <t>AEROLAB INC</t>
  </si>
  <si>
    <t>H-0144</t>
  </si>
  <si>
    <t>FUEL GAUCE PROCESSOR</t>
  </si>
  <si>
    <t>431032-2</t>
  </si>
  <si>
    <t>04218564*</t>
  </si>
  <si>
    <t>LEAD, IGNITION</t>
  </si>
  <si>
    <t>HP1368100-5</t>
  </si>
  <si>
    <t>OA2210772</t>
  </si>
  <si>
    <t>A-18</t>
  </si>
  <si>
    <t>HT-C7N-060</t>
  </si>
  <si>
    <t>W175335</t>
  </si>
  <si>
    <t>CONTACTOR</t>
  </si>
  <si>
    <t>B10</t>
  </si>
  <si>
    <t>W175338</t>
  </si>
  <si>
    <t>JG1208CK01</t>
  </si>
  <si>
    <t>D0623</t>
  </si>
  <si>
    <t>E0492</t>
  </si>
  <si>
    <t>D0611</t>
  </si>
  <si>
    <t>K-D4L-036</t>
  </si>
  <si>
    <t>238-0283-004-000</t>
  </si>
  <si>
    <t>398908-5</t>
  </si>
  <si>
    <t>B2743</t>
  </si>
  <si>
    <t>3876072-2</t>
  </si>
  <si>
    <t>LOAD COMP INLET TEMP SENSOR</t>
  </si>
  <si>
    <t>LB18D18</t>
  </si>
  <si>
    <t>00G-029</t>
  </si>
  <si>
    <t>LJ70458</t>
  </si>
  <si>
    <t>MA11A1265</t>
  </si>
  <si>
    <t>N75220</t>
  </si>
  <si>
    <t>MA30A1001</t>
  </si>
  <si>
    <t>AA259045D</t>
  </si>
  <si>
    <t>ACTUATOR ELECTRICAL</t>
  </si>
  <si>
    <t>HH8</t>
  </si>
  <si>
    <t>3885081-1 or 3614400-8</t>
  </si>
  <si>
    <t>GFM02238</t>
  </si>
  <si>
    <t>TRANSDUCER ASSY</t>
  </si>
  <si>
    <t>UCN125385</t>
  </si>
  <si>
    <t>MS90362-3</t>
  </si>
  <si>
    <t>MXP147</t>
  </si>
  <si>
    <t>S1772</t>
  </si>
  <si>
    <t>BOX MACK OX</t>
  </si>
  <si>
    <t>I15</t>
  </si>
  <si>
    <t>MXP210-00</t>
  </si>
  <si>
    <t>GAGGLES</t>
  </si>
  <si>
    <t>D22</t>
  </si>
  <si>
    <t>MXP402</t>
  </si>
  <si>
    <t>FLIGHT CREW MASK</t>
  </si>
  <si>
    <t>M12</t>
  </si>
  <si>
    <t>OMP2506-3</t>
  </si>
  <si>
    <t>NSA</t>
  </si>
  <si>
    <t>ADAPTOR CHAIN</t>
  </si>
  <si>
    <t>C11</t>
  </si>
  <si>
    <t>P01074-201</t>
  </si>
  <si>
    <t>LIFE  VEST</t>
  </si>
  <si>
    <t>R1/R2/R3</t>
  </si>
  <si>
    <t>EASTERM AERO</t>
  </si>
  <si>
    <t>A-17</t>
  </si>
  <si>
    <t>PROPONENT</t>
  </si>
  <si>
    <t>PT-033D</t>
  </si>
  <si>
    <t>1393EA</t>
  </si>
  <si>
    <t>CABIN PRESSURIZATION</t>
  </si>
  <si>
    <t>411A</t>
  </si>
  <si>
    <t>INDICATOR ASSY</t>
  </si>
  <si>
    <t>S233T100-6016 OR 800-000922-1</t>
  </si>
  <si>
    <t>LIGHT PLPATE</t>
  </si>
  <si>
    <t>S332T004-37 OR 8D1496</t>
  </si>
  <si>
    <t>GPS ANTENNA</t>
  </si>
  <si>
    <t>I 7</t>
  </si>
  <si>
    <t>436-24009</t>
  </si>
  <si>
    <t>436-26339</t>
  </si>
  <si>
    <t>436-27466</t>
  </si>
  <si>
    <t>436-30653</t>
  </si>
  <si>
    <t>B1369A</t>
  </si>
  <si>
    <t>T5-2002-104-00</t>
  </si>
  <si>
    <t>TENSIOMETER</t>
  </si>
  <si>
    <t>I4</t>
  </si>
  <si>
    <t>Z030H0004110</t>
  </si>
  <si>
    <t>DCU</t>
  </si>
  <si>
    <t>P8</t>
  </si>
  <si>
    <t>LEAD-ELEC IGNITIER</t>
  </si>
  <si>
    <t>IMX3125</t>
  </si>
  <si>
    <t>LOW LIMIT VALVE</t>
  </si>
  <si>
    <t>767460-1</t>
  </si>
  <si>
    <t>FLOW CONTROL</t>
  </si>
  <si>
    <t>A95080015</t>
  </si>
  <si>
    <t>1153222-2</t>
  </si>
  <si>
    <t>1153222-06292</t>
  </si>
  <si>
    <t>BLEED PRESSURE SENSOR</t>
  </si>
  <si>
    <t>3614408-1</t>
  </si>
  <si>
    <t>FLOW SENSOR ASSY</t>
  </si>
  <si>
    <t>379103D27</t>
  </si>
  <si>
    <t>B-1</t>
  </si>
  <si>
    <t>B-2</t>
  </si>
  <si>
    <t>149920D</t>
  </si>
  <si>
    <t>AS66411-L-S666</t>
  </si>
  <si>
    <t>MX124377D</t>
  </si>
  <si>
    <t>212-1*</t>
  </si>
  <si>
    <t>MX158368F</t>
  </si>
  <si>
    <t>212-4*</t>
  </si>
  <si>
    <t>MX-527141T-S</t>
  </si>
  <si>
    <t>212-3*</t>
  </si>
  <si>
    <t>MX187444J</t>
  </si>
  <si>
    <t>212-2*</t>
  </si>
  <si>
    <t>D-7AC</t>
  </si>
  <si>
    <t>CH-89445</t>
  </si>
  <si>
    <t>CONSOLIDATED AIRCRAFT SUPPLY</t>
  </si>
  <si>
    <t>MULTICOLOR EDU</t>
  </si>
  <si>
    <t>10-900-25</t>
  </si>
  <si>
    <t>SPECMAT TECHNOLOGIES INC</t>
  </si>
  <si>
    <t>S23020114</t>
  </si>
  <si>
    <t>LEAD ASSY</t>
  </si>
  <si>
    <t>UNISION INDUSTRIES LLC</t>
  </si>
  <si>
    <t>ANTISKID CONTRL VALVE</t>
  </si>
  <si>
    <t>3888058-5</t>
  </si>
  <si>
    <t>J18160178</t>
  </si>
  <si>
    <t>IGNITION EXICITER</t>
  </si>
  <si>
    <t>8TJ99GBU2</t>
  </si>
  <si>
    <t>4445T</t>
  </si>
  <si>
    <t>LIQUID LEVER TRANSMITTER</t>
  </si>
  <si>
    <t>233N3214-28</t>
  </si>
  <si>
    <t>D00593</t>
  </si>
  <si>
    <t>PANEL LIGTING CONTROL</t>
  </si>
  <si>
    <t>CM-37656</t>
  </si>
  <si>
    <t>MAGNETIC LATCH CIRCUIT</t>
  </si>
  <si>
    <t>102-B0356</t>
  </si>
  <si>
    <t>CONTROLLER APU</t>
  </si>
  <si>
    <t>63001090-1</t>
  </si>
  <si>
    <t>RING SET</t>
  </si>
  <si>
    <t>AIR21373</t>
  </si>
  <si>
    <t>3176985-1</t>
  </si>
  <si>
    <t>PISTON RING SET</t>
  </si>
  <si>
    <t>3176987-1</t>
  </si>
  <si>
    <t>GUIDE RINSET</t>
  </si>
  <si>
    <t>1500FA</t>
  </si>
  <si>
    <t>CABIN PRESSURE IND</t>
  </si>
  <si>
    <t>001044*</t>
  </si>
  <si>
    <t xml:space="preserve">	LAMP DIMMER ASSY</t>
  </si>
  <si>
    <t>HP1373100-3</t>
  </si>
  <si>
    <t>INFLIGHT AEROSPACE SOLUTIONS</t>
  </si>
  <si>
    <t>1B5227</t>
  </si>
  <si>
    <t>ADAPTER TUBE</t>
  </si>
  <si>
    <t>1A9405</t>
  </si>
  <si>
    <t>MS27418-2A</t>
  </si>
  <si>
    <t>D21$</t>
  </si>
  <si>
    <t>CT350E-24E2</t>
  </si>
  <si>
    <t>CONTRACTOR</t>
  </si>
  <si>
    <t>3840022-4</t>
  </si>
  <si>
    <t>TURBINE WHEEL ASSY</t>
  </si>
  <si>
    <t>F23/F24</t>
  </si>
  <si>
    <t>321-400-705-0</t>
  </si>
  <si>
    <t>TR ACTUATOR</t>
  </si>
  <si>
    <t>418-17054</t>
  </si>
  <si>
    <t>AAC7024</t>
  </si>
  <si>
    <t>TRANSMITTER PRESSURE</t>
  </si>
  <si>
    <t>09733F1</t>
  </si>
  <si>
    <t>FIRE-TEC SK AEROSAFETY GROUP</t>
  </si>
  <si>
    <t>ECU</t>
  </si>
  <si>
    <t>SA01381</t>
  </si>
  <si>
    <t>70-2179</t>
  </si>
  <si>
    <t>194274-4</t>
  </si>
  <si>
    <t>11-1990*</t>
  </si>
  <si>
    <t>REHEATER HEAT EXCHANGER</t>
  </si>
  <si>
    <t>783600-18-074</t>
  </si>
  <si>
    <t>ROOM</t>
  </si>
  <si>
    <t xml:space="preserve">vendido </t>
  </si>
  <si>
    <t>28512W</t>
  </si>
  <si>
    <t>107494-4</t>
  </si>
  <si>
    <t>352C</t>
  </si>
  <si>
    <t>REVERSE FLOW CHECH</t>
  </si>
  <si>
    <t>00106</t>
  </si>
  <si>
    <t>RUDDER TRIM IND</t>
  </si>
  <si>
    <t>PRESSURE TRANSDUCER</t>
  </si>
  <si>
    <t>233T3217-300</t>
  </si>
  <si>
    <t>D01074</t>
  </si>
  <si>
    <t>PTY201</t>
  </si>
  <si>
    <t>EPOXY PUTTY</t>
  </si>
  <si>
    <t>NEW PIG CORPORATION</t>
  </si>
  <si>
    <t>C2</t>
  </si>
  <si>
    <t>C3</t>
  </si>
  <si>
    <t>3232T4215-14</t>
  </si>
  <si>
    <t>SLIDER AF/FLIGHT</t>
  </si>
  <si>
    <t>THERMOSTAT</t>
  </si>
  <si>
    <t>3601-54-750/320-9</t>
  </si>
  <si>
    <t>FIRE/OVERHEAT DETECTOR</t>
  </si>
  <si>
    <t>3601-57-1050/650-3</t>
  </si>
  <si>
    <t>115999K</t>
  </si>
  <si>
    <t>HYDL PUMP</t>
  </si>
  <si>
    <t>161054D</t>
  </si>
  <si>
    <t>I.R.U</t>
  </si>
  <si>
    <t>TEMPERATURE SENSOR</t>
  </si>
  <si>
    <t>3605812-17</t>
  </si>
  <si>
    <t>P-36032</t>
  </si>
  <si>
    <t>3882550-3</t>
  </si>
  <si>
    <t>A558</t>
  </si>
  <si>
    <t>FLOW DIVIDER</t>
  </si>
  <si>
    <t>AEROTEC INTERNATIONAL INC</t>
  </si>
  <si>
    <t>D3292-4000A</t>
  </si>
  <si>
    <t>M49913</t>
  </si>
  <si>
    <t>SKYLINE ACCESSORIES LLC</t>
  </si>
  <si>
    <t>3601-29-800-450-5</t>
  </si>
  <si>
    <t>DELTA AIR LINES INC</t>
  </si>
  <si>
    <t>HAD18269</t>
  </si>
  <si>
    <t>NA</t>
  </si>
  <si>
    <t>THERMOCOUPLE</t>
  </si>
  <si>
    <t>PROJECTS INC</t>
  </si>
  <si>
    <t>3886167-4</t>
  </si>
  <si>
    <t>0375*</t>
  </si>
  <si>
    <t>Q01249C</t>
  </si>
  <si>
    <t>RG012</t>
  </si>
  <si>
    <t>383152-16-1</t>
  </si>
  <si>
    <t>P-17167</t>
  </si>
  <si>
    <t>CONTROL ENGINE ELECTRONIC</t>
  </si>
  <si>
    <t>HAMILTON SUNDSTRAND WORLDWIDE REPAIR</t>
  </si>
  <si>
    <t>3601-29-800/450-5</t>
  </si>
  <si>
    <t>PART  No.</t>
  </si>
  <si>
    <t>STOCK ROOM</t>
  </si>
  <si>
    <t>BIN</t>
  </si>
  <si>
    <t xml:space="preserve">SISTEMA </t>
  </si>
  <si>
    <t>10-60529-2</t>
  </si>
  <si>
    <t>VALVE FUEL SHUTOFF</t>
  </si>
  <si>
    <t>1E1-3B</t>
  </si>
  <si>
    <t>BIN 9</t>
  </si>
  <si>
    <t>PRESSURE VLAVE</t>
  </si>
  <si>
    <t>493645AI</t>
  </si>
  <si>
    <t>TRAP ASSY</t>
  </si>
  <si>
    <t>R18220-2</t>
  </si>
  <si>
    <t>15B4784</t>
  </si>
  <si>
    <r>
      <rPr>
        <sz val="11"/>
        <color rgb="FF388600"/>
        <rFont val="Calibri"/>
        <family val="2"/>
        <scheme val="minor"/>
      </rPr>
      <t>1307</t>
    </r>
    <r>
      <rPr>
        <sz val="11"/>
        <color theme="1"/>
        <rFont val="Calibri"/>
        <family val="2"/>
        <scheme val="minor"/>
      </rPr>
      <t>/1504</t>
    </r>
  </si>
  <si>
    <t>7958532-515</t>
  </si>
  <si>
    <t>15B19521</t>
  </si>
  <si>
    <t>3959049-1</t>
  </si>
  <si>
    <t>NSN OR 708546</t>
  </si>
  <si>
    <t>CRANK</t>
  </si>
  <si>
    <t>318-100-D1</t>
  </si>
  <si>
    <t>2-71-161</t>
  </si>
  <si>
    <t>5938285-503</t>
  </si>
  <si>
    <t xml:space="preserve">201EN5-RB </t>
  </si>
  <si>
    <r>
      <t>2000/</t>
    </r>
    <r>
      <rPr>
        <sz val="11"/>
        <color theme="9" tint="-0.499984740745262"/>
        <rFont val="Calibri"/>
        <family val="2"/>
        <scheme val="minor"/>
      </rPr>
      <t>NSN</t>
    </r>
  </si>
  <si>
    <t>MICRO SWITCH</t>
  </si>
  <si>
    <t>OK1</t>
  </si>
  <si>
    <t>4034233-901</t>
  </si>
  <si>
    <t>POSITION SENSOR</t>
  </si>
  <si>
    <t>10-70-186</t>
  </si>
  <si>
    <t>TRANSMITTER PRESS</t>
  </si>
  <si>
    <t>42D110</t>
  </si>
  <si>
    <t>SWITCH OIL PRESS</t>
  </si>
  <si>
    <t>318-01040</t>
  </si>
  <si>
    <t>07-76-12/01-78-20</t>
  </si>
  <si>
    <t>1058V0400-2</t>
  </si>
  <si>
    <t>RU7466</t>
  </si>
  <si>
    <t>VALVE BLEEDER</t>
  </si>
  <si>
    <t>418-02042</t>
  </si>
  <si>
    <t>OIL TRANSMITTER</t>
  </si>
  <si>
    <t>10-60517</t>
  </si>
  <si>
    <t>15B334</t>
  </si>
  <si>
    <t>10-60517-53</t>
  </si>
  <si>
    <t>15B8307</t>
  </si>
  <si>
    <t>7958531-1</t>
  </si>
  <si>
    <t>1058V0400-2A</t>
  </si>
  <si>
    <t>8DJ130LWA1</t>
  </si>
  <si>
    <t>C0113 o X0082</t>
  </si>
  <si>
    <t>OIL QTY INDICADOR</t>
  </si>
  <si>
    <t>1E1-4B</t>
  </si>
  <si>
    <t>BIN 7</t>
  </si>
  <si>
    <t>15B15233</t>
  </si>
  <si>
    <t>15B10776</t>
  </si>
  <si>
    <t>1058V0100</t>
  </si>
  <si>
    <t>PF4005</t>
  </si>
  <si>
    <t>VALVE BLEED</t>
  </si>
  <si>
    <t>1005080-12-1</t>
  </si>
  <si>
    <t>PRESS RED REL</t>
  </si>
  <si>
    <t>7938004-503</t>
  </si>
  <si>
    <t>B14246</t>
  </si>
  <si>
    <t>162BL708</t>
  </si>
  <si>
    <t>TEMP IND</t>
  </si>
  <si>
    <t>7938004-515</t>
  </si>
  <si>
    <t>B8518</t>
  </si>
  <si>
    <t>B4213</t>
  </si>
  <si>
    <t>15B19947</t>
  </si>
  <si>
    <t>B8420</t>
  </si>
  <si>
    <t>AC-7031H-8K1</t>
  </si>
  <si>
    <t>FILTER HYDRAULIC</t>
  </si>
  <si>
    <t>7958532-515L</t>
  </si>
  <si>
    <t>15B16632</t>
  </si>
  <si>
    <t>7958532-517</t>
  </si>
  <si>
    <t>15B12201</t>
  </si>
  <si>
    <t>B6308</t>
  </si>
  <si>
    <t>10-60517-49</t>
  </si>
  <si>
    <t>15B5008</t>
  </si>
  <si>
    <t>15B15655</t>
  </si>
  <si>
    <t>R18425-15</t>
  </si>
  <si>
    <t>14B2216</t>
  </si>
  <si>
    <t>VALVE RELIEF</t>
  </si>
  <si>
    <t>1E1-4A</t>
  </si>
  <si>
    <t>BIN 3</t>
  </si>
  <si>
    <t>AV16E32610</t>
  </si>
  <si>
    <t>L50539</t>
  </si>
  <si>
    <t>VALVE SHUTOFF</t>
  </si>
  <si>
    <t>970-47</t>
  </si>
  <si>
    <t>OIL TRANS PRESS</t>
  </si>
  <si>
    <t>B14462</t>
  </si>
  <si>
    <t>9008-3-5AB</t>
  </si>
  <si>
    <t>CARTR IDGE</t>
  </si>
  <si>
    <t>15B4209</t>
  </si>
  <si>
    <t>861CAK</t>
  </si>
  <si>
    <t>ANGLE OF AIR FLOW</t>
  </si>
  <si>
    <t>B7438</t>
  </si>
  <si>
    <t>15B17864</t>
  </si>
  <si>
    <t>392664-1-1</t>
  </si>
  <si>
    <t>P-1105/P-552</t>
  </si>
  <si>
    <t>THERMO VALVE</t>
  </si>
  <si>
    <t>B15235</t>
  </si>
  <si>
    <t>392686-3-1</t>
  </si>
  <si>
    <t>P-1807X</t>
  </si>
  <si>
    <t>123558-1-4</t>
  </si>
  <si>
    <t>BIN 1</t>
  </si>
  <si>
    <t>123558-4-1</t>
  </si>
  <si>
    <t>3952531-5001NC1</t>
  </si>
  <si>
    <t>HYDRAULIC FILTER</t>
  </si>
  <si>
    <t>P-1927</t>
  </si>
  <si>
    <t>391012-01001</t>
  </si>
  <si>
    <t>392550-4</t>
  </si>
  <si>
    <t>8TJ85GBA-2</t>
  </si>
  <si>
    <t>F-0812CA</t>
  </si>
  <si>
    <t>FUEL FLOW</t>
  </si>
  <si>
    <t>B-0360 OR G-0360</t>
  </si>
  <si>
    <t>ST104</t>
  </si>
  <si>
    <t>5937052-5001</t>
  </si>
  <si>
    <t>1E1-1A</t>
  </si>
  <si>
    <t>5934212-5001</t>
  </si>
  <si>
    <t>EFS21210</t>
  </si>
  <si>
    <t>359161</t>
  </si>
  <si>
    <t>GOVERNOR</t>
  </si>
  <si>
    <t>8TJ146AAP1</t>
  </si>
  <si>
    <t>4179T</t>
  </si>
  <si>
    <t>OIL QTY TRANS</t>
  </si>
  <si>
    <t>H0077ACEE/Y0013/L-135/D0606/J-0029</t>
  </si>
  <si>
    <t>TRANSMITER</t>
  </si>
  <si>
    <t>1E1-2A</t>
  </si>
  <si>
    <t>BIN 4</t>
  </si>
  <si>
    <t>75196/75197</t>
  </si>
  <si>
    <t>D-0322</t>
  </si>
  <si>
    <t>5000047-01</t>
  </si>
  <si>
    <t>SX0081</t>
  </si>
  <si>
    <t>CONTROL BLEED</t>
  </si>
  <si>
    <t>60-98907</t>
  </si>
  <si>
    <t>NO PO</t>
  </si>
  <si>
    <t>B9427</t>
  </si>
  <si>
    <t>15B17266</t>
  </si>
  <si>
    <t>15B19365</t>
  </si>
  <si>
    <t>15B7263</t>
  </si>
  <si>
    <t>5913900-5519</t>
  </si>
  <si>
    <t>N1959</t>
  </si>
  <si>
    <t>SPOILER ACTUATOR</t>
  </si>
  <si>
    <t>BIN 2</t>
  </si>
  <si>
    <t>2588302-4</t>
  </si>
  <si>
    <t>DIRECTIONAL GYRO</t>
  </si>
  <si>
    <t>F-0323</t>
  </si>
  <si>
    <t>5913900-5519T18</t>
  </si>
  <si>
    <t>N1955</t>
  </si>
  <si>
    <t>B15118</t>
  </si>
  <si>
    <t>15B8826</t>
  </si>
  <si>
    <t>15B3390</t>
  </si>
  <si>
    <t>TRANSFORNMER</t>
  </si>
  <si>
    <t>10-60517-54</t>
  </si>
  <si>
    <t>15B9448</t>
  </si>
  <si>
    <t>65ND-54201-6</t>
  </si>
  <si>
    <t>15B4794</t>
  </si>
  <si>
    <t>15B9549</t>
  </si>
  <si>
    <t>2587335-13</t>
  </si>
  <si>
    <t>VERTICAL GYRO</t>
  </si>
  <si>
    <t>ASH734-1</t>
  </si>
  <si>
    <t>CC852</t>
  </si>
  <si>
    <t>6RW176YN3</t>
  </si>
  <si>
    <t>88A3360</t>
  </si>
  <si>
    <t>622-4784-001</t>
  </si>
  <si>
    <t>COUPLER ANTENA</t>
  </si>
  <si>
    <t>BIN 5</t>
  </si>
  <si>
    <t>45731-1251-1</t>
  </si>
  <si>
    <t>FSH11015</t>
  </si>
  <si>
    <t>HEAT FUEL</t>
  </si>
  <si>
    <t>ARG7246-5507</t>
  </si>
  <si>
    <t>CHC1910A</t>
  </si>
  <si>
    <t>LATCH DOOR</t>
  </si>
  <si>
    <t>5936971-55032D</t>
  </si>
  <si>
    <t>081*</t>
  </si>
  <si>
    <t>VALVE HYDR</t>
  </si>
  <si>
    <t>65001-AP104-7</t>
  </si>
  <si>
    <t>74284E</t>
  </si>
  <si>
    <t>PUMP HYDR</t>
  </si>
  <si>
    <t>MX-434467</t>
  </si>
  <si>
    <t>605290-4-2</t>
  </si>
  <si>
    <t>107-849</t>
  </si>
  <si>
    <t>FAN  VANESI</t>
  </si>
  <si>
    <t>BIN 6</t>
  </si>
  <si>
    <t>MX-480449</t>
  </si>
  <si>
    <t>10-614-500-1</t>
  </si>
  <si>
    <t>2760000-101</t>
  </si>
  <si>
    <t>VALVE AIR SHUTOFF</t>
  </si>
  <si>
    <t>1E1-1B</t>
  </si>
  <si>
    <t>321858-3-1</t>
  </si>
  <si>
    <t>P-2335</t>
  </si>
  <si>
    <t>4402C</t>
  </si>
  <si>
    <t>105984-2</t>
  </si>
  <si>
    <t>P-2048</t>
  </si>
  <si>
    <t>392716-1-1</t>
  </si>
  <si>
    <t>A8319-157</t>
  </si>
  <si>
    <t>BIN 10</t>
  </si>
  <si>
    <t>979070-2-1</t>
  </si>
  <si>
    <t>P-3334</t>
  </si>
  <si>
    <t>979070-4-1</t>
  </si>
  <si>
    <t>UP03902</t>
  </si>
  <si>
    <t>979102-4-1</t>
  </si>
  <si>
    <t>P-2225</t>
  </si>
  <si>
    <t>DL153</t>
  </si>
  <si>
    <t>BIN 8</t>
  </si>
  <si>
    <t>392964-2-1</t>
  </si>
  <si>
    <t>P-535</t>
  </si>
  <si>
    <t>42D230</t>
  </si>
  <si>
    <t>P-1315</t>
  </si>
  <si>
    <t>P-178</t>
  </si>
  <si>
    <t>979102-2-1</t>
  </si>
  <si>
    <t>P1966</t>
  </si>
  <si>
    <t>2762052-101</t>
  </si>
  <si>
    <t>P-1486C</t>
  </si>
  <si>
    <t>392796-1-1</t>
  </si>
  <si>
    <t>P-14350</t>
  </si>
  <si>
    <t>P-1431</t>
  </si>
  <si>
    <t>6019-5154</t>
  </si>
  <si>
    <t>P-4421</t>
  </si>
  <si>
    <t>VALVE STARTE</t>
  </si>
  <si>
    <t>979102-3-1</t>
  </si>
  <si>
    <t>P-3044</t>
  </si>
  <si>
    <t>979078-2-1</t>
  </si>
  <si>
    <t>P-375 OR 376</t>
  </si>
  <si>
    <t>P4897</t>
  </si>
  <si>
    <t>974070-2-1</t>
  </si>
  <si>
    <t>G-5515</t>
  </si>
  <si>
    <t>COCKPIT SPEAKER</t>
  </si>
  <si>
    <t>TRANSITOR</t>
  </si>
  <si>
    <t>65-5106-4</t>
  </si>
  <si>
    <t>FB-83256</t>
  </si>
  <si>
    <t>NASH FUEL PUMP</t>
  </si>
  <si>
    <t>100-0649-01</t>
  </si>
  <si>
    <t>20013/20027/9573/9148</t>
  </si>
  <si>
    <t>ABS-2013-1A</t>
  </si>
  <si>
    <t>60-75504</t>
  </si>
  <si>
    <t>068810196A/07795459A/068810193A/</t>
  </si>
  <si>
    <t xml:space="preserve">	FUEL BOOST PUMP</t>
  </si>
  <si>
    <t>1011A/32356/32861</t>
  </si>
  <si>
    <t>BATTERY  CHARGER</t>
  </si>
  <si>
    <t>11-0049</t>
  </si>
  <si>
    <t>LG1136AA01</t>
  </si>
  <si>
    <t>DENSITOMETER</t>
  </si>
  <si>
    <t>HTE4925-001</t>
  </si>
  <si>
    <t>685GB135/H</t>
  </si>
  <si>
    <t>MOTOR</t>
  </si>
  <si>
    <t>FT1246</t>
  </si>
  <si>
    <t>TRASFORMER</t>
  </si>
  <si>
    <t>CK-46927</t>
  </si>
  <si>
    <t>FLIGHT CREW</t>
  </si>
  <si>
    <t>85-13-03414-01</t>
  </si>
  <si>
    <t>HAND MIC</t>
  </si>
  <si>
    <t>10-319647-1</t>
  </si>
  <si>
    <t xml:space="preserve">	IGNITION LEAD</t>
  </si>
  <si>
    <t>861CAB</t>
  </si>
  <si>
    <t>02955/02390/01847/02392/01858</t>
  </si>
  <si>
    <t>861CAB-0001</t>
  </si>
  <si>
    <r>
      <rPr>
        <sz val="11"/>
        <color theme="9" tint="-0.499984740745262"/>
        <rFont val="Calibri"/>
        <family val="2"/>
        <scheme val="minor"/>
      </rPr>
      <t>01740</t>
    </r>
    <r>
      <rPr>
        <sz val="11"/>
        <color theme="1"/>
        <rFont val="Calibri"/>
        <family val="2"/>
        <scheme val="minor"/>
      </rPr>
      <t>/01336/</t>
    </r>
    <r>
      <rPr>
        <sz val="11"/>
        <color theme="9" tint="-0.499984740745262"/>
        <rFont val="Calibri"/>
        <family val="2"/>
        <scheme val="minor"/>
      </rPr>
      <t>01739</t>
    </r>
  </si>
  <si>
    <t>AOA SENSOR</t>
  </si>
  <si>
    <t>OK2</t>
  </si>
  <si>
    <t>2156-206</t>
  </si>
  <si>
    <t>A71882-1</t>
  </si>
  <si>
    <t>SERVOVALVE ASSY</t>
  </si>
  <si>
    <t>CK-61340A</t>
  </si>
  <si>
    <t>306-4320</t>
  </si>
  <si>
    <t>0851FJ-1</t>
  </si>
  <si>
    <r>
      <rPr>
        <sz val="11"/>
        <color theme="9" tint="-0.499984740745262"/>
        <rFont val="Calibri"/>
        <family val="2"/>
        <scheme val="minor"/>
      </rPr>
      <t>153784</t>
    </r>
    <r>
      <rPr>
        <sz val="11"/>
        <color theme="1"/>
        <rFont val="Calibri"/>
        <family val="2"/>
        <scheme val="minor"/>
      </rPr>
      <t>/</t>
    </r>
    <r>
      <rPr>
        <sz val="11"/>
        <color theme="9" tint="-0.499984740745262"/>
        <rFont val="Calibri"/>
        <family val="2"/>
        <scheme val="minor"/>
      </rPr>
      <t>223783/207875</t>
    </r>
    <r>
      <rPr>
        <sz val="11"/>
        <color theme="1"/>
        <rFont val="Calibri"/>
        <family val="2"/>
        <scheme val="minor"/>
      </rPr>
      <t>/</t>
    </r>
    <r>
      <rPr>
        <sz val="11"/>
        <color rgb="FF388600"/>
        <rFont val="Calibri"/>
        <family val="2"/>
        <scheme val="minor"/>
      </rPr>
      <t>NSN/NSN</t>
    </r>
    <r>
      <rPr>
        <sz val="11"/>
        <color theme="1"/>
        <rFont val="Calibri"/>
        <family val="2"/>
        <scheme val="minor"/>
      </rPr>
      <t>/</t>
    </r>
    <r>
      <rPr>
        <sz val="11"/>
        <color rgb="FF388600"/>
        <rFont val="Calibri"/>
        <family val="2"/>
        <scheme val="minor"/>
      </rPr>
      <t>131070</t>
    </r>
    <r>
      <rPr>
        <sz val="11"/>
        <color theme="1"/>
        <rFont val="Calibri"/>
        <family val="2"/>
        <scheme val="minor"/>
      </rPr>
      <t>/</t>
    </r>
    <r>
      <rPr>
        <sz val="11"/>
        <color rgb="FF388600"/>
        <rFont val="Calibri"/>
        <family val="2"/>
        <scheme val="minor"/>
      </rPr>
      <t>128982</t>
    </r>
    <r>
      <rPr>
        <sz val="11"/>
        <color theme="1"/>
        <rFont val="Calibri"/>
        <family val="2"/>
        <scheme val="minor"/>
      </rPr>
      <t>/</t>
    </r>
    <r>
      <rPr>
        <sz val="11"/>
        <rFont val="Calibri"/>
        <family val="2"/>
        <scheme val="minor"/>
      </rPr>
      <t>157002</t>
    </r>
    <r>
      <rPr>
        <sz val="11"/>
        <color theme="1"/>
        <rFont val="Calibri"/>
        <family val="2"/>
        <scheme val="minor"/>
      </rPr>
      <t>/NSN</t>
    </r>
  </si>
  <si>
    <t>OK5</t>
  </si>
  <si>
    <t>75188/76836/80696/79957</t>
  </si>
  <si>
    <r>
      <t>652/</t>
    </r>
    <r>
      <rPr>
        <sz val="11"/>
        <color theme="9" tint="-0.499984740745262"/>
        <rFont val="Calibri"/>
        <family val="2"/>
        <scheme val="minor"/>
      </rPr>
      <t>A5396</t>
    </r>
    <r>
      <rPr>
        <sz val="11"/>
        <color theme="1"/>
        <rFont val="Calibri"/>
        <family val="2"/>
        <scheme val="minor"/>
      </rPr>
      <t>/5060/</t>
    </r>
    <r>
      <rPr>
        <sz val="11"/>
        <color rgb="FFFF0000"/>
        <rFont val="Calibri"/>
        <family val="2"/>
        <scheme val="minor"/>
      </rPr>
      <t>26989</t>
    </r>
  </si>
  <si>
    <t>VALVE MOTOR</t>
  </si>
  <si>
    <t>1E1-3A</t>
  </si>
  <si>
    <t>INV 59712</t>
  </si>
  <si>
    <t>OJO</t>
  </si>
  <si>
    <r>
      <t>5365/3182/3535</t>
    </r>
    <r>
      <rPr>
        <sz val="11"/>
        <color theme="9" tint="-0.499984740745262"/>
        <rFont val="Calibri"/>
        <family val="2"/>
        <scheme val="minor"/>
      </rPr>
      <t>/4188/</t>
    </r>
  </si>
  <si>
    <t>OK 1</t>
  </si>
  <si>
    <t>3506/8961/3974</t>
  </si>
  <si>
    <t>78723/79970</t>
  </si>
  <si>
    <t>AA174302C</t>
  </si>
  <si>
    <t>ACTUSTOR ASSY</t>
  </si>
  <si>
    <t>GEARED ROTARY</t>
  </si>
  <si>
    <t>3321530-12</t>
  </si>
  <si>
    <t>9436348/9212867</t>
  </si>
  <si>
    <t>ELEVATOR PCU</t>
  </si>
  <si>
    <t xml:space="preserve">3321500-16 </t>
  </si>
  <si>
    <t>FLIGHT SPOILER</t>
  </si>
  <si>
    <t>1E1-2B</t>
  </si>
  <si>
    <t>S251N312-2  o  163200-101</t>
  </si>
  <si>
    <t>845/340</t>
  </si>
  <si>
    <t>AUTOPILOT</t>
  </si>
  <si>
    <t>2780539-103</t>
  </si>
  <si>
    <t xml:space="preserve">	VALVE BLEED AIR MANI</t>
  </si>
  <si>
    <t xml:space="preserve"> NO PO</t>
  </si>
  <si>
    <r>
      <rPr>
        <sz val="11"/>
        <rFont val="Calibri"/>
        <family val="2"/>
        <scheme val="minor"/>
      </rPr>
      <t>0369</t>
    </r>
    <r>
      <rPr>
        <sz val="11"/>
        <color theme="1"/>
        <rFont val="Calibri"/>
        <family val="2"/>
        <scheme val="minor"/>
      </rPr>
      <t>*/</t>
    </r>
    <r>
      <rPr>
        <sz val="11"/>
        <color rgb="FF003400"/>
        <rFont val="Calibri"/>
        <family val="2"/>
        <scheme val="minor"/>
      </rPr>
      <t>0435</t>
    </r>
  </si>
  <si>
    <t>392550-2-1</t>
  </si>
  <si>
    <r>
      <t>P-2398/P-1</t>
    </r>
    <r>
      <rPr>
        <sz val="11"/>
        <rFont val="Calibri"/>
        <family val="2"/>
        <scheme val="minor"/>
      </rPr>
      <t>089/P-3235</t>
    </r>
  </si>
  <si>
    <t>THERMOSTATIC AIRFLOW</t>
  </si>
  <si>
    <t>*</t>
  </si>
  <si>
    <t>3264/3430</t>
  </si>
  <si>
    <t>VALVE TEMP</t>
  </si>
  <si>
    <t>10-614500-1</t>
  </si>
  <si>
    <t>EXITER IGNITION</t>
  </si>
  <si>
    <t xml:space="preserve">NO </t>
  </si>
  <si>
    <t>DLH549-019</t>
  </si>
  <si>
    <t>HOT CUP</t>
  </si>
  <si>
    <t>14438-13</t>
  </si>
  <si>
    <t xml:space="preserve">	DUCT ASSY</t>
  </si>
  <si>
    <t>2022480-13</t>
  </si>
  <si>
    <t>104-396</t>
  </si>
  <si>
    <t>783600-14071</t>
  </si>
  <si>
    <t>CONTROL ENGINE</t>
  </si>
  <si>
    <t>783600-14-071</t>
  </si>
  <si>
    <t>1017C</t>
  </si>
  <si>
    <t>PILOT 14 ATAGE</t>
  </si>
  <si>
    <t>752C</t>
  </si>
  <si>
    <t>10-61909-7</t>
  </si>
  <si>
    <t>DISPOSABLE FIRE EXTI</t>
  </si>
  <si>
    <t xml:space="preserve">NO PO </t>
  </si>
  <si>
    <t>9274-8681</t>
  </si>
  <si>
    <t>84-738-708</t>
  </si>
  <si>
    <t>0337*</t>
  </si>
  <si>
    <t>PROXIMITY SWITCH</t>
  </si>
  <si>
    <r>
      <t xml:space="preserve">IA5249 o </t>
    </r>
    <r>
      <rPr>
        <b/>
        <sz val="11"/>
        <color theme="1"/>
        <rFont val="Calibri"/>
        <family val="2"/>
        <scheme val="minor"/>
      </rPr>
      <t>MS9210-08</t>
    </r>
  </si>
  <si>
    <t>MOUNTING BOLTS</t>
  </si>
  <si>
    <t>KD4A-017</t>
  </si>
  <si>
    <t>75441???</t>
  </si>
  <si>
    <t>NSN OR 019C-3937</t>
  </si>
  <si>
    <t>SELECTOR CABIN ZONE</t>
  </si>
  <si>
    <t>OK??</t>
  </si>
  <si>
    <t>79971????</t>
  </si>
  <si>
    <t>9131-8506</t>
  </si>
  <si>
    <t>RELAY MODULE</t>
  </si>
  <si>
    <t>SERVOCONTRO</t>
  </si>
  <si>
    <t>21SN04 OR 1B7361-001</t>
  </si>
  <si>
    <t>R13868</t>
  </si>
  <si>
    <t>024116*</t>
  </si>
  <si>
    <t>NSN/NSN</t>
  </si>
  <si>
    <t>VANEAXIAL FAN</t>
  </si>
  <si>
    <t>79938/79970/79936</t>
  </si>
  <si>
    <t>9002D14-1</t>
  </si>
  <si>
    <t>OH19421</t>
  </si>
  <si>
    <r>
      <rPr>
        <b/>
        <sz val="11"/>
        <color theme="1"/>
        <rFont val="Calibri"/>
        <family val="2"/>
        <scheme val="minor"/>
      </rPr>
      <t>S332T304-14</t>
    </r>
    <r>
      <rPr>
        <sz val="11"/>
        <color theme="1"/>
        <rFont val="Calibri"/>
        <family val="2"/>
        <scheme val="minor"/>
      </rPr>
      <t xml:space="preserve"> o 144-155-000</t>
    </r>
  </si>
  <si>
    <t>0449*</t>
  </si>
  <si>
    <t>VIBROMETER</t>
  </si>
  <si>
    <t>417N2118-1</t>
  </si>
  <si>
    <t>DRAIN MAST</t>
  </si>
  <si>
    <t>BACR13CG2A</t>
  </si>
  <si>
    <t>REALY</t>
  </si>
  <si>
    <t>8-935-01</t>
  </si>
  <si>
    <t>A14432</t>
  </si>
  <si>
    <t>PROXIMITY SENSOR</t>
  </si>
  <si>
    <t>3321500-8A</t>
  </si>
  <si>
    <t xml:space="preserve">	PCU-SPLR</t>
  </si>
  <si>
    <t>3321500-9</t>
  </si>
  <si>
    <t>9011207/8770001</t>
  </si>
  <si>
    <r>
      <rPr>
        <b/>
        <sz val="11"/>
        <color theme="1"/>
        <rFont val="Calibri"/>
        <family val="2"/>
        <scheme val="minor"/>
      </rPr>
      <t xml:space="preserve">3321517-4J  </t>
    </r>
    <r>
      <rPr>
        <sz val="11"/>
        <color theme="1"/>
        <rFont val="Calibri"/>
        <family val="2"/>
        <scheme val="minor"/>
      </rPr>
      <t xml:space="preserve">   PN: S/P</t>
    </r>
  </si>
  <si>
    <t>SPOILER</t>
  </si>
  <si>
    <t xml:space="preserve">273N2004-3 </t>
  </si>
  <si>
    <t>SA00364</t>
  </si>
  <si>
    <t>3321500-9A</t>
  </si>
  <si>
    <t xml:space="preserve">63-838 </t>
  </si>
  <si>
    <t>SI</t>
  </si>
  <si>
    <t>00657*</t>
  </si>
  <si>
    <t>5500-C6A-F20B</t>
  </si>
  <si>
    <t>PORTABLE OXIGEN</t>
  </si>
  <si>
    <t>1E1-5A</t>
  </si>
  <si>
    <t>5500-C1W-BF23A</t>
  </si>
  <si>
    <t>3698R</t>
  </si>
  <si>
    <t xml:space="preserve">	CYL ASSY PORTABLE</t>
  </si>
  <si>
    <t>P-2252</t>
  </si>
  <si>
    <t>P2954/P-4793</t>
  </si>
  <si>
    <r>
      <rPr>
        <sz val="11"/>
        <color theme="9" tint="-0.499984740745262"/>
        <rFont val="Calibri"/>
        <family val="2"/>
        <scheme val="minor"/>
      </rPr>
      <t>6371/P-1691</t>
    </r>
    <r>
      <rPr>
        <sz val="11"/>
        <color theme="1"/>
        <rFont val="Calibri"/>
        <family val="2"/>
        <scheme val="minor"/>
      </rPr>
      <t>/P-4103</t>
    </r>
  </si>
  <si>
    <t>NSN OR 2954</t>
  </si>
  <si>
    <t>5500C1ABF23A</t>
  </si>
  <si>
    <t xml:space="preserve">	CYLINDER OXYGEN</t>
  </si>
  <si>
    <t>61424N</t>
  </si>
  <si>
    <t xml:space="preserve">	CYL ASSY PORTABL</t>
  </si>
  <si>
    <t>1CC-3AA-2100</t>
  </si>
  <si>
    <t>73930DF</t>
  </si>
  <si>
    <t>O2 BOTTLE</t>
  </si>
  <si>
    <t>398444-1-1</t>
  </si>
  <si>
    <t>P-2532</t>
  </si>
  <si>
    <t>MIXER VALVE</t>
  </si>
  <si>
    <t>1E1-5B</t>
  </si>
  <si>
    <t>10-60706-9</t>
  </si>
  <si>
    <t>P361</t>
  </si>
  <si>
    <r>
      <rPr>
        <sz val="11"/>
        <color theme="9" tint="-0.499984740745262"/>
        <rFont val="Calibri"/>
        <family val="2"/>
        <scheme val="minor"/>
      </rPr>
      <t>8A2-D</t>
    </r>
    <r>
      <rPr>
        <sz val="11"/>
        <color theme="1"/>
        <rFont val="Calibri"/>
        <family val="2"/>
        <scheme val="minor"/>
      </rPr>
      <t>/NSN</t>
    </r>
  </si>
  <si>
    <t>75193/75191</t>
  </si>
  <si>
    <t>P-1505</t>
  </si>
  <si>
    <t>978852-3</t>
  </si>
  <si>
    <t>AEX-10133</t>
  </si>
  <si>
    <t>DIAMETER PNEU</t>
  </si>
  <si>
    <t>P-1685</t>
  </si>
  <si>
    <r>
      <rPr>
        <sz val="11"/>
        <color theme="9" tint="-0.499984740745262"/>
        <rFont val="Calibri"/>
        <family val="2"/>
        <scheme val="minor"/>
      </rPr>
      <t>NSN/NSN</t>
    </r>
    <r>
      <rPr>
        <sz val="11"/>
        <color theme="1"/>
        <rFont val="Calibri"/>
        <family val="2"/>
        <scheme val="minor"/>
      </rPr>
      <t>/ I049</t>
    </r>
  </si>
  <si>
    <t>OK 2</t>
  </si>
  <si>
    <t>P-4786/1177AB</t>
  </si>
  <si>
    <t>392964-1-1</t>
  </si>
  <si>
    <t>P-255</t>
  </si>
  <si>
    <t>10-353875-3</t>
  </si>
  <si>
    <t>EXITER EGNITION</t>
  </si>
  <si>
    <t>3487C</t>
  </si>
  <si>
    <t>979102-1-1</t>
  </si>
  <si>
    <t>P-2019</t>
  </si>
  <si>
    <t>392796-2-1</t>
  </si>
  <si>
    <t>P-108</t>
  </si>
  <si>
    <t>P-1755</t>
  </si>
  <si>
    <t>392444-2-1</t>
  </si>
  <si>
    <t>P-3787</t>
  </si>
  <si>
    <t>VAKVE SHUTOFF</t>
  </si>
  <si>
    <t>979410-XX-4</t>
  </si>
  <si>
    <t>4882C</t>
  </si>
  <si>
    <t>X9480</t>
  </si>
  <si>
    <t>K448-3</t>
  </si>
  <si>
    <t>T3Y950-1</t>
  </si>
  <si>
    <t xml:space="preserve">NO ILS </t>
  </si>
  <si>
    <t>LM-433-SA28-V</t>
  </si>
  <si>
    <t xml:space="preserve">	FRONT ENGINE</t>
  </si>
  <si>
    <t>MS9-3911-30ZE</t>
  </si>
  <si>
    <t>MX104981A</t>
  </si>
  <si>
    <t>HYD MOTOR</t>
  </si>
  <si>
    <t>1E1-6A</t>
  </si>
  <si>
    <t>384453-001</t>
  </si>
  <si>
    <t>BL21</t>
  </si>
  <si>
    <t>VTO</t>
  </si>
  <si>
    <t>R-2142/P-957</t>
  </si>
  <si>
    <t>MODULATIN VALVE</t>
  </si>
  <si>
    <t>75193/75189</t>
  </si>
  <si>
    <t>2566A-21</t>
  </si>
  <si>
    <t>924-2</t>
  </si>
  <si>
    <t>P370</t>
  </si>
  <si>
    <t>15907DR4</t>
  </si>
  <si>
    <t>A825</t>
  </si>
  <si>
    <t>10-60533-3</t>
  </si>
  <si>
    <t>352-8A</t>
  </si>
  <si>
    <t>FUEL BOOSTER</t>
  </si>
  <si>
    <t>1735P</t>
  </si>
  <si>
    <t>12D124</t>
  </si>
  <si>
    <t>VALVE FILL WATER</t>
  </si>
  <si>
    <t>REVISAR SERIAL</t>
  </si>
  <si>
    <t>2156-55</t>
  </si>
  <si>
    <t>219B</t>
  </si>
  <si>
    <t>DIFFERENTAL PRESS</t>
  </si>
  <si>
    <t>42D107A1</t>
  </si>
  <si>
    <t>SWITCH PRESS</t>
  </si>
  <si>
    <t>81982-00</t>
  </si>
  <si>
    <t>CONFIG MODULE</t>
  </si>
  <si>
    <t>100-1024-03</t>
  </si>
  <si>
    <t>THIN FLUX VALVE</t>
  </si>
  <si>
    <t>NOT LEGIBLE</t>
  </si>
  <si>
    <t>00156*</t>
  </si>
  <si>
    <t>WIPER ASSY</t>
  </si>
  <si>
    <t>1058V600C</t>
  </si>
  <si>
    <t>BSGCAH7401</t>
  </si>
  <si>
    <t>BLEED VALVE</t>
  </si>
  <si>
    <t>01*</t>
  </si>
  <si>
    <t>DIFFEENTAIAL PRESSS 	3M-PLASTIC ADHESIVE</t>
  </si>
  <si>
    <t>1692RA-7</t>
  </si>
  <si>
    <t>TORNILLOS VARIOS</t>
  </si>
  <si>
    <t>TORNILLOS</t>
  </si>
  <si>
    <t>65-57910-2</t>
  </si>
  <si>
    <t>2021136-2</t>
  </si>
  <si>
    <t>64-8007</t>
  </si>
  <si>
    <t>616H1551</t>
  </si>
  <si>
    <t>21450-14</t>
  </si>
  <si>
    <t>CYLINDER HYD</t>
  </si>
  <si>
    <t xml:space="preserve">	CONTROL ASSY</t>
  </si>
  <si>
    <t>1E1-6B</t>
  </si>
  <si>
    <t>10079-01</t>
  </si>
  <si>
    <t>461</t>
  </si>
  <si>
    <t>LOAD SELECT CONTROL UNIT</t>
  </si>
  <si>
    <t>H911A</t>
  </si>
  <si>
    <t>FT0344</t>
  </si>
  <si>
    <t>RUDDER RATIO LVDJ</t>
  </si>
  <si>
    <t>541</t>
  </si>
  <si>
    <t>211C223-522</t>
  </si>
  <si>
    <t>V01147AC</t>
  </si>
  <si>
    <t>HYF PRESS SWITCH</t>
  </si>
  <si>
    <t>109111</t>
  </si>
  <si>
    <t>TEMP BULB SWITCH</t>
  </si>
  <si>
    <t>0111153-010</t>
  </si>
  <si>
    <t>MANIFOLD ASSY, TR OPEN</t>
  </si>
  <si>
    <t>908</t>
  </si>
  <si>
    <t>IND POSITION STABILR</t>
  </si>
  <si>
    <t>1934</t>
  </si>
  <si>
    <t>VHF TUNING PANEL</t>
  </si>
  <si>
    <t>211C223-296</t>
  </si>
  <si>
    <t>P01252C</t>
  </si>
  <si>
    <t>403</t>
  </si>
  <si>
    <t>D00980</t>
  </si>
  <si>
    <t>CARD, WARNING PC</t>
  </si>
  <si>
    <t>3876059-2-6</t>
  </si>
  <si>
    <t>DL56</t>
  </si>
  <si>
    <t>LOW OIL LEVEL SWITCH</t>
  </si>
  <si>
    <t>102LA2AG</t>
  </si>
  <si>
    <t>PROBE</t>
  </si>
  <si>
    <t>211C223-320</t>
  </si>
  <si>
    <t>Q01338C</t>
  </si>
  <si>
    <t>MX-506098</t>
  </si>
  <si>
    <t>1E2-1A</t>
  </si>
  <si>
    <t>392220-1-1</t>
  </si>
  <si>
    <t>P-846</t>
  </si>
  <si>
    <t>VALVE HIGH PRESSURE</t>
  </si>
  <si>
    <t>5880357-107</t>
  </si>
  <si>
    <t>0341</t>
  </si>
  <si>
    <t>MX-454271</t>
  </si>
  <si>
    <t>4034237-915</t>
  </si>
  <si>
    <t>SERVO</t>
  </si>
  <si>
    <r>
      <t>10583/</t>
    </r>
    <r>
      <rPr>
        <sz val="11"/>
        <color theme="9" tint="-0.499984740745262"/>
        <rFont val="Calibri"/>
        <family val="2"/>
        <scheme val="minor"/>
      </rPr>
      <t>10678</t>
    </r>
  </si>
  <si>
    <t>FILTER HYD</t>
  </si>
  <si>
    <t>11-66-133/11-75-35</t>
  </si>
  <si>
    <t>TRANSMITTER OIL PRESS</t>
  </si>
  <si>
    <t>TA135</t>
  </si>
  <si>
    <t>211C223-322</t>
  </si>
  <si>
    <t>N01239C</t>
  </si>
  <si>
    <t>S233T100-6004</t>
  </si>
  <si>
    <t>AC69024 OR ED101208</t>
  </si>
  <si>
    <t>ATTENUATOR ACOUSTIC</t>
  </si>
  <si>
    <t>783600-18-073</t>
  </si>
  <si>
    <t>MX-355942</t>
  </si>
  <si>
    <t>1E2-1B</t>
  </si>
  <si>
    <t>MX-340959</t>
  </si>
  <si>
    <t>15B17433</t>
  </si>
  <si>
    <t>CONE</t>
  </si>
  <si>
    <t>B8264</t>
  </si>
  <si>
    <t>MX-452755</t>
  </si>
  <si>
    <t>P-012</t>
  </si>
  <si>
    <t>FUEL FLOW TRANS</t>
  </si>
  <si>
    <t>65-60212-11</t>
  </si>
  <si>
    <t>R00306</t>
  </si>
  <si>
    <t>LEANDING POSITION</t>
  </si>
  <si>
    <t>2070122-0501</t>
  </si>
  <si>
    <t>ANTENA ADF</t>
  </si>
  <si>
    <t>2CM9ABY7</t>
  </si>
  <si>
    <t>A753W</t>
  </si>
  <si>
    <t>TACHOMETER</t>
  </si>
  <si>
    <t>E-05860/C-0088 OR L-0088</t>
  </si>
  <si>
    <t>5939074-5501</t>
  </si>
  <si>
    <t>CHC581A</t>
  </si>
  <si>
    <t>32-2861-001</t>
  </si>
  <si>
    <t>D9-16</t>
  </si>
  <si>
    <t>LI4930</t>
  </si>
  <si>
    <t>69202-300-3</t>
  </si>
  <si>
    <t>HEAT EXCHANGER</t>
  </si>
  <si>
    <t>33-019</t>
  </si>
  <si>
    <t>LEANDING</t>
  </si>
  <si>
    <t>32181-2-1</t>
  </si>
  <si>
    <t>949A01</t>
  </si>
  <si>
    <t>K-0428ACEF</t>
  </si>
  <si>
    <t>06-32* OR DL32</t>
  </si>
  <si>
    <t>5936965-5503</t>
  </si>
  <si>
    <t>CML175</t>
  </si>
  <si>
    <t>568-1-26713-005</t>
  </si>
  <si>
    <t>11363A/11356A/11373A/NSN</t>
  </si>
  <si>
    <t>BOOSTER PUMP</t>
  </si>
  <si>
    <t>1E2-2B</t>
  </si>
  <si>
    <t>TERRA</t>
  </si>
  <si>
    <t>P-1370</t>
  </si>
  <si>
    <t>3844008-1</t>
  </si>
  <si>
    <t>1ST STG TURBINE SHROUD</t>
  </si>
  <si>
    <t>APU</t>
  </si>
  <si>
    <t>3884238-3</t>
  </si>
  <si>
    <t>TEE DUCT</t>
  </si>
  <si>
    <t>160126-2</t>
  </si>
  <si>
    <t>OIL TEMP REGLATOR</t>
  </si>
  <si>
    <t>160176-1</t>
  </si>
  <si>
    <t>103-2149</t>
  </si>
  <si>
    <t>A439C</t>
  </si>
  <si>
    <t>3616959-7</t>
  </si>
  <si>
    <t>P-670FC</t>
  </si>
  <si>
    <t>COOLING FAN ASSY</t>
  </si>
  <si>
    <t>E-2085/E-2077/E-2096</t>
  </si>
  <si>
    <t>SPOLIR</t>
  </si>
  <si>
    <t>1E2-2A</t>
  </si>
  <si>
    <t>ST-106AB</t>
  </si>
  <si>
    <t>10276/B13579A</t>
  </si>
  <si>
    <t>PRESS TRANSMITTER</t>
  </si>
  <si>
    <t>3822077-4</t>
  </si>
  <si>
    <t>TIE SHAFT ASYY</t>
  </si>
  <si>
    <t>3822069-1</t>
  </si>
  <si>
    <t>COUPLING SHAFT SEAL</t>
  </si>
  <si>
    <t>3826154-1</t>
  </si>
  <si>
    <t>IGV ACTUATOR MOUNT</t>
  </si>
  <si>
    <t>3870023-1</t>
  </si>
  <si>
    <t>AFT MOUT</t>
  </si>
  <si>
    <t>3826168-1</t>
  </si>
  <si>
    <t>IGNITION MOUNTING BRACKET</t>
  </si>
  <si>
    <t>3826178-3</t>
  </si>
  <si>
    <t>FLOW DIVIDER HEAT SHIELD</t>
  </si>
  <si>
    <t>3868000-1</t>
  </si>
  <si>
    <t>QUILL SHAFT</t>
  </si>
  <si>
    <t>3868001-1</t>
  </si>
  <si>
    <t>3826176-2</t>
  </si>
  <si>
    <t>TOP MOUT EAT SHIELD</t>
  </si>
  <si>
    <t>3870050-1</t>
  </si>
  <si>
    <t>TURBINE ENGINE SUPPORT</t>
  </si>
  <si>
    <t>MONOPOLE</t>
  </si>
  <si>
    <t>8T99GGEI</t>
  </si>
  <si>
    <t>DTG4338</t>
  </si>
  <si>
    <t>OIL LEVEL SWITCH</t>
  </si>
  <si>
    <t>158935-2</t>
  </si>
  <si>
    <t>103-3380</t>
  </si>
  <si>
    <t>OIL TEMP CONTROL VALVE</t>
  </si>
  <si>
    <t>A884C</t>
  </si>
  <si>
    <t>FUEL FLOW DIVIDER</t>
  </si>
  <si>
    <t xml:space="preserve">IGV ACTUATOR </t>
  </si>
  <si>
    <t>3879166-1</t>
  </si>
  <si>
    <t>DE-OIL SELENOID</t>
  </si>
  <si>
    <t>3289504-2</t>
  </si>
  <si>
    <t>GEARBOX REGULATOR VALVE</t>
  </si>
  <si>
    <t>3876023-2 OR 1173T0337-01</t>
  </si>
  <si>
    <t>OIL TEMP SWITCH</t>
  </si>
  <si>
    <t>IGNITION EXITER</t>
  </si>
  <si>
    <t>3616848-2</t>
  </si>
  <si>
    <t>3880164-1</t>
  </si>
  <si>
    <t>SPECIAL FITTING</t>
  </si>
  <si>
    <t>3055766-1</t>
  </si>
  <si>
    <t>IGNITOR PLUG</t>
  </si>
  <si>
    <t>3876027-4</t>
  </si>
  <si>
    <t>3830054-9</t>
  </si>
  <si>
    <t>NOZZLE SHROUDS</t>
  </si>
  <si>
    <t>123266-2-1</t>
  </si>
  <si>
    <t>0856AE16</t>
  </si>
  <si>
    <t>168488/168494/168495</t>
  </si>
  <si>
    <t>PITOT STATIC</t>
  </si>
  <si>
    <t>10-3297-147</t>
  </si>
  <si>
    <t>FUEL CUP</t>
  </si>
  <si>
    <t>10-60900-9</t>
  </si>
  <si>
    <t>PRESS REGULATOR</t>
  </si>
  <si>
    <t>10-3275-24</t>
  </si>
  <si>
    <t>3214488-5</t>
  </si>
  <si>
    <t>PO 81242</t>
  </si>
  <si>
    <t>816C</t>
  </si>
  <si>
    <t>625878-1 / S210T130-27</t>
  </si>
  <si>
    <t>030C1694</t>
  </si>
  <si>
    <t>ALTITUDE SWITCH</t>
  </si>
  <si>
    <t>65-44561-15</t>
  </si>
  <si>
    <r>
      <t>NSN/</t>
    </r>
    <r>
      <rPr>
        <sz val="11"/>
        <color theme="5" tint="-0.499984740745262"/>
        <rFont val="Calibri"/>
        <family val="2"/>
        <scheme val="minor"/>
      </rPr>
      <t>6648/10481</t>
    </r>
  </si>
  <si>
    <t>BIN2</t>
  </si>
  <si>
    <t>MX-395341</t>
  </si>
  <si>
    <t>PUMP HYD</t>
  </si>
  <si>
    <t>03536*</t>
  </si>
  <si>
    <t>112N6101-1</t>
  </si>
  <si>
    <t>FUEL TANK PANEL</t>
  </si>
  <si>
    <t>0111153-012</t>
  </si>
  <si>
    <t>MANIFOLD ASSY</t>
  </si>
  <si>
    <t>A3-1207</t>
  </si>
  <si>
    <t>925C</t>
  </si>
  <si>
    <t>LOAD SELECT</t>
  </si>
  <si>
    <t>RUDDER TRIM</t>
  </si>
  <si>
    <t>31-1526-9</t>
  </si>
  <si>
    <t>LIGHT ASSY</t>
  </si>
  <si>
    <t>RHEOSTAT MAP LIGHT</t>
  </si>
  <si>
    <t>754-0511-001</t>
  </si>
  <si>
    <t>PANEL EDGE LIGHT</t>
  </si>
  <si>
    <t>2012-1 OR S83T014-3</t>
  </si>
  <si>
    <t>204075-1</t>
  </si>
  <si>
    <t>17-1734</t>
  </si>
  <si>
    <t>ID PLATE COOLING TURBINE</t>
  </si>
  <si>
    <t>CM-94396</t>
  </si>
  <si>
    <t>398116-1-1</t>
  </si>
  <si>
    <r>
      <t>P-1894</t>
    </r>
    <r>
      <rPr>
        <sz val="11"/>
        <color theme="5" tint="-0.499984740745262"/>
        <rFont val="Calibri"/>
        <family val="2"/>
        <scheme val="minor"/>
      </rPr>
      <t>/2652</t>
    </r>
  </si>
  <si>
    <t>1E2-3A</t>
  </si>
  <si>
    <t>23029D1/71296D1</t>
  </si>
  <si>
    <t>ENGINE FIRE BOTTLE</t>
  </si>
  <si>
    <t>G7400-32</t>
  </si>
  <si>
    <t>3202154-1</t>
  </si>
  <si>
    <t>HR222</t>
  </si>
  <si>
    <t>107460-16</t>
  </si>
  <si>
    <t>869C</t>
  </si>
  <si>
    <t>HS PILOT VALVE</t>
  </si>
  <si>
    <t>11059-75</t>
  </si>
  <si>
    <t>TIMER FLUSH</t>
  </si>
  <si>
    <t>1262A</t>
  </si>
  <si>
    <t>396442-1</t>
  </si>
  <si>
    <t>758/345</t>
  </si>
  <si>
    <t>3810138-1</t>
  </si>
  <si>
    <t>COMPRESSOR SHROUD</t>
  </si>
  <si>
    <t>3810224-12</t>
  </si>
  <si>
    <t>IGV HOUSING ASSY</t>
  </si>
  <si>
    <t>3844018-1</t>
  </si>
  <si>
    <t>3RD STG STATOR ASSY</t>
  </si>
  <si>
    <t>3844040-5</t>
  </si>
  <si>
    <t>04P05775</t>
  </si>
  <si>
    <t>1ST STAG STATOR ASSY</t>
  </si>
  <si>
    <t>3810123-8</t>
  </si>
  <si>
    <t>IGV COVER ASSY</t>
  </si>
  <si>
    <t>3810187-2</t>
  </si>
  <si>
    <t>INLET BEARING HSG ASSY</t>
  </si>
  <si>
    <t>3810127-1</t>
  </si>
  <si>
    <t>3617459-1</t>
  </si>
  <si>
    <t>VALVE BODY ASSY</t>
  </si>
  <si>
    <t>3884292-2</t>
  </si>
  <si>
    <t>AIR SURGE DUCT</t>
  </si>
  <si>
    <t>3614673-1</t>
  </si>
  <si>
    <t>TEE DUCT SPACER</t>
  </si>
  <si>
    <t>3826125-1</t>
  </si>
  <si>
    <t>CARRIER SEAL</t>
  </si>
  <si>
    <t>3844078-1</t>
  </si>
  <si>
    <t>DRAIN BRACKET</t>
  </si>
  <si>
    <t>3880393-3</t>
  </si>
  <si>
    <t>OIL COOLER BRACKET</t>
  </si>
  <si>
    <t>INLET FAN DUCT</t>
  </si>
  <si>
    <t>6563851-13</t>
  </si>
  <si>
    <t>EDGE FLAP</t>
  </si>
  <si>
    <t>ESC104-01B1</t>
  </si>
  <si>
    <t>BX35233</t>
  </si>
  <si>
    <t>ENGINE SUPERVISORY CONTROL</t>
  </si>
  <si>
    <t>BPU200MK2</t>
  </si>
  <si>
    <t>B452</t>
  </si>
  <si>
    <t>830100-2</t>
  </si>
  <si>
    <t>PUMP GAR FUEL</t>
  </si>
  <si>
    <t>65-44800-10</t>
  </si>
  <si>
    <t xml:space="preserve">NSN </t>
  </si>
  <si>
    <t>HYD RESERVIOR</t>
  </si>
  <si>
    <t>10500-7</t>
  </si>
  <si>
    <t>3388A</t>
  </si>
  <si>
    <t>FLUID PUMP</t>
  </si>
  <si>
    <t>65-44551-9</t>
  </si>
  <si>
    <t>65-44610-4</t>
  </si>
  <si>
    <t>ES764</t>
  </si>
  <si>
    <t>NOSE GEAR</t>
  </si>
  <si>
    <t>3822067-2</t>
  </si>
  <si>
    <t>09-162246-04052</t>
  </si>
  <si>
    <t>1ST STG COMPRESSOR ROTOR</t>
  </si>
  <si>
    <t>3822068-1</t>
  </si>
  <si>
    <t>5-03229-2904</t>
  </si>
  <si>
    <t>2 ND STG COMPRESSOR ROTOR</t>
  </si>
  <si>
    <t>3840016-2</t>
  </si>
  <si>
    <t>07590-305938756</t>
  </si>
  <si>
    <t>COUPLING AIR SEAL</t>
  </si>
  <si>
    <t>3840002-5</t>
  </si>
  <si>
    <t>1 ST STG TURBINE WHEEL ASSY</t>
  </si>
  <si>
    <t>3840007-1</t>
  </si>
  <si>
    <t>2 ND STG TURBINE WHEEL ASSY</t>
  </si>
  <si>
    <t>3 RD STG TURBINE WHEEL ASSY</t>
  </si>
  <si>
    <t>3840011-3</t>
  </si>
  <si>
    <t>ROTOR SEAL COUPLING</t>
  </si>
  <si>
    <t>3822080-3</t>
  </si>
  <si>
    <t>LOAD COMPRESSOR ROTOR</t>
  </si>
  <si>
    <t>3822073-1</t>
  </si>
  <si>
    <t>TIE SHAFT SLINGER NUT</t>
  </si>
  <si>
    <t>607690-2</t>
  </si>
  <si>
    <t>074C-12236</t>
  </si>
  <si>
    <t>EMERGENCY LOCATOR</t>
  </si>
  <si>
    <t>04G68 or 4668</t>
  </si>
  <si>
    <t>PORTABLE EXTINGUISHR</t>
  </si>
  <si>
    <t>9700-C1A-BFP23A</t>
  </si>
  <si>
    <t>EMERGENCY OXYGEN</t>
  </si>
  <si>
    <t>5500-C1A-F23A</t>
  </si>
  <si>
    <t>1664BN</t>
  </si>
  <si>
    <t>OXYGEN</t>
  </si>
  <si>
    <t>2692</t>
  </si>
  <si>
    <t>300-46-29</t>
  </si>
  <si>
    <t>23496</t>
  </si>
  <si>
    <t>322895-16U</t>
  </si>
  <si>
    <t>0711</t>
  </si>
  <si>
    <t>BLEED CONVERTER VALVE</t>
  </si>
  <si>
    <t>1047</t>
  </si>
  <si>
    <t>BLEED SENSOR</t>
  </si>
  <si>
    <t>779</t>
  </si>
  <si>
    <t>624014-2</t>
  </si>
  <si>
    <t>0620-5741</t>
  </si>
  <si>
    <t>SENSOR PACK TEMP</t>
  </si>
  <si>
    <t>322895-16</t>
  </si>
  <si>
    <t>0543</t>
  </si>
  <si>
    <t>VALVE CONVERTER</t>
  </si>
  <si>
    <t>491</t>
  </si>
  <si>
    <t>3047A</t>
  </si>
  <si>
    <t>HYD SERVO</t>
  </si>
  <si>
    <t>3272546-9</t>
  </si>
  <si>
    <t>523C</t>
  </si>
  <si>
    <t>GEAR BOX</t>
  </si>
  <si>
    <t>GYROSCOPE</t>
  </si>
  <si>
    <t>MX-572767</t>
  </si>
  <si>
    <t>257T1124-9</t>
  </si>
  <si>
    <t>3290630-1</t>
  </si>
  <si>
    <t>607510-2</t>
  </si>
  <si>
    <t>065C-2745</t>
  </si>
  <si>
    <t>CONTROL TEMP</t>
  </si>
  <si>
    <t>BG130-001</t>
  </si>
  <si>
    <t>460713S</t>
  </si>
  <si>
    <t>HYD MOTOR GENERATOR</t>
  </si>
  <si>
    <t>J30F2524</t>
  </si>
  <si>
    <t>INIGITION</t>
  </si>
  <si>
    <t>75181/78011/79711?????</t>
  </si>
  <si>
    <t>311N3065-3</t>
  </si>
  <si>
    <t>141N9935-1</t>
  </si>
  <si>
    <t>ACCESS PANLE</t>
  </si>
  <si>
    <t>W-853491</t>
  </si>
  <si>
    <t>PORTABLE FIREX HALON</t>
  </si>
  <si>
    <t>B385</t>
  </si>
  <si>
    <t>X-362228</t>
  </si>
  <si>
    <t>34200405-1</t>
  </si>
  <si>
    <t>W-858662</t>
  </si>
  <si>
    <t>C354</t>
  </si>
  <si>
    <t>W-994034</t>
  </si>
  <si>
    <t>C352</t>
  </si>
  <si>
    <t>W-996198</t>
  </si>
  <si>
    <t>74-00</t>
  </si>
  <si>
    <t>81V0012</t>
  </si>
  <si>
    <t>8550609/EATLS4385</t>
  </si>
  <si>
    <t>0875*</t>
  </si>
  <si>
    <t>0680*</t>
  </si>
  <si>
    <t>VALVE MOD</t>
  </si>
  <si>
    <t>35CV16-34</t>
  </si>
  <si>
    <t>A17882-2</t>
  </si>
  <si>
    <t>102-0000</t>
  </si>
  <si>
    <t>176417/80969</t>
  </si>
  <si>
    <t xml:space="preserve">S233T100-526 OR 800-000914-1    </t>
  </si>
  <si>
    <t>0009*</t>
  </si>
  <si>
    <t xml:space="preserve">	GEAR, HELICAL</t>
  </si>
  <si>
    <t xml:space="preserve">	FUSE-HYD</t>
  </si>
  <si>
    <t>49-4987</t>
  </si>
  <si>
    <t>565-8262-2</t>
  </si>
  <si>
    <t>289-18034A</t>
  </si>
  <si>
    <t xml:space="preserve">	VHF ANTENNA</t>
  </si>
  <si>
    <t>1E2-3B</t>
  </si>
  <si>
    <t>7B2262-B</t>
  </si>
  <si>
    <t>NSN OR LL082/A</t>
  </si>
  <si>
    <t>OIL CONTAINER</t>
  </si>
  <si>
    <t>OK ??</t>
  </si>
  <si>
    <t>80586???</t>
  </si>
  <si>
    <t xml:space="preserve">	SCREW ASSY</t>
  </si>
  <si>
    <t>0753*</t>
  </si>
  <si>
    <t>8380180/8860692</t>
  </si>
  <si>
    <t>417N2117-8</t>
  </si>
  <si>
    <t>BN4124</t>
  </si>
  <si>
    <t>233N7508-14</t>
  </si>
  <si>
    <t>D01687</t>
  </si>
  <si>
    <t>FLIGHT RECORDER PANEL</t>
  </si>
  <si>
    <t>21SN04-159C</t>
  </si>
  <si>
    <t>N153</t>
  </si>
  <si>
    <t>436-26269</t>
  </si>
  <si>
    <t>FT1008</t>
  </si>
  <si>
    <t>3214604-4</t>
  </si>
  <si>
    <t>AUTO MODULE</t>
  </si>
  <si>
    <t>1117119-05</t>
  </si>
  <si>
    <t xml:space="preserve">	RESTRAINT SYSTEM</t>
  </si>
  <si>
    <t>33314/33308</t>
  </si>
  <si>
    <t>E12030140/E11060558/E10100585/NSN/E10120152</t>
  </si>
  <si>
    <t>PBF</t>
  </si>
  <si>
    <t>1E2-4A</t>
  </si>
  <si>
    <t>SISTEMA</t>
  </si>
  <si>
    <t>622-3255-001</t>
  </si>
  <si>
    <t>RCVR</t>
  </si>
  <si>
    <t>1N5-1A</t>
  </si>
  <si>
    <t xml:space="preserve">522-2450-115 </t>
  </si>
  <si>
    <t>VOR - ILS</t>
  </si>
  <si>
    <t>622-1181-006</t>
  </si>
  <si>
    <t>C2321</t>
  </si>
  <si>
    <t>TRANSCEIVER</t>
  </si>
  <si>
    <t>562A-5F (522-3121-195)</t>
  </si>
  <si>
    <t>STEERING COMPUTER</t>
  </si>
  <si>
    <t>3199680 OR S283T002-1</t>
  </si>
  <si>
    <t>0057*</t>
  </si>
  <si>
    <t>BRAKE TEMPERATURE MONITOR</t>
  </si>
  <si>
    <t>S283T006-24  -  8-416-02</t>
  </si>
  <si>
    <t xml:space="preserve">PROX. SWITCH ELECTRO	</t>
  </si>
  <si>
    <t>522-1836-00</t>
  </si>
  <si>
    <t>ADF RECEIVER</t>
  </si>
  <si>
    <t>522-4280-101</t>
  </si>
  <si>
    <t>B777</t>
  </si>
  <si>
    <t>NAV.RX.R/T</t>
  </si>
  <si>
    <t>622-4542-103</t>
  </si>
  <si>
    <t>1175/3283/2123</t>
  </si>
  <si>
    <t>RADIO ALIMENTER</t>
  </si>
  <si>
    <r>
      <t>2181/3016</t>
    </r>
    <r>
      <rPr>
        <sz val="11"/>
        <rFont val="Calibri"/>
        <family val="2"/>
        <scheme val="minor"/>
      </rPr>
      <t>/3801</t>
    </r>
    <r>
      <rPr>
        <sz val="11"/>
        <color theme="1"/>
        <rFont val="Calibri"/>
        <family val="2"/>
        <scheme val="minor"/>
      </rPr>
      <t>/2761/3033</t>
    </r>
  </si>
  <si>
    <t>160M0Y</t>
  </si>
  <si>
    <t>TRANSPONDER</t>
  </si>
  <si>
    <r>
      <rPr>
        <sz val="11"/>
        <color rgb="FF005E00"/>
        <rFont val="Calibri"/>
        <family val="2"/>
        <scheme val="minor"/>
      </rPr>
      <t>01375</t>
    </r>
    <r>
      <rPr>
        <sz val="11"/>
        <color theme="1"/>
        <rFont val="Calibri"/>
        <family val="2"/>
        <scheme val="minor"/>
      </rPr>
      <t>/01366</t>
    </r>
  </si>
  <si>
    <t>NO SISTEMA 01366</t>
  </si>
  <si>
    <t>622-2920-001</t>
  </si>
  <si>
    <t xml:space="preserve">D E M </t>
  </si>
  <si>
    <t>822-1155-100</t>
  </si>
  <si>
    <t>LANDING UNIT</t>
  </si>
  <si>
    <t>1N5-1B</t>
  </si>
  <si>
    <t>622-5272-001</t>
  </si>
  <si>
    <t>RECEIVER TRANSMITER</t>
  </si>
  <si>
    <t>622-5219-005</t>
  </si>
  <si>
    <t>PO 77713</t>
  </si>
  <si>
    <t>105813/2724</t>
  </si>
  <si>
    <t>522-2450-115</t>
  </si>
  <si>
    <t>2997/2181</t>
  </si>
  <si>
    <t>PO 80461</t>
  </si>
  <si>
    <t>622-5222-102</t>
  </si>
  <si>
    <t>522-1836-000</t>
  </si>
  <si>
    <t>622-4593-505</t>
  </si>
  <si>
    <t>CONTROL PANEL</t>
  </si>
  <si>
    <t>625934-6</t>
  </si>
  <si>
    <t>119C-694</t>
  </si>
  <si>
    <t>CABIN PRESSURE CONTROL</t>
  </si>
  <si>
    <t>ENG ALERT PROCESSOR</t>
  </si>
  <si>
    <t>MULTI PURPUSE CNTRL</t>
  </si>
  <si>
    <t>1N5-2A</t>
  </si>
  <si>
    <t>PO 77028</t>
  </si>
  <si>
    <t>92101484/91101434/96112795/95042492</t>
  </si>
  <si>
    <t>OK3</t>
  </si>
  <si>
    <t>NO PO, NO SISTE 484</t>
  </si>
  <si>
    <t>4077880-908</t>
  </si>
  <si>
    <t>PO 76561</t>
  </si>
  <si>
    <r>
      <t xml:space="preserve">285T0022-37 or </t>
    </r>
    <r>
      <rPr>
        <b/>
        <sz val="11"/>
        <color theme="1"/>
        <rFont val="Calibri"/>
        <family val="2"/>
        <scheme val="minor"/>
      </rPr>
      <t>285T0022-43</t>
    </r>
  </si>
  <si>
    <t>D00629</t>
  </si>
  <si>
    <t>SELECTOR PANEL</t>
  </si>
  <si>
    <t>AUDIO PANE</t>
  </si>
  <si>
    <t>5051-1-4*</t>
  </si>
  <si>
    <t>365/608/587</t>
  </si>
  <si>
    <t>G7400-11</t>
  </si>
  <si>
    <t xml:space="preserve">	VHF COMM CONTROL</t>
  </si>
  <si>
    <t>980-6109-030</t>
  </si>
  <si>
    <t>MICROPHONE MONITOR</t>
  </si>
  <si>
    <t>PANELL</t>
  </si>
  <si>
    <r>
      <t>599/820/</t>
    </r>
    <r>
      <rPr>
        <sz val="11"/>
        <color rgb="FF005E00"/>
        <rFont val="Calibri"/>
        <family val="2"/>
        <scheme val="minor"/>
      </rPr>
      <t>137</t>
    </r>
  </si>
  <si>
    <t>INDICATOR TEMP</t>
  </si>
  <si>
    <t>PEND 820</t>
  </si>
  <si>
    <t>PO 76494</t>
  </si>
  <si>
    <t>G6990-224</t>
  </si>
  <si>
    <t>ATC/TCAS CONTROL PAL</t>
  </si>
  <si>
    <t>622-8974-314</t>
  </si>
  <si>
    <r>
      <rPr>
        <sz val="11"/>
        <color rgb="FFFF0000"/>
        <rFont val="Calibri"/>
        <family val="2"/>
        <scheme val="minor"/>
      </rPr>
      <t>1587</t>
    </r>
    <r>
      <rPr>
        <sz val="11"/>
        <color theme="1"/>
        <rFont val="Calibri"/>
        <family val="2"/>
        <scheme val="minor"/>
      </rPr>
      <t>/2341</t>
    </r>
  </si>
  <si>
    <t>PANEL TRANSPONDER</t>
  </si>
  <si>
    <t>INV 59747</t>
  </si>
  <si>
    <t>PO 81327</t>
  </si>
  <si>
    <t>000294*</t>
  </si>
  <si>
    <t xml:space="preserve"> PANEL VOR</t>
  </si>
  <si>
    <t>130502-4</t>
  </si>
  <si>
    <t>112-299</t>
  </si>
  <si>
    <t>SLECTOR CABIN PRESS</t>
  </si>
  <si>
    <t>D00486/D00833</t>
  </si>
  <si>
    <t>S283N001-1</t>
  </si>
  <si>
    <t>D00520</t>
  </si>
  <si>
    <t>285T0095-8</t>
  </si>
  <si>
    <t>D00110</t>
  </si>
  <si>
    <t>285T0078-15</t>
  </si>
  <si>
    <t>D00287</t>
  </si>
  <si>
    <t>ANUNCIATOR</t>
  </si>
  <si>
    <t>622-5048-344</t>
  </si>
  <si>
    <t>CONTROL BOX</t>
  </si>
  <si>
    <t>622-5048-381</t>
  </si>
  <si>
    <t>7HLV/3970</t>
  </si>
  <si>
    <t>622-5048-341</t>
  </si>
  <si>
    <t>233N3206-3015</t>
  </si>
  <si>
    <t>D00385</t>
  </si>
  <si>
    <t>D03649/D02641</t>
  </si>
  <si>
    <t>AUDIO SELECTOR PANEL</t>
  </si>
  <si>
    <t>2882-11-1*</t>
  </si>
  <si>
    <t>832/224</t>
  </si>
  <si>
    <t>4039891-903</t>
  </si>
  <si>
    <t>92092679/96101112</t>
  </si>
  <si>
    <t>622-5001-109</t>
  </si>
  <si>
    <t>A3615710067</t>
  </si>
  <si>
    <t>622-5048-361</t>
  </si>
  <si>
    <r>
      <t>D06442/D05634/</t>
    </r>
    <r>
      <rPr>
        <sz val="11"/>
        <color theme="9" tint="-0.499984740745262"/>
        <rFont val="Calibri"/>
        <family val="2"/>
        <scheme val="minor"/>
      </rPr>
      <t>D05865</t>
    </r>
  </si>
  <si>
    <t>SPOILER CNTRL</t>
  </si>
  <si>
    <t>1N5-2B</t>
  </si>
  <si>
    <t>PO 77784 - 78118</t>
  </si>
  <si>
    <t>285T0015-116</t>
  </si>
  <si>
    <r>
      <rPr>
        <sz val="11"/>
        <color rgb="FF388600"/>
        <rFont val="Calibri"/>
        <family val="2"/>
        <scheme val="minor"/>
      </rPr>
      <t>D02256</t>
    </r>
    <r>
      <rPr>
        <sz val="11"/>
        <color theme="1"/>
        <rFont val="Calibri"/>
        <family val="2"/>
        <scheme val="minor"/>
      </rPr>
      <t>/D00044</t>
    </r>
  </si>
  <si>
    <t>ASYM MODULE</t>
  </si>
  <si>
    <t>NO PO D00044</t>
  </si>
  <si>
    <t>285N0011-40</t>
  </si>
  <si>
    <r>
      <rPr>
        <sz val="11"/>
        <color rgb="FFC00000"/>
        <rFont val="Calibri"/>
        <family val="2"/>
        <scheme val="minor"/>
      </rPr>
      <t>D01740</t>
    </r>
    <r>
      <rPr>
        <sz val="11"/>
        <color theme="1"/>
        <rFont val="Calibri"/>
        <family val="2"/>
        <scheme val="minor"/>
      </rPr>
      <t>/D02032</t>
    </r>
  </si>
  <si>
    <t>FLAP UNIT</t>
  </si>
  <si>
    <t>1 RO 38122</t>
  </si>
  <si>
    <t>42-767-1</t>
  </si>
  <si>
    <t>CNTRL UNIT</t>
  </si>
  <si>
    <t>65-52803-8</t>
  </si>
  <si>
    <t>670401/M00256</t>
  </si>
  <si>
    <t>WINDOW HEAT</t>
  </si>
  <si>
    <t>066-50000-2121</t>
  </si>
  <si>
    <t>PROCESSOR</t>
  </si>
  <si>
    <r>
      <rPr>
        <sz val="11"/>
        <color theme="9" tint="-0.499984740745262"/>
        <rFont val="Calibri"/>
        <family val="2"/>
        <scheme val="minor"/>
      </rPr>
      <t>1980</t>
    </r>
    <r>
      <rPr>
        <sz val="11"/>
        <color theme="1"/>
        <rFont val="Calibri"/>
        <family val="2"/>
        <scheme val="minor"/>
      </rPr>
      <t>/2711/2068/</t>
    </r>
    <r>
      <rPr>
        <sz val="11"/>
        <color theme="9" tint="-0.499984740745262"/>
        <rFont val="Calibri"/>
        <family val="2"/>
        <scheme val="minor"/>
      </rPr>
      <t>2839</t>
    </r>
    <r>
      <rPr>
        <sz val="11"/>
        <color theme="1"/>
        <rFont val="Calibri"/>
        <family val="2"/>
        <scheme val="minor"/>
      </rPr>
      <t>/</t>
    </r>
    <r>
      <rPr>
        <sz val="11"/>
        <color theme="9" tint="-0.499984740745262"/>
        <rFont val="Calibri"/>
        <family val="2"/>
        <scheme val="minor"/>
      </rPr>
      <t>3813</t>
    </r>
  </si>
  <si>
    <t>ALIMENTER RADIO</t>
  </si>
  <si>
    <t xml:space="preserve">OK3  </t>
  </si>
  <si>
    <t>NO PO NO SISTE 2711-2068-</t>
  </si>
  <si>
    <t>241-254-000-011</t>
  </si>
  <si>
    <r>
      <rPr>
        <sz val="11"/>
        <color theme="9"/>
        <rFont val="Calibri"/>
        <family val="2"/>
        <scheme val="minor"/>
      </rPr>
      <t>EG101</t>
    </r>
    <r>
      <rPr>
        <sz val="11"/>
        <color theme="1"/>
        <rFont val="Calibri"/>
        <family val="2"/>
        <scheme val="minor"/>
      </rPr>
      <t>/EG129</t>
    </r>
  </si>
  <si>
    <t>ENGINE VIBRATION MONITOR</t>
  </si>
  <si>
    <t>NO PO NO SISTE EG129</t>
  </si>
  <si>
    <t>65-24917-72</t>
  </si>
  <si>
    <t>PILOT</t>
  </si>
  <si>
    <t>361N3001-18</t>
  </si>
  <si>
    <t>D00713</t>
  </si>
  <si>
    <t>PROPULSION INTERFACE UNIT</t>
  </si>
  <si>
    <t>PO 77116</t>
  </si>
  <si>
    <r>
      <rPr>
        <sz val="11"/>
        <rFont val="Calibri"/>
        <family val="2"/>
        <scheme val="minor"/>
      </rPr>
      <t>40-2049</t>
    </r>
    <r>
      <rPr>
        <sz val="11"/>
        <color theme="1"/>
        <rFont val="Calibri"/>
        <family val="2"/>
        <scheme val="minor"/>
      </rPr>
      <t>/59-1733/43-449/10-1884/               10-1957/</t>
    </r>
    <r>
      <rPr>
        <sz val="11"/>
        <color theme="9" tint="-0.499984740745262"/>
        <rFont val="Calibri"/>
        <family val="2"/>
        <scheme val="minor"/>
      </rPr>
      <t>108-1619</t>
    </r>
  </si>
  <si>
    <t>CABIN PRESS CNTRL</t>
  </si>
  <si>
    <t>76651,</t>
  </si>
  <si>
    <t>00045*</t>
  </si>
  <si>
    <t>BRAKE TEMP</t>
  </si>
  <si>
    <t xml:space="preserve"> 948E503G2</t>
  </si>
  <si>
    <t>90A1023</t>
  </si>
  <si>
    <t>TMC</t>
  </si>
  <si>
    <t>RCUR</t>
  </si>
  <si>
    <t>PO 789875</t>
  </si>
  <si>
    <t>D01638</t>
  </si>
  <si>
    <t>FLAP/SLAT ELECTRIC</t>
  </si>
  <si>
    <t>PROCESSOR UNIT FUEL</t>
  </si>
  <si>
    <t>7517800-10403</t>
  </si>
  <si>
    <t>XSE05684</t>
  </si>
  <si>
    <t>DATA LINK TRANSPONDER</t>
  </si>
  <si>
    <t>GENERTAOR CNTRL UNIT</t>
  </si>
  <si>
    <t>1N5-3A</t>
  </si>
  <si>
    <t>81840-03-007B</t>
  </si>
  <si>
    <r>
      <rPr>
        <sz val="11"/>
        <color theme="9" tint="-0.499984740745262"/>
        <rFont val="Calibri"/>
        <family val="2"/>
        <scheme val="minor"/>
      </rPr>
      <t>97060722</t>
    </r>
    <r>
      <rPr>
        <sz val="11"/>
        <color theme="1"/>
        <rFont val="Calibri"/>
        <family val="2"/>
        <scheme val="minor"/>
      </rPr>
      <t>/01041408/00031346</t>
    </r>
  </si>
  <si>
    <t>NPU</t>
  </si>
  <si>
    <t>771564-4</t>
  </si>
  <si>
    <t>MANAGEMENT CONTROL</t>
  </si>
  <si>
    <t>285N0011-32</t>
  </si>
  <si>
    <t>D00929</t>
  </si>
  <si>
    <t>FLAP SLAT ELECTRICAL</t>
  </si>
  <si>
    <t>ED45A300</t>
  </si>
  <si>
    <t>DMU</t>
  </si>
  <si>
    <t>2589201-902</t>
  </si>
  <si>
    <t>AMPLIFICADOR</t>
  </si>
  <si>
    <t>2588145-908</t>
  </si>
  <si>
    <t>FLIGHT DIRECTOR COMP</t>
  </si>
  <si>
    <t>R6357-505A</t>
  </si>
  <si>
    <t>WINDOW CONTROLLER</t>
  </si>
  <si>
    <t>644284-1</t>
  </si>
  <si>
    <t>073C-1358</t>
  </si>
  <si>
    <t>13419/12527</t>
  </si>
  <si>
    <t>PO 76765/76905</t>
  </si>
  <si>
    <t>614937-10</t>
  </si>
  <si>
    <t>87105338A</t>
  </si>
  <si>
    <t>COMPASS SYSTEM RACK</t>
  </si>
  <si>
    <t>VHF DATA RADIO</t>
  </si>
  <si>
    <t>066-1060-50</t>
  </si>
  <si>
    <t>RECEIVER</t>
  </si>
  <si>
    <t>PO 76909</t>
  </si>
  <si>
    <t>101C-3806</t>
  </si>
  <si>
    <t>625946-6</t>
  </si>
  <si>
    <r>
      <t>035C-1098/</t>
    </r>
    <r>
      <rPr>
        <sz val="11"/>
        <color theme="9" tint="-0.499984740745262"/>
        <rFont val="Calibri"/>
        <family val="2"/>
        <scheme val="minor"/>
      </rPr>
      <t>119C-694</t>
    </r>
  </si>
  <si>
    <t>PO 77288</t>
  </si>
  <si>
    <t>075C-704</t>
  </si>
  <si>
    <r>
      <t>030C-1648</t>
    </r>
    <r>
      <rPr>
        <sz val="11"/>
        <color rgb="FFED0000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                      </t>
    </r>
  </si>
  <si>
    <t xml:space="preserve">PO 75671/ 76936/75463/75414  </t>
  </si>
  <si>
    <t>4040800-901</t>
  </si>
  <si>
    <t>AIR DATA COMP</t>
  </si>
  <si>
    <t>49-170-11</t>
  </si>
  <si>
    <t>FLAP CONTROL</t>
  </si>
  <si>
    <t>072C-2332</t>
  </si>
  <si>
    <t>9D-05522-15</t>
  </si>
  <si>
    <t>DISPLAY CONTROL PANEL</t>
  </si>
  <si>
    <t>980-4120-RXUS</t>
  </si>
  <si>
    <t>FLIGHT DATA RECORDER1</t>
  </si>
  <si>
    <t>1N5-3B</t>
  </si>
  <si>
    <t>6600/3969/5682</t>
  </si>
  <si>
    <t xml:space="preserve"> </t>
  </si>
  <si>
    <t>90054274/97119466</t>
  </si>
  <si>
    <t>FLIGHT MANAGEMENT</t>
  </si>
  <si>
    <t>7517800-10400</t>
  </si>
  <si>
    <t>XSE05848</t>
  </si>
  <si>
    <t>104113/3253/A50J</t>
  </si>
  <si>
    <t>TCAS</t>
  </si>
  <si>
    <t>822-1626-105</t>
  </si>
  <si>
    <t>4KX8V</t>
  </si>
  <si>
    <t>INTEGRATED DTALINK</t>
  </si>
  <si>
    <t>S231T110-6</t>
  </si>
  <si>
    <t>822-0290-001</t>
  </si>
  <si>
    <t>RECEIVER TRAX</t>
  </si>
  <si>
    <t>064-1005-04</t>
  </si>
  <si>
    <t>822-0298-001</t>
  </si>
  <si>
    <t>65-60211-332</t>
  </si>
  <si>
    <t>M00364</t>
  </si>
  <si>
    <t>LANDING GEAR</t>
  </si>
  <si>
    <t>25359ML</t>
  </si>
  <si>
    <t>PO 75185</t>
  </si>
  <si>
    <t>130476-4</t>
  </si>
  <si>
    <t>29-869</t>
  </si>
  <si>
    <t>SELECTOR CABIN PRESS</t>
  </si>
  <si>
    <t>PO 75202</t>
  </si>
  <si>
    <t>772-5025-002</t>
  </si>
  <si>
    <t>8A715</t>
  </si>
  <si>
    <t>2594466-906</t>
  </si>
  <si>
    <t>86012349/87042738</t>
  </si>
  <si>
    <t>AIR SPEED INDICATOR</t>
  </si>
  <si>
    <t>COMPASS INDICATOR</t>
  </si>
  <si>
    <t>2589112-905</t>
  </si>
  <si>
    <t>HORIZON FLIGHT DIREC</t>
  </si>
  <si>
    <t>4038930-901</t>
  </si>
  <si>
    <t>HORIZON SITUATION IND</t>
  </si>
  <si>
    <t>PO 75205</t>
  </si>
  <si>
    <t>1783993-405</t>
  </si>
  <si>
    <t>DICTORIAL DEVIATION</t>
  </si>
  <si>
    <t>2585802-12</t>
  </si>
  <si>
    <t>A/P CONTROL</t>
  </si>
  <si>
    <t>PO 76734</t>
  </si>
  <si>
    <t>100-1052-01</t>
  </si>
  <si>
    <t>SECURAPLANE</t>
  </si>
  <si>
    <t>PO 75776</t>
  </si>
  <si>
    <t>2117180-2</t>
  </si>
  <si>
    <t>40-1949</t>
  </si>
  <si>
    <t>CONT CAB PRESS</t>
  </si>
  <si>
    <t>1N5-4A</t>
  </si>
  <si>
    <t>001048-101</t>
  </si>
  <si>
    <t>INSTRUMENT SWITCHING</t>
  </si>
  <si>
    <t>NA135</t>
  </si>
  <si>
    <t>255AFC0004</t>
  </si>
  <si>
    <t>SELCAL</t>
  </si>
  <si>
    <t>8-336-05</t>
  </si>
  <si>
    <t>42-607-1</t>
  </si>
  <si>
    <t>902F288-2</t>
  </si>
  <si>
    <t>XNA1340</t>
  </si>
  <si>
    <t>BUS PROTECCION</t>
  </si>
  <si>
    <t>PO 77015</t>
  </si>
  <si>
    <t>001122-101</t>
  </si>
  <si>
    <t>SWITCHING UNIT</t>
  </si>
  <si>
    <t>PO 75189</t>
  </si>
  <si>
    <t>4034241-971</t>
  </si>
  <si>
    <t>DIGITAL FLIGHT</t>
  </si>
  <si>
    <t>2594861-902</t>
  </si>
  <si>
    <t>80120859/1050189</t>
  </si>
  <si>
    <t>PO 76906</t>
  </si>
  <si>
    <t>5956890-509</t>
  </si>
  <si>
    <t>LIGHT CONTROL</t>
  </si>
  <si>
    <t>G-5586</t>
  </si>
  <si>
    <t>BOOM UNIT</t>
  </si>
  <si>
    <t>716-669-1</t>
  </si>
  <si>
    <t>IND</t>
  </si>
  <si>
    <t>200-91821-101</t>
  </si>
  <si>
    <t>TERR  OVRD SWITCH</t>
  </si>
  <si>
    <t>4924242-519S</t>
  </si>
  <si>
    <t>SRL-C12P</t>
  </si>
  <si>
    <t>HYD FLUID</t>
  </si>
  <si>
    <t>124514-1</t>
  </si>
  <si>
    <t>EGT IND</t>
  </si>
  <si>
    <t>SRL-7F</t>
  </si>
  <si>
    <t xml:space="preserve"> HYD PRESS IND</t>
  </si>
  <si>
    <t>570-487</t>
  </si>
  <si>
    <t>FREQUENCY METER</t>
  </si>
  <si>
    <t>8DW84LBA1</t>
  </si>
  <si>
    <t>QB8913</t>
  </si>
  <si>
    <t>DC VOLT AMMETER</t>
  </si>
  <si>
    <t>87000-1117</t>
  </si>
  <si>
    <t>CLOCK ACFT</t>
  </si>
  <si>
    <t>PO 75179</t>
  </si>
  <si>
    <t>8DJ125LXX5</t>
  </si>
  <si>
    <t xml:space="preserve">C0101 </t>
  </si>
  <si>
    <t>IND FUEL FLOW</t>
  </si>
  <si>
    <t>17688-001</t>
  </si>
  <si>
    <t>SET ALTITUD</t>
  </si>
  <si>
    <t>8AW61LVF1</t>
  </si>
  <si>
    <t>JG1752</t>
  </si>
  <si>
    <t>AC VOLT METER</t>
  </si>
  <si>
    <t>B175-21W</t>
  </si>
  <si>
    <t>FL68961</t>
  </si>
  <si>
    <t>IND FUEL QTY</t>
  </si>
  <si>
    <t>8DJ81WCF4</t>
  </si>
  <si>
    <t>T2886</t>
  </si>
  <si>
    <t>8DW84LAN1</t>
  </si>
  <si>
    <t>65-6517</t>
  </si>
  <si>
    <t>SRDL-0C12D</t>
  </si>
  <si>
    <t>DUAL FLAP POS IND</t>
  </si>
  <si>
    <t>B175-22W</t>
  </si>
  <si>
    <t>FUEL QTY IND</t>
  </si>
  <si>
    <t>4024130-903</t>
  </si>
  <si>
    <t xml:space="preserve"> RATING IND</t>
  </si>
  <si>
    <t>7110-32-0000</t>
  </si>
  <si>
    <t>83-11-118/85-03-0321</t>
  </si>
  <si>
    <t>MICROWAVE CONTROL</t>
  </si>
  <si>
    <t>822-1255-301</t>
  </si>
  <si>
    <t>G-5730</t>
  </si>
  <si>
    <t>TRANSFER INSTRUMENT</t>
  </si>
  <si>
    <t>G-5584-02</t>
  </si>
  <si>
    <t>COMM</t>
  </si>
  <si>
    <t>29261-7E-A1</t>
  </si>
  <si>
    <r>
      <rPr>
        <sz val="11"/>
        <color theme="9" tint="-0.499984740745262"/>
        <rFont val="Calibri"/>
        <family val="2"/>
        <scheme val="minor"/>
      </rPr>
      <t>707839</t>
    </r>
    <r>
      <rPr>
        <sz val="11"/>
        <color rgb="FF000000"/>
        <rFont val="Calibri"/>
        <family val="2"/>
        <scheme val="minor"/>
      </rPr>
      <t>/812979</t>
    </r>
  </si>
  <si>
    <t>OXYGEN REGULATOR</t>
  </si>
  <si>
    <t>787-6366-010</t>
  </si>
  <si>
    <t>CONTROL ADF</t>
  </si>
  <si>
    <t>G-5584</t>
  </si>
  <si>
    <t>G-5852</t>
  </si>
  <si>
    <t>COMPASS RADIO</t>
  </si>
  <si>
    <t>771562-1</t>
  </si>
  <si>
    <t>ENTRY PANEL FLIGHT</t>
  </si>
  <si>
    <t>548382-2</t>
  </si>
  <si>
    <t>20C-1475/103C-142</t>
  </si>
  <si>
    <t>CABIN TEMP SELECTOR</t>
  </si>
  <si>
    <t>75187/75776</t>
  </si>
  <si>
    <t>DME</t>
  </si>
  <si>
    <t>1N6-1A</t>
  </si>
  <si>
    <t>622-8757-104</t>
  </si>
  <si>
    <t>RECEIVER TRAX HF</t>
  </si>
  <si>
    <t>2041168-7510</t>
  </si>
  <si>
    <t>ADF RECIEVER</t>
  </si>
  <si>
    <t>2041217-0418</t>
  </si>
  <si>
    <t>947F945-3</t>
  </si>
  <si>
    <t>MK2485</t>
  </si>
  <si>
    <t>ANNUNCIATOR</t>
  </si>
  <si>
    <t>1N6-1B</t>
  </si>
  <si>
    <t>965-0728-001</t>
  </si>
  <si>
    <t>ACARS MANAGEMENT UNI</t>
  </si>
  <si>
    <t>2041232-3110</t>
  </si>
  <si>
    <r>
      <rPr>
        <sz val="11"/>
        <color theme="9" tint="-0.499984740745262"/>
        <rFont val="Calibri"/>
        <family val="2"/>
        <scheme val="minor"/>
      </rPr>
      <t>2773</t>
    </r>
    <r>
      <rPr>
        <sz val="11"/>
        <color theme="1"/>
        <rFont val="Calibri"/>
        <family val="2"/>
        <scheme val="minor"/>
      </rPr>
      <t>/3070</t>
    </r>
  </si>
  <si>
    <t>RADAR INDICATOR</t>
  </si>
  <si>
    <t>622-3371-001</t>
  </si>
  <si>
    <t>7E1002</t>
  </si>
  <si>
    <t>MEASURING EQUIP</t>
  </si>
  <si>
    <t>108900-0001</t>
  </si>
  <si>
    <t>TAPE REPRODUCER</t>
  </si>
  <si>
    <t>ED44B410</t>
  </si>
  <si>
    <t>362 O 365</t>
  </si>
  <si>
    <t>AFIM</t>
  </si>
  <si>
    <t>HG480-B100</t>
  </si>
  <si>
    <r>
      <rPr>
        <sz val="11"/>
        <color theme="9" tint="-0.499984740745262"/>
        <rFont val="Calibri"/>
        <family val="2"/>
        <scheme val="minor"/>
      </rPr>
      <t>N-553</t>
    </r>
    <r>
      <rPr>
        <sz val="11"/>
        <color theme="1"/>
        <rFont val="Calibri"/>
        <family val="2"/>
        <scheme val="minor"/>
      </rPr>
      <t>/P-284-30</t>
    </r>
  </si>
  <si>
    <t>DIGITAL AIR</t>
  </si>
  <si>
    <t>28000-1</t>
  </si>
  <si>
    <r>
      <rPr>
        <sz val="11"/>
        <color rgb="FF388600"/>
        <rFont val="Calibri"/>
        <family val="2"/>
        <scheme val="minor"/>
      </rPr>
      <t>298/9269</t>
    </r>
    <r>
      <rPr>
        <sz val="11"/>
        <color theme="1"/>
        <rFont val="Calibri"/>
        <family val="2"/>
        <scheme val="minor"/>
      </rPr>
      <t>/2801</t>
    </r>
  </si>
  <si>
    <t>75187/76846</t>
  </si>
  <si>
    <t>MI585162-2</t>
  </si>
  <si>
    <t>8TJ95CAB2A</t>
  </si>
  <si>
    <t>G0005</t>
  </si>
  <si>
    <t>POWER SUPPLAY</t>
  </si>
  <si>
    <t>B401871002</t>
  </si>
  <si>
    <t>CABIM CLIMB INDI</t>
  </si>
  <si>
    <t>8DJ81WCW4</t>
  </si>
  <si>
    <t>A0111</t>
  </si>
  <si>
    <t>T0062</t>
  </si>
  <si>
    <t>162BL709C</t>
  </si>
  <si>
    <t>OIL TEMP IND</t>
  </si>
  <si>
    <t>396-100S1-D1</t>
  </si>
  <si>
    <t>8147-421</t>
  </si>
  <si>
    <t>OIL PRESS IND</t>
  </si>
  <si>
    <t>622-1396-101</t>
  </si>
  <si>
    <t>A14562</t>
  </si>
  <si>
    <t>TRANSCEIVER VHF</t>
  </si>
  <si>
    <t>822-1152-002</t>
  </si>
  <si>
    <t>822-1152-004</t>
  </si>
  <si>
    <t>901N</t>
  </si>
  <si>
    <t>MMR</t>
  </si>
  <si>
    <t>1N6-2A</t>
  </si>
  <si>
    <t>D05600</t>
  </si>
  <si>
    <t>POWER SUPPLY MODULE</t>
  </si>
  <si>
    <t>624284-1</t>
  </si>
  <si>
    <t>041C-1018</t>
  </si>
  <si>
    <t>PACK STBY CONTROL</t>
  </si>
  <si>
    <t>2233000-816</t>
  </si>
  <si>
    <t>00440*</t>
  </si>
  <si>
    <t>45Y3D/160M9M</t>
  </si>
  <si>
    <t>1N6-2B</t>
  </si>
  <si>
    <t>77175/77713</t>
  </si>
  <si>
    <t>622-7878-201</t>
  </si>
  <si>
    <t>VOR/LIS</t>
  </si>
  <si>
    <t>622-4540-001</t>
  </si>
  <si>
    <t>522-4280-105</t>
  </si>
  <si>
    <t>B4170</t>
  </si>
  <si>
    <t>622-2921-001</t>
  </si>
  <si>
    <t>822-1044-004</t>
  </si>
  <si>
    <t>F7027</t>
  </si>
  <si>
    <t>822-0726-103</t>
  </si>
  <si>
    <t>2446/362</t>
  </si>
  <si>
    <t>RECEIVER VOR/MB</t>
  </si>
  <si>
    <t>31Y5</t>
  </si>
  <si>
    <t>RECEIVER ILS</t>
  </si>
  <si>
    <t>RECEIVER ADF</t>
  </si>
  <si>
    <t>522-3121-185</t>
  </si>
  <si>
    <t>777-1492-004</t>
  </si>
  <si>
    <t>RECEIVER ADEF</t>
  </si>
  <si>
    <t>622-8000-006</t>
  </si>
  <si>
    <r>
      <t>2398/</t>
    </r>
    <r>
      <rPr>
        <sz val="11"/>
        <color theme="9" tint="-0.499984740745262"/>
        <rFont val="Calibri"/>
        <family val="2"/>
        <scheme val="minor"/>
      </rPr>
      <t>2552</t>
    </r>
  </si>
  <si>
    <t>902F242-5</t>
  </si>
  <si>
    <r>
      <t>MM2284/</t>
    </r>
    <r>
      <rPr>
        <sz val="11"/>
        <color theme="9" tint="-0.499984740745262"/>
        <rFont val="Calibri"/>
        <family val="2"/>
        <scheme val="minor"/>
      </rPr>
      <t>3359</t>
    </r>
  </si>
  <si>
    <t>PANEL ELECTRICAL</t>
  </si>
  <si>
    <t>76734/77015</t>
  </si>
  <si>
    <t>2087821-2801</t>
  </si>
  <si>
    <t>MARKER RECEIVER</t>
  </si>
  <si>
    <t>H05A0035-4</t>
  </si>
  <si>
    <t xml:space="preserve">SYSTEM CENTRAL </t>
  </si>
  <si>
    <t>B254ADM1</t>
  </si>
  <si>
    <r>
      <t>0546/</t>
    </r>
    <r>
      <rPr>
        <sz val="11"/>
        <color theme="9" tint="-0.499984740745262"/>
        <rFont val="Calibri"/>
        <family val="2"/>
        <scheme val="minor"/>
      </rPr>
      <t>6113</t>
    </r>
  </si>
  <si>
    <t>INVERTER PROCESSOR</t>
  </si>
  <si>
    <t>77713/76494</t>
  </si>
  <si>
    <t>G-803</t>
  </si>
  <si>
    <t>AUDIO AMPLIFIER</t>
  </si>
  <si>
    <t>1N6-3A</t>
  </si>
  <si>
    <t>G-2412</t>
  </si>
  <si>
    <t>AUDIO CONTROL PANEL</t>
  </si>
  <si>
    <t>4039891-904</t>
  </si>
  <si>
    <t>93113003/82110516</t>
  </si>
  <si>
    <t>AIR SPEED</t>
  </si>
  <si>
    <r>
      <rPr>
        <sz val="11"/>
        <color theme="9" tint="-0.499984740745262"/>
        <rFont val="Calibri"/>
        <family val="2"/>
        <scheme val="minor"/>
      </rPr>
      <t>4162</t>
    </r>
    <r>
      <rPr>
        <sz val="11"/>
        <color theme="1"/>
        <rFont val="Calibri"/>
        <family val="2"/>
        <scheme val="minor"/>
      </rPr>
      <t>/</t>
    </r>
    <r>
      <rPr>
        <sz val="11"/>
        <color theme="9" tint="-0.499984740745262"/>
        <rFont val="Calibri"/>
        <family val="2"/>
        <scheme val="minor"/>
      </rPr>
      <t>130088</t>
    </r>
    <r>
      <rPr>
        <sz val="11"/>
        <color theme="1"/>
        <rFont val="Calibri"/>
        <family val="2"/>
        <scheme val="minor"/>
      </rPr>
      <t>/6769/</t>
    </r>
    <r>
      <rPr>
        <sz val="11"/>
        <color theme="9" tint="-0.499984740745262"/>
        <rFont val="Calibri"/>
        <family val="2"/>
        <scheme val="minor"/>
      </rPr>
      <t>2938</t>
    </r>
  </si>
  <si>
    <t>RADIO INDICATOR</t>
  </si>
  <si>
    <t>76494/77711</t>
  </si>
  <si>
    <t>4039893-902</t>
  </si>
  <si>
    <t>90043045/87101653</t>
  </si>
  <si>
    <t>VERTICAL SPEED IND</t>
  </si>
  <si>
    <t>A3811910008</t>
  </si>
  <si>
    <t>1444/1945</t>
  </si>
  <si>
    <t xml:space="preserve">STANDBY ALIMENTER </t>
  </si>
  <si>
    <t>75776/75190</t>
  </si>
  <si>
    <t>522-4114-006</t>
  </si>
  <si>
    <t>RAD ACT IND</t>
  </si>
  <si>
    <t>88111565/90031867</t>
  </si>
  <si>
    <t>77288/77711</t>
  </si>
  <si>
    <t>LK-35-2</t>
  </si>
  <si>
    <t>2220/2508</t>
  </si>
  <si>
    <r>
      <t>2971/</t>
    </r>
    <r>
      <rPr>
        <sz val="11"/>
        <color theme="9" tint="-0.499984740745262"/>
        <rFont val="Calibri"/>
        <family val="2"/>
        <scheme val="minor"/>
      </rPr>
      <t>3116</t>
    </r>
  </si>
  <si>
    <t>622-9353-423</t>
  </si>
  <si>
    <t>INDICATOR VSI</t>
  </si>
  <si>
    <t>4067644-901</t>
  </si>
  <si>
    <t>VSI/TRA INDICATOR</t>
  </si>
  <si>
    <t>066-50002-8102</t>
  </si>
  <si>
    <t>TCAS/VS INDICATOR</t>
  </si>
  <si>
    <t>S231T110-6  -  H150AKMI</t>
  </si>
  <si>
    <r>
      <t>5187/</t>
    </r>
    <r>
      <rPr>
        <sz val="11"/>
        <color theme="9" tint="-0.499984740745262"/>
        <rFont val="Calibri"/>
        <family val="2"/>
        <scheme val="minor"/>
      </rPr>
      <t>5443</t>
    </r>
  </si>
  <si>
    <t xml:space="preserve">	STANDBY ATTITUDE IND</t>
  </si>
  <si>
    <t>4039892-904  -  BA-800</t>
  </si>
  <si>
    <r>
      <t>99124835/</t>
    </r>
    <r>
      <rPr>
        <sz val="11"/>
        <color theme="9" tint="-0.499984740745262"/>
        <rFont val="Calibri"/>
        <family val="2"/>
        <scheme val="minor"/>
      </rPr>
      <t>97114233</t>
    </r>
    <r>
      <rPr>
        <sz val="11"/>
        <color theme="1"/>
        <rFont val="Calibri"/>
        <family val="2"/>
        <scheme val="minor"/>
      </rPr>
      <t>/92012637/</t>
    </r>
    <r>
      <rPr>
        <sz val="11"/>
        <color theme="9" tint="-0.499984740745262"/>
        <rFont val="Calibri"/>
        <family val="2"/>
        <scheme val="minor"/>
      </rPr>
      <t>87051202</t>
    </r>
    <r>
      <rPr>
        <sz val="11"/>
        <color theme="1"/>
        <rFont val="Calibri"/>
        <family val="2"/>
        <scheme val="minor"/>
      </rPr>
      <t>/                          00044905</t>
    </r>
  </si>
  <si>
    <t>BAROMETRIC ALTIMETER</t>
  </si>
  <si>
    <t>76494/77208/77192</t>
  </si>
  <si>
    <t>1187/CVR120-05248</t>
  </si>
  <si>
    <t>78711/76937</t>
  </si>
  <si>
    <t>82165-00-004</t>
  </si>
  <si>
    <t>96110327/97090967/97111006</t>
  </si>
  <si>
    <t>965-0876-030</t>
  </si>
  <si>
    <r>
      <rPr>
        <sz val="11"/>
        <color theme="9" tint="-0.499984740745262"/>
        <rFont val="Calibri"/>
        <family val="2"/>
        <scheme val="minor"/>
      </rPr>
      <t>2209</t>
    </r>
    <r>
      <rPr>
        <sz val="11"/>
        <color theme="1"/>
        <rFont val="Calibri"/>
        <family val="2"/>
        <scheme val="minor"/>
      </rPr>
      <t>/1930</t>
    </r>
  </si>
  <si>
    <t>76734/76145</t>
  </si>
  <si>
    <t>965-0976-020</t>
  </si>
  <si>
    <t>F9228081/F9840843</t>
  </si>
  <si>
    <t>80048/80089</t>
  </si>
  <si>
    <t>965-0449-002</t>
  </si>
  <si>
    <t>STALL WARN COMPUTER</t>
  </si>
  <si>
    <t>522-3667-001</t>
  </si>
  <si>
    <t>1N6-3B</t>
  </si>
  <si>
    <t>65-53875-9</t>
  </si>
  <si>
    <t>R39976A</t>
  </si>
  <si>
    <t>WHITE BOX</t>
  </si>
  <si>
    <t>071-01503-2601</t>
  </si>
  <si>
    <t>10-1073-1</t>
  </si>
  <si>
    <t>BPE/GPL</t>
  </si>
  <si>
    <t>10-3223-44</t>
  </si>
  <si>
    <t>B2160</t>
  </si>
  <si>
    <t>HYD BRAKE PRESS</t>
  </si>
  <si>
    <t>10-61926-4</t>
  </si>
  <si>
    <t>FLAP IND</t>
  </si>
  <si>
    <t>2301-04-3*</t>
  </si>
  <si>
    <t>303/301/319</t>
  </si>
  <si>
    <t>FUEL TANK</t>
  </si>
  <si>
    <t>B1095A</t>
  </si>
  <si>
    <t>IND SURSAFE</t>
  </si>
  <si>
    <t>65-53875-8</t>
  </si>
  <si>
    <t>WING CANDING</t>
  </si>
  <si>
    <t>65-64960-3</t>
  </si>
  <si>
    <t>D02147</t>
  </si>
  <si>
    <t>IND LIGHTS</t>
  </si>
  <si>
    <t>69-37322-15</t>
  </si>
  <si>
    <t>D02146</t>
  </si>
  <si>
    <t>CREW OXYGEN</t>
  </si>
  <si>
    <t>69-37327-307</t>
  </si>
  <si>
    <t>MASTER CAUTION ASSY</t>
  </si>
  <si>
    <t>69-37327-308</t>
  </si>
  <si>
    <t>69-37328-16</t>
  </si>
  <si>
    <t>D02751</t>
  </si>
  <si>
    <t>MAP BRIGHTNESS</t>
  </si>
  <si>
    <t>69-37331-63</t>
  </si>
  <si>
    <t>D02316</t>
  </si>
  <si>
    <t>PANEL LIGHT CONTROL</t>
  </si>
  <si>
    <t>69-37332-7</t>
  </si>
  <si>
    <t>D02170</t>
  </si>
  <si>
    <t xml:space="preserve">LIGHTING CONTROL </t>
  </si>
  <si>
    <t>69-37344-33</t>
  </si>
  <si>
    <t>D01937</t>
  </si>
  <si>
    <t>VHF</t>
  </si>
  <si>
    <t>69-37352-40</t>
  </si>
  <si>
    <t>D02375</t>
  </si>
  <si>
    <t>DOOR WARNING</t>
  </si>
  <si>
    <t>69-37369-24</t>
  </si>
  <si>
    <t>D02646</t>
  </si>
  <si>
    <t>GROUND PROXIMITY</t>
  </si>
  <si>
    <t>69-62791-1</t>
  </si>
  <si>
    <t>A3490</t>
  </si>
  <si>
    <t xml:space="preserve">	MUFFLER ASSEMBLY</t>
  </si>
  <si>
    <t>69-62791-2</t>
  </si>
  <si>
    <t xml:space="preserve">	OUTLET ASSEMBLY</t>
  </si>
  <si>
    <t>69-72067-1</t>
  </si>
  <si>
    <t>D02072</t>
  </si>
  <si>
    <t>69-737-13-17</t>
  </si>
  <si>
    <t>D01985</t>
  </si>
  <si>
    <t>PANEL IRS</t>
  </si>
  <si>
    <t>69-75978-1</t>
  </si>
  <si>
    <t>D01818</t>
  </si>
  <si>
    <t>STALL WARNING PANEL</t>
  </si>
  <si>
    <t>69-76435-5</t>
  </si>
  <si>
    <t>D01298</t>
  </si>
  <si>
    <t>CONTOL LIGHT</t>
  </si>
  <si>
    <t>69-76436-2</t>
  </si>
  <si>
    <t>D00404</t>
  </si>
  <si>
    <t>STABLIZER TRIM PANEL</t>
  </si>
  <si>
    <t>69-77446-1</t>
  </si>
  <si>
    <t>A7362</t>
  </si>
  <si>
    <t>APU HOUR METER</t>
  </si>
  <si>
    <t>81000-17501</t>
  </si>
  <si>
    <t>MAP LIGHT</t>
  </si>
  <si>
    <t>93-A152-20</t>
  </si>
  <si>
    <t>VOICE RECORDER</t>
  </si>
  <si>
    <t>D434-56-001</t>
  </si>
  <si>
    <t>2812/03-96</t>
  </si>
  <si>
    <t>STATUS AUTO</t>
  </si>
  <si>
    <t>522/08-88</t>
  </si>
  <si>
    <t xml:space="preserve">STATUS AUTO </t>
  </si>
  <si>
    <t>S65-5366-7L</t>
  </si>
  <si>
    <t>BAND ANTENNA</t>
  </si>
  <si>
    <t>DMN150-21</t>
  </si>
  <si>
    <t>60998/60969</t>
  </si>
  <si>
    <t xml:space="preserve">ANTENNA </t>
  </si>
  <si>
    <t>BAC27DCT0461</t>
  </si>
  <si>
    <t>10-62090-12</t>
  </si>
  <si>
    <t>REMOTE ELETRONICS</t>
  </si>
  <si>
    <t>42-71902</t>
  </si>
  <si>
    <t>ANTI SKYD CONTROL</t>
  </si>
  <si>
    <t>622-2921-006</t>
  </si>
  <si>
    <t>15936/15948</t>
  </si>
  <si>
    <t>622-4096-001</t>
  </si>
  <si>
    <t>PASSENGER ADDRESS</t>
  </si>
  <si>
    <t>65-52806-365</t>
  </si>
  <si>
    <t>D02613</t>
  </si>
  <si>
    <t>MISC SOLD STATE</t>
  </si>
  <si>
    <t>65-52808-6</t>
  </si>
  <si>
    <t>M00190</t>
  </si>
  <si>
    <t>OVERHEAT DETECTOR</t>
  </si>
  <si>
    <t>65-84209-21</t>
  </si>
  <si>
    <t>D00682</t>
  </si>
  <si>
    <t>AUTO SPEED BRAKE</t>
  </si>
  <si>
    <t>6594-01</t>
  </si>
  <si>
    <t>RECIEVER ADF</t>
  </si>
  <si>
    <t>777-1492-005</t>
  </si>
  <si>
    <t>965-0648-009</t>
  </si>
  <si>
    <t xml:space="preserve">GROUND PROXIMITY </t>
  </si>
  <si>
    <t>DG1035AB03</t>
  </si>
  <si>
    <t>96103711/210</t>
  </si>
  <si>
    <t>DIGITAL ANALOUGE</t>
  </si>
  <si>
    <t>S360N021-202</t>
  </si>
  <si>
    <t>CG84</t>
  </si>
  <si>
    <t xml:space="preserve">DIGITAL TRACKING </t>
  </si>
  <si>
    <t>69-37310-393</t>
  </si>
  <si>
    <t>548376-6</t>
  </si>
  <si>
    <t>080C-3482</t>
  </si>
  <si>
    <t>CONTROLER CABIM TEMP</t>
  </si>
  <si>
    <t>A12SA</t>
  </si>
  <si>
    <t>RAD1346</t>
  </si>
  <si>
    <t>066-01127-1301</t>
  </si>
  <si>
    <t>ATC TPR</t>
  </si>
  <si>
    <t>080-20325-01</t>
  </si>
  <si>
    <t>POWER SUPPLY TRANSMITTER</t>
  </si>
  <si>
    <t>10-61826-8</t>
  </si>
  <si>
    <t>ALTIMETER</t>
  </si>
  <si>
    <t>10-61833-4</t>
  </si>
  <si>
    <t>WINDOW HEAT CONROL</t>
  </si>
  <si>
    <t>WINDOW HEAT CONTROL</t>
  </si>
  <si>
    <t>10-62090-66</t>
  </si>
  <si>
    <t>VHF COM</t>
  </si>
  <si>
    <t>10-62231-11</t>
  </si>
  <si>
    <t>C96080220</t>
  </si>
  <si>
    <t>PANEL PRESSURE</t>
  </si>
  <si>
    <t>172-938-001</t>
  </si>
  <si>
    <t>10178/10187</t>
  </si>
  <si>
    <t>IRS XFR RELAY</t>
  </si>
  <si>
    <t>2083-11-1*</t>
  </si>
  <si>
    <t>MACH AIRSPEED</t>
  </si>
  <si>
    <t>4034559-901</t>
  </si>
  <si>
    <t>DISTANCE BEARING</t>
  </si>
  <si>
    <t>4039893-903</t>
  </si>
  <si>
    <t>VERTICAL SPEED</t>
  </si>
  <si>
    <t>VERTIVAL SPEED</t>
  </si>
  <si>
    <t>60B00303-105</t>
  </si>
  <si>
    <t xml:space="preserve">CLOCK ELECTRICAL </t>
  </si>
  <si>
    <t>65-52822-7</t>
  </si>
  <si>
    <t>D02105</t>
  </si>
  <si>
    <t>STALL WARNING</t>
  </si>
  <si>
    <t>D00693</t>
  </si>
  <si>
    <t>69-37314-81</t>
  </si>
  <si>
    <t>D02468</t>
  </si>
  <si>
    <t>SLTERNATIVE GEN</t>
  </si>
  <si>
    <t>69-37315-86</t>
  </si>
  <si>
    <t>D02545</t>
  </si>
  <si>
    <t>GEN DRIVE STANDBY</t>
  </si>
  <si>
    <t>69-37317-89</t>
  </si>
  <si>
    <t>D02479</t>
  </si>
  <si>
    <t>HYDRAULIC PUMPS</t>
  </si>
  <si>
    <t>69-37319-185</t>
  </si>
  <si>
    <t>D02620</t>
  </si>
  <si>
    <t>AIR CONDITION PANEL</t>
  </si>
  <si>
    <t>69-37320-104</t>
  </si>
  <si>
    <t>D01781</t>
  </si>
  <si>
    <t>ANTI ICE WING</t>
  </si>
  <si>
    <t>69-37321-71</t>
  </si>
  <si>
    <t>D02335</t>
  </si>
  <si>
    <t>ELETRIC METER BATTE</t>
  </si>
  <si>
    <t>69-37335-129</t>
  </si>
  <si>
    <t>D02616</t>
  </si>
  <si>
    <t>FUEL SYSTEM</t>
  </si>
  <si>
    <t>69-78214-1</t>
  </si>
  <si>
    <t>D00479</t>
  </si>
  <si>
    <t>AURAL WARNING MODULE</t>
  </si>
  <si>
    <t>D00144</t>
  </si>
  <si>
    <t>E3-3 WINDOW HEAT</t>
  </si>
  <si>
    <t>NA138-714B</t>
  </si>
  <si>
    <t>706CWL0030</t>
  </si>
  <si>
    <t>WL102AMS3</t>
  </si>
  <si>
    <t>AK112</t>
  </si>
  <si>
    <t>69-37313-405</t>
  </si>
  <si>
    <t>D02462</t>
  </si>
  <si>
    <t>FLIGHT CONTROL MODULE</t>
  </si>
  <si>
    <t>2233000-85</t>
  </si>
  <si>
    <t>DIGITAL FLIGHT DATA</t>
  </si>
  <si>
    <t>622-5377-001</t>
  </si>
  <si>
    <t>RECIEVER TRANSMITTER</t>
  </si>
  <si>
    <t>2-299</t>
  </si>
  <si>
    <t>POWER SUPPLY AIRSPEED</t>
  </si>
  <si>
    <t>522-2213-038</t>
  </si>
  <si>
    <t>RADIO FREQUENCY</t>
  </si>
  <si>
    <t>622-3890-021</t>
  </si>
  <si>
    <t>622-5129-105</t>
  </si>
  <si>
    <t xml:space="preserve">CONTROL PANEL </t>
  </si>
  <si>
    <t>622-5132-106</t>
  </si>
  <si>
    <t xml:space="preserve">TRANSMITTER REGUALTOR </t>
  </si>
  <si>
    <t>65-52807-39</t>
  </si>
  <si>
    <t>D01220</t>
  </si>
  <si>
    <t>E3-2 FLAP SLAT</t>
  </si>
  <si>
    <t>65-52820-2</t>
  </si>
  <si>
    <t>D00490</t>
  </si>
  <si>
    <t>FLIGHT INSTRUMENTAL</t>
  </si>
  <si>
    <t>65-73606-149</t>
  </si>
  <si>
    <t>D01397</t>
  </si>
  <si>
    <t>ENGINE ACCESSORY</t>
  </si>
  <si>
    <t>69-37324-18</t>
  </si>
  <si>
    <t>D02319</t>
  </si>
  <si>
    <t>CABIN TEMOP</t>
  </si>
  <si>
    <t>69-37325-135</t>
  </si>
  <si>
    <t>D02465</t>
  </si>
  <si>
    <t>FLIGHT RECORDER</t>
  </si>
  <si>
    <t>69-73614-57</t>
  </si>
  <si>
    <t>D01952</t>
  </si>
  <si>
    <t>PMC ENGINE</t>
  </si>
  <si>
    <t>787-6366-005</t>
  </si>
  <si>
    <t>ADF</t>
  </si>
  <si>
    <t>DWG60B40023-2</t>
  </si>
  <si>
    <t xml:space="preserve">E3-1 STATIC </t>
  </si>
  <si>
    <t>MXP147-5</t>
  </si>
  <si>
    <t>RD-AX7010</t>
  </si>
  <si>
    <t>10-62035-2</t>
  </si>
  <si>
    <t>B2304BA</t>
  </si>
  <si>
    <t>622-7998-013</t>
  </si>
  <si>
    <t xml:space="preserve">MULTICOLOR EDU </t>
  </si>
  <si>
    <t>PN    B.E.R/R.A.I</t>
  </si>
  <si>
    <t>PO</t>
  </si>
  <si>
    <t>3214488-X6  OR -7</t>
  </si>
  <si>
    <t>OK 1388C</t>
  </si>
  <si>
    <t>5010224A</t>
  </si>
  <si>
    <t>0873*</t>
  </si>
  <si>
    <t>VALVE PRECOOLER</t>
  </si>
  <si>
    <t>112-2802/109-1669</t>
  </si>
  <si>
    <t>79158/80245/</t>
  </si>
  <si>
    <t>211C223-516</t>
  </si>
  <si>
    <t>L010014C</t>
  </si>
  <si>
    <r>
      <rPr>
        <sz val="11"/>
        <color theme="9" tint="-0.499984740745262"/>
        <rFont val="Calibri"/>
        <family val="2"/>
        <scheme val="minor"/>
      </rPr>
      <t>L01818C O 16C</t>
    </r>
    <r>
      <rPr>
        <sz val="11"/>
        <color theme="1"/>
        <rFont val="Calibri"/>
        <family val="2"/>
        <scheme val="minor"/>
      </rPr>
      <t>/P01380C</t>
    </r>
  </si>
  <si>
    <t>7514081-901</t>
  </si>
  <si>
    <t>0110G059</t>
  </si>
  <si>
    <t>TCAS ANTENA</t>
  </si>
  <si>
    <t>TY1878-21C</t>
  </si>
  <si>
    <t>N06151 O N06121</t>
  </si>
  <si>
    <t>SHAFT LOCK</t>
  </si>
  <si>
    <t>78477/78630 REVISAR SERIAL</t>
  </si>
  <si>
    <t>079011427A</t>
  </si>
  <si>
    <t>79186 CALIFORNIA</t>
  </si>
  <si>
    <t>322895-18</t>
  </si>
  <si>
    <t>2148/2445</t>
  </si>
  <si>
    <t>BLEENDING VALVE</t>
  </si>
  <si>
    <t>79355/79957</t>
  </si>
  <si>
    <t>3830041-105 OR 1B3123</t>
  </si>
  <si>
    <t>0455*</t>
  </si>
  <si>
    <t>LINER ASSY</t>
  </si>
  <si>
    <t>1FA130175</t>
  </si>
  <si>
    <t>1827T100-7</t>
  </si>
  <si>
    <r>
      <t>7089/</t>
    </r>
    <r>
      <rPr>
        <sz val="11"/>
        <color theme="9" tint="-0.499984740745262"/>
        <rFont val="Calibri"/>
        <family val="2"/>
        <scheme val="minor"/>
      </rPr>
      <t>418</t>
    </r>
  </si>
  <si>
    <t>LINEAR ACT</t>
  </si>
  <si>
    <t>A710</t>
  </si>
  <si>
    <t>VALVE HIGTH PRESS</t>
  </si>
  <si>
    <t>03594*</t>
  </si>
  <si>
    <t>THERMO COUPLE</t>
  </si>
  <si>
    <t>1 DUAL</t>
  </si>
  <si>
    <t>79550 ?</t>
  </si>
  <si>
    <t>P01714C</t>
  </si>
  <si>
    <t>8TJ146AAP1 OR 91</t>
  </si>
  <si>
    <t>E1042T</t>
  </si>
  <si>
    <t>CARGO BAY</t>
  </si>
  <si>
    <t>REVISAR PN</t>
  </si>
  <si>
    <t>SLAT CONTROL VALVE</t>
  </si>
  <si>
    <t>S06142C</t>
  </si>
  <si>
    <r>
      <rPr>
        <sz val="11"/>
        <color theme="9" tint="-0.499984740745262"/>
        <rFont val="Calibri"/>
        <family val="2"/>
        <scheme val="minor"/>
      </rPr>
      <t>M01317C</t>
    </r>
    <r>
      <rPr>
        <sz val="11"/>
        <color theme="1"/>
        <rFont val="Calibri"/>
        <family val="2"/>
        <scheme val="minor"/>
      </rPr>
      <t>/M01054C</t>
    </r>
  </si>
  <si>
    <t>GM7184-5</t>
  </si>
  <si>
    <t>DUAL LINEAR TRANSDUCER</t>
  </si>
  <si>
    <t>163000-105</t>
  </si>
  <si>
    <t>HYDRAULIC</t>
  </si>
  <si>
    <t>K1204</t>
  </si>
  <si>
    <t>6007/4204</t>
  </si>
  <si>
    <t>76494/77191</t>
  </si>
  <si>
    <t>4058650-931 OR 431</t>
  </si>
  <si>
    <t>FLY CONTROL COMP</t>
  </si>
  <si>
    <t>23032DA</t>
  </si>
  <si>
    <t>B254SDM1</t>
  </si>
  <si>
    <t>824998-4-003</t>
  </si>
  <si>
    <t>2031-2341</t>
  </si>
  <si>
    <t>ENGINE ELECTROCIN</t>
  </si>
  <si>
    <t>1FA14013-9 O -6</t>
  </si>
  <si>
    <t>OK -6</t>
  </si>
  <si>
    <t>77760/77981</t>
  </si>
  <si>
    <t>0C949</t>
  </si>
  <si>
    <t>47649-3</t>
  </si>
  <si>
    <t>NSN O 1026</t>
  </si>
  <si>
    <t>42D395</t>
  </si>
  <si>
    <t>NSN O CSGCBS5249</t>
  </si>
  <si>
    <t>FUEL SWITCH</t>
  </si>
  <si>
    <t>65-60906-1</t>
  </si>
  <si>
    <t>FLAP POCITION</t>
  </si>
  <si>
    <t>DMC50-17</t>
  </si>
  <si>
    <t>ANTENA</t>
  </si>
  <si>
    <t>3160785-29</t>
  </si>
  <si>
    <t>ELECTROMAGNETIC CONTROL VALVE</t>
  </si>
  <si>
    <t>3289514-1</t>
  </si>
  <si>
    <t>ET1812</t>
  </si>
  <si>
    <t>30-2849-1</t>
  </si>
  <si>
    <t>0350*</t>
  </si>
  <si>
    <t>3601-56-1150/800-8</t>
  </si>
  <si>
    <t>FIRE LOOP</t>
  </si>
  <si>
    <t>M5171433</t>
  </si>
  <si>
    <t>SENSOR TEMP</t>
  </si>
  <si>
    <t>80185/80290</t>
  </si>
  <si>
    <t>79596/80291</t>
  </si>
  <si>
    <t>BALLSCREW ASSY</t>
  </si>
  <si>
    <t>889XX</t>
  </si>
  <si>
    <t>PARTE VERDE</t>
  </si>
  <si>
    <t>10716XX</t>
  </si>
  <si>
    <t>F21429</t>
  </si>
  <si>
    <t>ENGINE CONTROL</t>
  </si>
  <si>
    <t>79148?? NSN</t>
  </si>
  <si>
    <t>162005-102</t>
  </si>
  <si>
    <t>ELEVATOR</t>
  </si>
  <si>
    <t>3321530-8</t>
  </si>
  <si>
    <t>NSN OR 2667???</t>
  </si>
  <si>
    <t xml:space="preserve">79758 ?? </t>
  </si>
  <si>
    <t>OH0873</t>
  </si>
  <si>
    <t>122-A1118</t>
  </si>
  <si>
    <t>PANEL DE CONTROL</t>
  </si>
  <si>
    <t>1254DAEF</t>
  </si>
  <si>
    <t>CABIN PRESS</t>
  </si>
  <si>
    <t>233N3217-15</t>
  </si>
  <si>
    <t>D00474</t>
  </si>
  <si>
    <t>0260*</t>
  </si>
  <si>
    <t>RUDDER</t>
  </si>
  <si>
    <t>JG1208CA01</t>
  </si>
  <si>
    <t>F0452</t>
  </si>
  <si>
    <t>L0794</t>
  </si>
  <si>
    <t>97424-20338U</t>
  </si>
  <si>
    <t>081C-4352</t>
  </si>
  <si>
    <t>1718C</t>
  </si>
  <si>
    <t>2202322-4</t>
  </si>
  <si>
    <t>1211260-002</t>
  </si>
  <si>
    <t>T/R ACTUATOR</t>
  </si>
  <si>
    <t>N01163C</t>
  </si>
  <si>
    <t>PRESSURE SWITVH</t>
  </si>
  <si>
    <t>SA01344</t>
  </si>
  <si>
    <t>8-930-03</t>
  </si>
  <si>
    <t>C6583</t>
  </si>
  <si>
    <t>1-002-0102-2090</t>
  </si>
  <si>
    <t>CJ007697</t>
  </si>
  <si>
    <t>STATIC IVERTER</t>
  </si>
  <si>
    <t>91L1309</t>
  </si>
  <si>
    <t>2790475-102</t>
  </si>
  <si>
    <t>0828*</t>
  </si>
  <si>
    <t>SURGE TANK PRESS VALVE</t>
  </si>
  <si>
    <t>021C-6272</t>
  </si>
  <si>
    <t>107555</t>
  </si>
  <si>
    <t>EDU</t>
  </si>
  <si>
    <t>8930-223B90H14</t>
  </si>
  <si>
    <t>SMOKE DETEDTOR</t>
  </si>
  <si>
    <t>979806-11</t>
  </si>
  <si>
    <t>3601-58-1050/650</t>
  </si>
  <si>
    <t>FIRE OVERHEAT DETECTOT</t>
  </si>
  <si>
    <t>0205KOS-600</t>
  </si>
  <si>
    <t>PN   APA</t>
  </si>
  <si>
    <t>stock</t>
  </si>
  <si>
    <t>346N2021-10</t>
  </si>
  <si>
    <t>MAST ASSY</t>
  </si>
  <si>
    <t>B.E.R</t>
  </si>
  <si>
    <t>078C-3748</t>
  </si>
  <si>
    <t>WINDOW ASSY</t>
  </si>
  <si>
    <t>319292-1JA</t>
  </si>
  <si>
    <t>PORTABLE EXTINGUISHER</t>
  </si>
  <si>
    <t>1RO 37979</t>
  </si>
  <si>
    <t>SCRAP</t>
  </si>
  <si>
    <t>2202623-2</t>
  </si>
  <si>
    <t>PLENUM ASSY</t>
  </si>
  <si>
    <t>1RO 37459</t>
  </si>
  <si>
    <t>12606/10877</t>
  </si>
  <si>
    <t>78179/80245</t>
  </si>
  <si>
    <t>727792G</t>
  </si>
  <si>
    <t>A0724</t>
  </si>
  <si>
    <t>INTEGRATED DRIVE GENERATOR</t>
  </si>
  <si>
    <t>113N1210-1</t>
  </si>
  <si>
    <t>TRACK ASSY</t>
  </si>
  <si>
    <t>2189000-15</t>
  </si>
  <si>
    <t>1RO 38028</t>
  </si>
  <si>
    <t>1616000-1</t>
  </si>
  <si>
    <t>1RO 38027</t>
  </si>
  <si>
    <t>D00801</t>
  </si>
  <si>
    <t>P/C ASSY</t>
  </si>
  <si>
    <t>163100-107</t>
  </si>
  <si>
    <t>1RO 38030</t>
  </si>
  <si>
    <t>141N481013</t>
  </si>
  <si>
    <t>SLIDER ASSY</t>
  </si>
  <si>
    <t>251N2418-4</t>
  </si>
  <si>
    <t>5554/4668/4585C/6969</t>
  </si>
  <si>
    <t>A8214</t>
  </si>
  <si>
    <t>273N1004-3</t>
  </si>
  <si>
    <t>00370*</t>
  </si>
  <si>
    <t>2030174-101</t>
  </si>
  <si>
    <t>AAL1304</t>
  </si>
  <si>
    <t>NGS SHUTOFF VALVE</t>
  </si>
  <si>
    <t>RO38174</t>
  </si>
  <si>
    <t>77-3714</t>
  </si>
  <si>
    <t>DISPLAY CONTROL PANL</t>
  </si>
  <si>
    <t>160N0001-31</t>
  </si>
  <si>
    <t>HUBCAP ASSY</t>
  </si>
  <si>
    <t>RO38274,38275,38276</t>
  </si>
  <si>
    <t>SENSOR PRESSURE</t>
  </si>
  <si>
    <t>RO 38279</t>
  </si>
  <si>
    <t>SE QUEDO EN TALLER</t>
  </si>
  <si>
    <t>EMERGENGY DECENT</t>
  </si>
  <si>
    <t>S10160102</t>
  </si>
  <si>
    <t>RO 38391</t>
  </si>
  <si>
    <t>3885081-1</t>
  </si>
  <si>
    <t>APU FLOW SENDING MO</t>
  </si>
  <si>
    <t>5840207-104</t>
  </si>
  <si>
    <t>0339*</t>
  </si>
  <si>
    <t xml:space="preserve">VALVE </t>
  </si>
  <si>
    <t>RO 38432</t>
  </si>
  <si>
    <t>0391*</t>
  </si>
  <si>
    <t>BLEED CONVERTER</t>
  </si>
  <si>
    <t>4251P</t>
  </si>
  <si>
    <t>194276-5</t>
  </si>
  <si>
    <t>17-3475</t>
  </si>
  <si>
    <t>RO 38304</t>
  </si>
  <si>
    <t>1168C</t>
  </si>
  <si>
    <t>PRSOV</t>
  </si>
  <si>
    <t>622-8780-103</t>
  </si>
  <si>
    <t>RO 38309</t>
  </si>
  <si>
    <t>LOW LIMIT VALVE ASSY</t>
  </si>
  <si>
    <t>P-499</t>
  </si>
  <si>
    <t>R0425A303</t>
  </si>
  <si>
    <t>TAD6A004C</t>
  </si>
  <si>
    <t>T6A RAFT</t>
  </si>
  <si>
    <t>PO723E105P</t>
  </si>
  <si>
    <t>LIVE VEST</t>
  </si>
  <si>
    <t>R0070-105</t>
  </si>
  <si>
    <t>S1988177</t>
  </si>
  <si>
    <t>MAN LIFT RAFT</t>
  </si>
  <si>
    <t>E47</t>
  </si>
  <si>
    <t>N895</t>
  </si>
  <si>
    <t>PO201-105</t>
  </si>
  <si>
    <t>J66898</t>
  </si>
  <si>
    <t>J84260</t>
  </si>
  <si>
    <t>S-10000-1300</t>
  </si>
  <si>
    <t>8-99-8689</t>
  </si>
  <si>
    <t>INFANT VEST</t>
  </si>
  <si>
    <t>O723-111P</t>
  </si>
  <si>
    <t>MC-3A</t>
  </si>
  <si>
    <t>CONNECTOR OXYGEN</t>
  </si>
  <si>
    <t>194270-3</t>
  </si>
  <si>
    <t>109-1570</t>
  </si>
  <si>
    <t>40-1719</t>
  </si>
  <si>
    <t>194272-3</t>
  </si>
  <si>
    <t>19-3798</t>
  </si>
  <si>
    <t>101-2186</t>
  </si>
  <si>
    <t>2202623-3</t>
  </si>
  <si>
    <t>PLENUM</t>
  </si>
  <si>
    <t>TAD6A012C</t>
  </si>
  <si>
    <t>1423-2</t>
  </si>
  <si>
    <t>2843/1987</t>
  </si>
  <si>
    <t>WHEEL ASSY</t>
  </si>
  <si>
    <t>810970-4</t>
  </si>
  <si>
    <t>5670W</t>
  </si>
  <si>
    <t>vendido a enrique 60272</t>
  </si>
  <si>
    <t>316N3312-5</t>
  </si>
  <si>
    <t>WEARPLATE</t>
  </si>
  <si>
    <t>IGNITION CABLE</t>
  </si>
  <si>
    <t>AA134S1</t>
  </si>
  <si>
    <t>2J19</t>
  </si>
  <si>
    <t>IGNITIER</t>
  </si>
  <si>
    <t>1107641-03</t>
  </si>
  <si>
    <t>DUAL REEL</t>
  </si>
  <si>
    <t>016*</t>
  </si>
  <si>
    <t>1527700-5</t>
  </si>
  <si>
    <t xml:space="preserve">POWER CONTROL UNIT </t>
  </si>
  <si>
    <t>071-50001-8102</t>
  </si>
  <si>
    <t>TCAS ANTENNA</t>
  </si>
  <si>
    <t>7367A</t>
  </si>
  <si>
    <t>53-1620</t>
  </si>
  <si>
    <t>MODULAR ASSY</t>
  </si>
  <si>
    <t>251N092-11</t>
  </si>
  <si>
    <t>ELEVATOR ACTUATOR</t>
  </si>
  <si>
    <t>LEAD IGNITER</t>
  </si>
  <si>
    <t>990218000912*</t>
  </si>
  <si>
    <t>EXCITER IGNITION</t>
  </si>
  <si>
    <t>315N3436-1</t>
  </si>
  <si>
    <t>ACCESS DOOR</t>
  </si>
  <si>
    <t>65-3326/31-2294</t>
  </si>
  <si>
    <t>POSITIVE PRESSURE</t>
  </si>
  <si>
    <t>343B</t>
  </si>
  <si>
    <t>274N1006-3</t>
  </si>
  <si>
    <t>251N4098-6</t>
  </si>
  <si>
    <t>00839*/0840*</t>
  </si>
  <si>
    <t>DRIVE ASSY</t>
  </si>
  <si>
    <t>NPN</t>
  </si>
  <si>
    <t>NLG CONNECTING ROD</t>
  </si>
  <si>
    <t>FAH1357A-B</t>
  </si>
  <si>
    <t>EMERGENCY LOCATOR TRANSMITTER</t>
  </si>
  <si>
    <t>RO 38461</t>
  </si>
  <si>
    <t>CI110-60-30</t>
  </si>
  <si>
    <t>DK120/90</t>
  </si>
  <si>
    <t>AT123391</t>
  </si>
  <si>
    <t>ACUSTIC BEACON</t>
  </si>
  <si>
    <t>1314C</t>
  </si>
  <si>
    <t>ELEVATOR APU</t>
  </si>
  <si>
    <t>66068-08</t>
  </si>
  <si>
    <t>K0539</t>
  </si>
  <si>
    <t>HYDRL PUMP</t>
  </si>
  <si>
    <t>18163F1/08304F1*/16770F1</t>
  </si>
  <si>
    <t>09764F1</t>
  </si>
  <si>
    <t>27858D1</t>
  </si>
  <si>
    <t>2203085-1</t>
  </si>
  <si>
    <t>10-1887</t>
  </si>
  <si>
    <t>NOZZLE</t>
  </si>
  <si>
    <t>980-6032-001</t>
  </si>
  <si>
    <t>CVR-02042</t>
  </si>
  <si>
    <t xml:space="preserve">	CVR-COCKPIT VOICE RE</t>
  </si>
  <si>
    <t>09052001CBADF/0905200012A1B</t>
  </si>
  <si>
    <t>AD4579</t>
  </si>
  <si>
    <t>MAIN BATTERY</t>
  </si>
  <si>
    <t>2-1457-2</t>
  </si>
  <si>
    <t>4724/4796</t>
  </si>
  <si>
    <t>BRAKE</t>
  </si>
  <si>
    <t>AHA1884</t>
  </si>
  <si>
    <t>999TK/040AW</t>
  </si>
  <si>
    <t>007F3145-1</t>
  </si>
  <si>
    <t>MAIN CARGO</t>
  </si>
  <si>
    <t>251N5099-9</t>
  </si>
  <si>
    <t>TORQUE TUBE</t>
  </si>
  <si>
    <t>251N5144-3</t>
  </si>
  <si>
    <t>250N2004-1119</t>
  </si>
  <si>
    <t>A2956-5A</t>
  </si>
  <si>
    <t>HOLD OPEN ROD</t>
  </si>
  <si>
    <t>315N3507-31</t>
  </si>
  <si>
    <t>BLOKER DOOR ASSY</t>
  </si>
  <si>
    <t>D02803</t>
  </si>
  <si>
    <t>74429/27974/38042</t>
  </si>
  <si>
    <t>OXYGEN MASK</t>
  </si>
  <si>
    <t>37851/22883/88690</t>
  </si>
  <si>
    <t>9B-84032-5</t>
  </si>
  <si>
    <t>COVERTER UNIT</t>
  </si>
  <si>
    <t>1793C</t>
  </si>
  <si>
    <t>RO 38468</t>
  </si>
  <si>
    <t>3888058-7</t>
  </si>
  <si>
    <t>IGNITION: EXCITER,</t>
  </si>
  <si>
    <t>RO 38460</t>
  </si>
  <si>
    <t>FUEL CONTROL VALVE</t>
  </si>
  <si>
    <t>2041446-0401</t>
  </si>
  <si>
    <t>PLANAR ARRAY</t>
  </si>
  <si>
    <t>2117342-19</t>
  </si>
  <si>
    <t>103-354</t>
  </si>
  <si>
    <t>RO 38451</t>
  </si>
  <si>
    <t>1877C</t>
  </si>
  <si>
    <t>322894-18</t>
  </si>
  <si>
    <t>0443*</t>
  </si>
  <si>
    <t>COVERTER VALVE</t>
  </si>
  <si>
    <t>RO 38447</t>
  </si>
  <si>
    <t>STAGE PILOT</t>
  </si>
  <si>
    <t>9B-8403211</t>
  </si>
  <si>
    <t>CONCENTRATOR UNIT</t>
  </si>
  <si>
    <t>RO 38649</t>
  </si>
  <si>
    <t>RO 38450</t>
  </si>
  <si>
    <t>0205K0S600</t>
  </si>
  <si>
    <t>SWITCH OVER HEAT DETECTOR</t>
  </si>
  <si>
    <t>211C223-521</t>
  </si>
  <si>
    <t>UO1113</t>
  </si>
  <si>
    <t>N021392C</t>
  </si>
  <si>
    <t>9D-84031-5</t>
  </si>
  <si>
    <t>FLAT PANEL DISPLAY</t>
  </si>
  <si>
    <t>RO 38463</t>
  </si>
  <si>
    <t>980-4700-033</t>
  </si>
  <si>
    <t>FLIGHT DATA</t>
  </si>
  <si>
    <t>RADAR TRANSCEIVER</t>
  </si>
  <si>
    <t>RO 38459</t>
  </si>
  <si>
    <t>NO VINO PARTE</t>
  </si>
  <si>
    <t>119C-699</t>
  </si>
  <si>
    <t>PN   APA SANFORD</t>
  </si>
  <si>
    <t>8062-558</t>
  </si>
  <si>
    <t>GOVERNOR ASSY</t>
  </si>
  <si>
    <t>87098-10FR10</t>
  </si>
  <si>
    <t>1903P035</t>
  </si>
  <si>
    <t xml:space="preserve">RECEIVER </t>
  </si>
  <si>
    <t>S283N001-51</t>
  </si>
  <si>
    <t>251N4022-30</t>
  </si>
  <si>
    <t>TRANSMISSION ASSY</t>
  </si>
  <si>
    <t>M01582C</t>
  </si>
  <si>
    <t>3790076-105</t>
  </si>
  <si>
    <t>0552*</t>
  </si>
  <si>
    <t>251N4159-2</t>
  </si>
  <si>
    <t>13-2710</t>
  </si>
  <si>
    <t>CONDENSER</t>
  </si>
  <si>
    <t>S283N001-1 or 35008-38</t>
  </si>
  <si>
    <t>K1750</t>
  </si>
  <si>
    <t>PO 81179</t>
  </si>
  <si>
    <t>S283N001-2 OR35008-138</t>
  </si>
  <si>
    <t>C1710</t>
  </si>
  <si>
    <t>2047198-2</t>
  </si>
  <si>
    <t>LABEL WIRING</t>
  </si>
  <si>
    <t>64413</t>
  </si>
  <si>
    <t>PN   757 SANFORD</t>
  </si>
  <si>
    <t>321464-5-1</t>
  </si>
  <si>
    <t>P-922</t>
  </si>
  <si>
    <t>65-59933-6</t>
  </si>
  <si>
    <t>CN68963</t>
  </si>
  <si>
    <t>CARTRIDGER</t>
  </si>
  <si>
    <t>65-24965-38</t>
  </si>
  <si>
    <t>SUPPORT CABLE ASSY</t>
  </si>
  <si>
    <t>65-24665-24</t>
  </si>
  <si>
    <t>004*</t>
  </si>
  <si>
    <t>RIB</t>
  </si>
  <si>
    <t>382300-2</t>
  </si>
  <si>
    <t>4340A</t>
  </si>
  <si>
    <t>BOOT PUMP</t>
  </si>
  <si>
    <t>3602310-32</t>
  </si>
  <si>
    <t>P-1063C</t>
  </si>
  <si>
    <t>123558-1-3</t>
  </si>
  <si>
    <t>3741/P-5887</t>
  </si>
  <si>
    <t>69-18342-7</t>
  </si>
  <si>
    <t>8TJ50GBZ</t>
  </si>
  <si>
    <t>N-0279P</t>
  </si>
  <si>
    <t>2307-04-1*</t>
  </si>
  <si>
    <t>1925</t>
  </si>
  <si>
    <t>125334D</t>
  </si>
  <si>
    <t>86537</t>
  </si>
  <si>
    <t>VALVE BODY</t>
  </si>
  <si>
    <t>60B92602-12</t>
  </si>
  <si>
    <t>5520/6144</t>
  </si>
  <si>
    <t>VALVE UNIT</t>
  </si>
  <si>
    <t>PN   BOLIVIA</t>
  </si>
  <si>
    <t>COMEN</t>
  </si>
  <si>
    <t>898304-1-1</t>
  </si>
  <si>
    <t>P-1770</t>
  </si>
  <si>
    <t>108032-9</t>
  </si>
  <si>
    <t>AIR REGULATOR</t>
  </si>
  <si>
    <t>108032-8</t>
  </si>
  <si>
    <t>P-28938</t>
  </si>
  <si>
    <t>NO LLEGO</t>
  </si>
  <si>
    <t>548H</t>
  </si>
  <si>
    <t>3608000-4 OR 3617750-1</t>
  </si>
  <si>
    <t>P-465C</t>
  </si>
  <si>
    <t>RO 38138</t>
  </si>
  <si>
    <t>A668</t>
  </si>
  <si>
    <t>3608000-6</t>
  </si>
  <si>
    <t>A57C</t>
  </si>
  <si>
    <t>4067644-904</t>
  </si>
  <si>
    <t>8-5145-44</t>
  </si>
  <si>
    <t>0760*</t>
  </si>
  <si>
    <t>10-60706-8</t>
  </si>
  <si>
    <t>RO38135</t>
  </si>
  <si>
    <t>P-362</t>
  </si>
  <si>
    <t>65075-01</t>
  </si>
  <si>
    <t>BOMBA PISTON AXIAL</t>
  </si>
  <si>
    <t>65075-5</t>
  </si>
  <si>
    <t>157231B</t>
  </si>
  <si>
    <t>MX251514</t>
  </si>
  <si>
    <t>57186-01</t>
  </si>
  <si>
    <t>57186-01 OR 7501-9</t>
  </si>
  <si>
    <t>4663D OR NSNS</t>
  </si>
  <si>
    <t xml:space="preserve">BOMBA </t>
  </si>
  <si>
    <t>10-60706-2</t>
  </si>
  <si>
    <t>58-428</t>
  </si>
  <si>
    <t>TURNINE</t>
  </si>
  <si>
    <t>623337</t>
  </si>
  <si>
    <t>MX402303</t>
  </si>
  <si>
    <t>K3872</t>
  </si>
  <si>
    <t>42D107A1 OR 10-3269-8</t>
  </si>
  <si>
    <t>ST-104Z</t>
  </si>
  <si>
    <t>144-904-000-04</t>
  </si>
  <si>
    <t>ACCELEROMETER</t>
  </si>
  <si>
    <t>458075B</t>
  </si>
  <si>
    <t xml:space="preserve">	BRACKET</t>
  </si>
  <si>
    <t>8TJ85GAZ2</t>
  </si>
  <si>
    <t>0027*</t>
  </si>
  <si>
    <t>ACC208</t>
  </si>
  <si>
    <t xml:space="preserve">	VALVE,START</t>
  </si>
  <si>
    <t>10-61233-1</t>
  </si>
  <si>
    <t xml:space="preserve">	CSD OIL COLLER</t>
  </si>
  <si>
    <t>204575-1</t>
  </si>
  <si>
    <t>126-123</t>
  </si>
  <si>
    <t>69-2343</t>
  </si>
  <si>
    <t>MX-330684</t>
  </si>
  <si>
    <t>MX3655</t>
  </si>
  <si>
    <t>743602-5</t>
  </si>
  <si>
    <t>A0101</t>
  </si>
  <si>
    <t>1439A</t>
  </si>
  <si>
    <t>A0271</t>
  </si>
  <si>
    <t>A829C</t>
  </si>
  <si>
    <t>A295C</t>
  </si>
  <si>
    <t>A941</t>
  </si>
  <si>
    <t>3609150-2</t>
  </si>
  <si>
    <t>A270C</t>
  </si>
  <si>
    <t>A1277C</t>
  </si>
  <si>
    <t>A-239C</t>
  </si>
  <si>
    <t>P-166C</t>
  </si>
  <si>
    <t>001334*</t>
  </si>
  <si>
    <t>DELTA APA</t>
  </si>
  <si>
    <t>1B5558</t>
  </si>
  <si>
    <t>1B6112-04</t>
  </si>
  <si>
    <t>1B6372-002</t>
  </si>
  <si>
    <t>VANE ASSY</t>
  </si>
  <si>
    <t>1B5971</t>
  </si>
  <si>
    <t>VANE HPT 1ST STAGE</t>
  </si>
  <si>
    <t>1B5557</t>
  </si>
  <si>
    <t>A8A0468</t>
  </si>
  <si>
    <t>BLADE ASSY</t>
  </si>
  <si>
    <t>1B4662-004</t>
  </si>
  <si>
    <t>430988 OR CH53556</t>
  </si>
  <si>
    <t>05061433*</t>
  </si>
  <si>
    <t>8A3147</t>
  </si>
  <si>
    <t>1B5559</t>
  </si>
  <si>
    <t>VANE HPC 9TH STG</t>
  </si>
  <si>
    <t>1B8072</t>
  </si>
  <si>
    <t>1B7522</t>
  </si>
  <si>
    <t>1B4773-002</t>
  </si>
  <si>
    <t>VN4492</t>
  </si>
  <si>
    <t>STATOR</t>
  </si>
  <si>
    <t>1B4773-003</t>
  </si>
  <si>
    <t>164B</t>
  </si>
  <si>
    <t>1B6507</t>
  </si>
  <si>
    <t>1B7721</t>
  </si>
  <si>
    <t>7B2065</t>
  </si>
  <si>
    <t>GEARSHFT</t>
  </si>
  <si>
    <t>8A1481</t>
  </si>
  <si>
    <t>SEAL TURB</t>
  </si>
  <si>
    <t>7P0321</t>
  </si>
  <si>
    <t>PINION BEVEL RADIAL</t>
  </si>
  <si>
    <t>7T6700</t>
  </si>
  <si>
    <t>1B1351-01</t>
  </si>
  <si>
    <t>TUBR N04</t>
  </si>
  <si>
    <t>1B6113-04</t>
  </si>
  <si>
    <t xml:space="preserve">PW2037N0ZZLESET </t>
  </si>
  <si>
    <t>NOZSET</t>
  </si>
  <si>
    <t>1B6112-01</t>
  </si>
  <si>
    <t>05060124*</t>
  </si>
  <si>
    <t>FPJAA0162B</t>
  </si>
  <si>
    <t>1B4782-01</t>
  </si>
  <si>
    <t>BB0914</t>
  </si>
  <si>
    <t>SEGMENT</t>
  </si>
  <si>
    <t>7P2124</t>
  </si>
  <si>
    <t>GEAR OIL PUMP</t>
  </si>
  <si>
    <t>JA7T0539</t>
  </si>
  <si>
    <t>RING FUEL PUMP</t>
  </si>
  <si>
    <t>P89080N2</t>
  </si>
  <si>
    <t>7T0537</t>
  </si>
  <si>
    <t>RING DEOILER</t>
  </si>
  <si>
    <t>1B6111-04</t>
  </si>
  <si>
    <t>A8A2351-001</t>
  </si>
  <si>
    <t>BLADE  TURBINE</t>
  </si>
  <si>
    <t>1B6112-02</t>
  </si>
  <si>
    <t xml:space="preserve">1B6516-02 </t>
  </si>
  <si>
    <t xml:space="preserve">1B112-03 </t>
  </si>
  <si>
    <t>CGA1B6115-03</t>
  </si>
  <si>
    <t>1B6510</t>
  </si>
  <si>
    <t>1A3038</t>
  </si>
  <si>
    <t>NUT NO 3 BRG</t>
  </si>
  <si>
    <t>1A3288</t>
  </si>
  <si>
    <t>SEAL AIR TURB</t>
  </si>
  <si>
    <t>1B3693</t>
  </si>
  <si>
    <t>221A</t>
  </si>
  <si>
    <t>RING HPC</t>
  </si>
  <si>
    <t>1A2838</t>
  </si>
  <si>
    <t>SEAT HPC</t>
  </si>
  <si>
    <t>1B3695</t>
  </si>
  <si>
    <t xml:space="preserve">1A8670-001    </t>
  </si>
  <si>
    <t>SHROUD HPC</t>
  </si>
  <si>
    <t>1B5891</t>
  </si>
  <si>
    <t>SHIELD 1ST STG</t>
  </si>
  <si>
    <t>7B2151</t>
  </si>
  <si>
    <t>SUPPORT ANGLE</t>
  </si>
  <si>
    <t>1A7125</t>
  </si>
  <si>
    <t>SEAT #4 FRONT</t>
  </si>
  <si>
    <t>1B7371</t>
  </si>
  <si>
    <t>SEGMENT DUCT</t>
  </si>
  <si>
    <t>1B6531</t>
  </si>
  <si>
    <t>VX4655</t>
  </si>
  <si>
    <t>DCAUAA4159</t>
  </si>
  <si>
    <t>1B7499</t>
  </si>
  <si>
    <t>DKLBER8859</t>
  </si>
  <si>
    <t>SEAL HPT</t>
  </si>
  <si>
    <t>1A7789</t>
  </si>
  <si>
    <t>DENCAN7094</t>
  </si>
  <si>
    <t>1A8209</t>
  </si>
  <si>
    <t>1B7495</t>
  </si>
  <si>
    <t xml:space="preserve">DKLBEG8536  </t>
  </si>
  <si>
    <t>PLATE HPT</t>
  </si>
  <si>
    <t>A8A2117</t>
  </si>
  <si>
    <t>VANE TURB</t>
  </si>
  <si>
    <t>A8A2732</t>
  </si>
  <si>
    <t>1B6195-01</t>
  </si>
  <si>
    <t>RING AIR SEALING</t>
  </si>
  <si>
    <t>A8A2351</t>
  </si>
  <si>
    <t>NO PPW</t>
  </si>
  <si>
    <t>A8A2629</t>
  </si>
  <si>
    <t>8A2726</t>
  </si>
  <si>
    <t>SD38</t>
  </si>
  <si>
    <t>RING LPT</t>
  </si>
  <si>
    <t>1B7480-02</t>
  </si>
  <si>
    <t>SUPPORT  HPT</t>
  </si>
  <si>
    <t>8A3117</t>
  </si>
  <si>
    <t>1B6509</t>
  </si>
  <si>
    <t>BLADE HPC</t>
  </si>
  <si>
    <t>1B7706</t>
  </si>
  <si>
    <t>M2769</t>
  </si>
  <si>
    <t>1B7878</t>
  </si>
  <si>
    <t>SEAT #3</t>
  </si>
  <si>
    <t>1B6392-002</t>
  </si>
  <si>
    <t>M2736</t>
  </si>
  <si>
    <t>SEAL SEGMENT</t>
  </si>
  <si>
    <t>1B7485-101</t>
  </si>
  <si>
    <t>DENCAM1910</t>
  </si>
  <si>
    <t>STATOR SEGMENT</t>
  </si>
  <si>
    <t>1A7132</t>
  </si>
  <si>
    <t>SEAL #4 BRG</t>
  </si>
  <si>
    <t>1B5556</t>
  </si>
  <si>
    <t xml:space="preserve">VANE HPC </t>
  </si>
  <si>
    <t>7T6200</t>
  </si>
  <si>
    <t>UC5634</t>
  </si>
  <si>
    <t>1A3520</t>
  </si>
  <si>
    <t>BOLT DIFFUSER</t>
  </si>
  <si>
    <t>1B4706-001</t>
  </si>
  <si>
    <t>8A3181</t>
  </si>
  <si>
    <t>1B0475</t>
  </si>
  <si>
    <t>SUPPORT #3</t>
  </si>
  <si>
    <t>1A9884-001</t>
  </si>
  <si>
    <t>STATOR LPC</t>
  </si>
  <si>
    <t>1A8918</t>
  </si>
  <si>
    <t>CLAMP COMB CHAMB</t>
  </si>
  <si>
    <t>1A8311-04</t>
  </si>
  <si>
    <t>BLADE COMPR</t>
  </si>
  <si>
    <t>1B6111-03</t>
  </si>
  <si>
    <t>CGA1B6510</t>
  </si>
  <si>
    <t>1B6508</t>
  </si>
  <si>
    <t>1B6115-04</t>
  </si>
  <si>
    <t>1B0415-01</t>
  </si>
  <si>
    <t>1A8311-01</t>
  </si>
  <si>
    <t>1B6617-01</t>
  </si>
  <si>
    <t>1B4045</t>
  </si>
  <si>
    <t>PLUG TURBINE</t>
  </si>
  <si>
    <t>P89085N1</t>
  </si>
  <si>
    <t>RING HYDRODYNAMIC</t>
  </si>
  <si>
    <t>1B6115-01</t>
  </si>
  <si>
    <t>P88295</t>
  </si>
  <si>
    <t>RING GEARBOX</t>
  </si>
  <si>
    <t>JA7T0562</t>
  </si>
  <si>
    <t>SEAL FACE</t>
  </si>
  <si>
    <t>JA7T0536</t>
  </si>
  <si>
    <t>RING DRIVE</t>
  </si>
  <si>
    <t>M2737</t>
  </si>
  <si>
    <t>7T6260</t>
  </si>
  <si>
    <t>CGA1B6111-04</t>
  </si>
  <si>
    <t>CGA1B6111-01</t>
  </si>
  <si>
    <t>1B6516-01</t>
  </si>
  <si>
    <t>1B6114-02</t>
  </si>
  <si>
    <t>1B516-03</t>
  </si>
  <si>
    <t>1B6115-02</t>
  </si>
  <si>
    <t>1A8707</t>
  </si>
  <si>
    <t>1B6114-04</t>
  </si>
  <si>
    <t>BLADEH</t>
  </si>
  <si>
    <t>1B4050</t>
  </si>
  <si>
    <t>VANE HPC</t>
  </si>
  <si>
    <t>1B6617-04</t>
  </si>
  <si>
    <t>1A7331-01</t>
  </si>
  <si>
    <t>MANIFOLD CLG</t>
  </si>
  <si>
    <t>1B6114-01</t>
  </si>
  <si>
    <t>1B6516-04</t>
  </si>
  <si>
    <t>1B6111-02</t>
  </si>
  <si>
    <t>1B6113-02</t>
  </si>
  <si>
    <t>1B6113-03</t>
  </si>
  <si>
    <t>1B6617-03</t>
  </si>
  <si>
    <t>1B6113-01</t>
  </si>
  <si>
    <t>1B6114-03</t>
  </si>
  <si>
    <t>NAS-1102-3-16</t>
  </si>
  <si>
    <t>Base de hierro no estan</t>
  </si>
  <si>
    <t>WORLD INNOVATIONS</t>
  </si>
  <si>
    <t>RING/RETAINER</t>
  </si>
  <si>
    <t>CAJA FOAM</t>
  </si>
  <si>
    <t>MS21919WCE6</t>
  </si>
  <si>
    <t>MS21042-08</t>
  </si>
  <si>
    <t>NAS8602-2</t>
  </si>
  <si>
    <t>MS29513-244</t>
  </si>
  <si>
    <t>RO 38488</t>
  </si>
  <si>
    <t>RO 38487</t>
  </si>
  <si>
    <t>RO 38480</t>
  </si>
  <si>
    <t>RO 38474</t>
  </si>
  <si>
    <t>51-1618</t>
  </si>
  <si>
    <t>VENDIDO KOFE</t>
  </si>
  <si>
    <t>RO 38495</t>
  </si>
  <si>
    <t>PRESSURE SENSOR</t>
  </si>
  <si>
    <t xml:space="preserve">RO 38390 </t>
  </si>
  <si>
    <t>MT NO LO HISO</t>
  </si>
  <si>
    <t>31-2286</t>
  </si>
  <si>
    <t>RO 38462</t>
  </si>
  <si>
    <t>727792K</t>
  </si>
  <si>
    <t>A0725</t>
  </si>
  <si>
    <t>IDG</t>
  </si>
  <si>
    <t>729825J</t>
  </si>
  <si>
    <t>C1044</t>
  </si>
  <si>
    <t>RO 38502</t>
  </si>
  <si>
    <t>RO 38501</t>
  </si>
  <si>
    <t>OFICINA JOSE</t>
  </si>
  <si>
    <t>filtro pequeno</t>
  </si>
  <si>
    <t>767A</t>
  </si>
  <si>
    <t>MOTOR ACT SELECTOR VALVE</t>
  </si>
  <si>
    <r>
      <rPr>
        <b/>
        <sz val="11"/>
        <color theme="1"/>
        <rFont val="Calibri"/>
        <family val="2"/>
        <scheme val="minor"/>
      </rPr>
      <t xml:space="preserve">568-907N103-70 </t>
    </r>
    <r>
      <rPr>
        <sz val="11"/>
        <color theme="1"/>
        <rFont val="Calibri"/>
        <family val="2"/>
        <scheme val="minor"/>
      </rPr>
      <t xml:space="preserve">     OR 3-907N103-70</t>
    </r>
  </si>
  <si>
    <t>HF TRANSCEIVER</t>
  </si>
  <si>
    <t>APU FLOW SENSOMODULE</t>
  </si>
  <si>
    <t>3614400-8</t>
  </si>
  <si>
    <t>LT006</t>
  </si>
  <si>
    <t>FLOW SENSOR MODULE</t>
  </si>
  <si>
    <t>2790283-108</t>
  </si>
  <si>
    <t>ENG ANTI ICE VALVE</t>
  </si>
  <si>
    <t>1457A</t>
  </si>
  <si>
    <t>7101-28-676</t>
  </si>
  <si>
    <t>S270T010-14</t>
  </si>
  <si>
    <t>EA5015</t>
  </si>
  <si>
    <t>E00419</t>
  </si>
  <si>
    <t>66-23222-1</t>
  </si>
  <si>
    <t>GUIDETRACK</t>
  </si>
  <si>
    <t>66-23221-1</t>
  </si>
  <si>
    <t>66-23231-2</t>
  </si>
  <si>
    <t>66-23231-1</t>
  </si>
  <si>
    <t>MS16562-33</t>
  </si>
  <si>
    <t>08/12825</t>
  </si>
  <si>
    <t>SEAT ACTUATOR</t>
  </si>
  <si>
    <t>120219-331</t>
  </si>
  <si>
    <t>RO 38513</t>
  </si>
  <si>
    <t>RO 38512</t>
  </si>
  <si>
    <t>0735962*</t>
  </si>
  <si>
    <t>RO 38510</t>
  </si>
  <si>
    <t>INNOVATIVE SOLUTIONS Y SUPPORT INC</t>
  </si>
  <si>
    <t>01966*</t>
  </si>
  <si>
    <t>10-617075-6 OR 3888058-5</t>
  </si>
  <si>
    <t>KT43-1276</t>
  </si>
  <si>
    <t>U2/U3</t>
  </si>
  <si>
    <t xml:space="preserve">TOTAL COST </t>
  </si>
  <si>
    <t>SUGGESTED SELL PRICE (MIN) 15%</t>
  </si>
  <si>
    <t>SUGGESTED SELL PRICE (MAX) 30%</t>
  </si>
  <si>
    <t xml:space="preserve">RO COST $ </t>
  </si>
  <si>
    <t xml:space="preserve">PO COST $ </t>
  </si>
  <si>
    <t>COND</t>
  </si>
  <si>
    <t xml:space="preserve">QUOTE PRICE </t>
  </si>
  <si>
    <t>APA ( AR )</t>
  </si>
  <si>
    <t>PO 79440</t>
  </si>
  <si>
    <t>NEXTGEN</t>
  </si>
  <si>
    <t>Jose</t>
  </si>
  <si>
    <t>100 % KIT  680640-4  ENRIQUE SOLD</t>
  </si>
  <si>
    <t>SUGGESTED SELL PRICE (MAX) 30%2</t>
  </si>
  <si>
    <t>GENERATOR CONTROL UNIT</t>
  </si>
  <si>
    <t>MX259414</t>
  </si>
  <si>
    <t>SAA25009</t>
  </si>
  <si>
    <t>FILTER ASSY</t>
  </si>
  <si>
    <t>SETNIX LLC</t>
  </si>
  <si>
    <t>sold</t>
  </si>
  <si>
    <t>jose qotizo 10/17/25</t>
  </si>
  <si>
    <t>S231T245-3 OR SEDL-0C9B</t>
  </si>
  <si>
    <t>LF AVIONICS CORP</t>
  </si>
  <si>
    <t>8 WENCOR</t>
  </si>
  <si>
    <t>16+8</t>
  </si>
  <si>
    <t>8WENCOR</t>
  </si>
  <si>
    <t>MS21902J8 OR MS21902-8</t>
  </si>
  <si>
    <t xml:space="preserve">MS21902J6 OR  MS21902-6 OR MS21902V6P </t>
  </si>
  <si>
    <t>1N2-3A</t>
  </si>
  <si>
    <t>AN819-8</t>
  </si>
  <si>
    <t>MS21922-4</t>
  </si>
  <si>
    <t>GENERATOR AC</t>
  </si>
  <si>
    <t>SURGE CONTROL VALVE</t>
  </si>
  <si>
    <t>STARTER ASSY</t>
  </si>
  <si>
    <t>HF CMPLER</t>
  </si>
  <si>
    <t>FLOW SENSE MODULE</t>
  </si>
  <si>
    <t>APU FLOW SENSE MOD</t>
  </si>
  <si>
    <t>W01557A</t>
  </si>
  <si>
    <t>HYD PRESSURE SWITCH</t>
  </si>
  <si>
    <t>AA427548D</t>
  </si>
  <si>
    <t>APU SOV ACTUATOR</t>
  </si>
  <si>
    <t>FLAP/SLAT DEPRESSURIZATION</t>
  </si>
  <si>
    <t>CJ-89809</t>
  </si>
  <si>
    <t>215N2059-3</t>
  </si>
  <si>
    <t>NOSE STEERING CARTRIDGE</t>
  </si>
  <si>
    <t>9000000-20309</t>
  </si>
  <si>
    <t>T2CAS</t>
  </si>
  <si>
    <t>APU ECU</t>
  </si>
  <si>
    <t>S67-1575-133 OR S242T104-102</t>
  </si>
  <si>
    <t>436-25939</t>
  </si>
  <si>
    <t>101121414214*</t>
  </si>
  <si>
    <t>111-201</t>
  </si>
  <si>
    <t>AMETCK AERO DEFENCE DBA DRAKE AIR</t>
  </si>
  <si>
    <t>POWER AVIONICS &amp; ACCESSORIES</t>
  </si>
  <si>
    <t>ENRIQUE SOLD</t>
  </si>
  <si>
    <t xml:space="preserve">ENRIQUE SOLD </t>
  </si>
  <si>
    <t xml:space="preserve">1N2-1A </t>
  </si>
  <si>
    <t>232-4*</t>
  </si>
  <si>
    <t>RO 38567</t>
  </si>
  <si>
    <t>RO 38566</t>
  </si>
  <si>
    <t>RO 38565</t>
  </si>
  <si>
    <t>RO 38561</t>
  </si>
  <si>
    <t>RO 38559</t>
  </si>
  <si>
    <t>RO 38558</t>
  </si>
  <si>
    <t>RO 38556</t>
  </si>
  <si>
    <t>RO 38552</t>
  </si>
  <si>
    <t>RO 38550</t>
  </si>
  <si>
    <t>RO 38549</t>
  </si>
  <si>
    <t>RO 38548</t>
  </si>
  <si>
    <t>RO 38547</t>
  </si>
  <si>
    <t>RO 38546</t>
  </si>
  <si>
    <t>RO 38545</t>
  </si>
  <si>
    <t>RO 38536</t>
  </si>
  <si>
    <t>RO 38533</t>
  </si>
  <si>
    <r>
      <t>2600/</t>
    </r>
    <r>
      <rPr>
        <sz val="11"/>
        <color rgb="FFFF0000"/>
        <rFont val="Calibri"/>
        <family val="2"/>
        <scheme val="minor"/>
      </rPr>
      <t>2827</t>
    </r>
  </si>
  <si>
    <t>RO 38524</t>
  </si>
  <si>
    <t>RO38514</t>
  </si>
  <si>
    <t>MS24392-8</t>
  </si>
  <si>
    <t>RO 38573</t>
  </si>
  <si>
    <r>
      <rPr>
        <sz val="9"/>
        <color rgb="FFFF0000"/>
        <rFont val="Trebuchet MS"/>
        <family val="2"/>
      </rPr>
      <t>17152</t>
    </r>
    <r>
      <rPr>
        <sz val="9"/>
        <color theme="1"/>
        <rFont val="Trebuchet MS"/>
        <family val="2"/>
      </rPr>
      <t>/22197</t>
    </r>
  </si>
  <si>
    <t>N/A</t>
  </si>
  <si>
    <t>WEAR PLATE ASSY</t>
  </si>
  <si>
    <t>INTERNATIONAL COMPONENT REPAIR</t>
  </si>
  <si>
    <t>CAJA FOAM VENDIDO</t>
  </si>
  <si>
    <t>1N3-3B</t>
  </si>
  <si>
    <t>TRVC5</t>
  </si>
  <si>
    <t>AN3-6A</t>
  </si>
  <si>
    <t>AN3-7A</t>
  </si>
  <si>
    <t>AN3-11A</t>
  </si>
  <si>
    <t>AN3-10A</t>
  </si>
  <si>
    <t>AN3-5A</t>
  </si>
  <si>
    <t>TRC4</t>
  </si>
  <si>
    <t>VALVE CORE</t>
  </si>
  <si>
    <t>RO 38576</t>
  </si>
  <si>
    <t>RO 38572</t>
  </si>
  <si>
    <t>RO38322/38570</t>
  </si>
  <si>
    <t>RO 38569</t>
  </si>
  <si>
    <t>RO 38568</t>
  </si>
  <si>
    <r>
      <rPr>
        <sz val="9"/>
        <color rgb="FFFF0000"/>
        <rFont val="Trebuchet MS"/>
        <family val="2"/>
      </rPr>
      <t>D01554</t>
    </r>
    <r>
      <rPr>
        <sz val="9"/>
        <rFont val="Trebuchet MS"/>
        <family val="2"/>
      </rPr>
      <t>/</t>
    </r>
    <r>
      <rPr>
        <sz val="9"/>
        <color rgb="FFFF0000"/>
        <rFont val="Trebuchet MS"/>
        <family val="2"/>
      </rPr>
      <t>D00972</t>
    </r>
  </si>
  <si>
    <t>RO 38562 RO38563</t>
  </si>
  <si>
    <t xml:space="preserve">RO 38554   </t>
  </si>
  <si>
    <t xml:space="preserve">CAJA FOAM </t>
  </si>
  <si>
    <t>1F1-3A</t>
  </si>
  <si>
    <t>1F2-2A</t>
  </si>
  <si>
    <t>1F1-1A</t>
  </si>
  <si>
    <t>1F1-2A</t>
  </si>
  <si>
    <t>65-443</t>
  </si>
  <si>
    <t>1F2-3A</t>
  </si>
  <si>
    <t>251N2051-10</t>
  </si>
  <si>
    <t>KE0038</t>
  </si>
  <si>
    <t>822-0987-004</t>
  </si>
  <si>
    <t>113N1711-54SP</t>
  </si>
  <si>
    <t>12643-1</t>
  </si>
  <si>
    <t>141N4820-1</t>
  </si>
  <si>
    <t>182820-3</t>
  </si>
  <si>
    <t>76-7316</t>
  </si>
  <si>
    <t>54-5973</t>
  </si>
  <si>
    <t>EXCHANGER HEAT</t>
  </si>
  <si>
    <t>1F1-7A</t>
  </si>
  <si>
    <t>1F2-6A</t>
  </si>
  <si>
    <t>1F2-7A</t>
  </si>
  <si>
    <t>AIR TRANSPORT COMPONENTS</t>
  </si>
  <si>
    <t>1F1-5A</t>
  </si>
  <si>
    <t>1F2-1A</t>
  </si>
  <si>
    <t>LIMCO AIREPAIR INC</t>
  </si>
  <si>
    <t>NO SISTEMA  CRATE</t>
  </si>
  <si>
    <t>CRATE</t>
  </si>
  <si>
    <t>JET MIDWEST</t>
  </si>
  <si>
    <t>MARS INC</t>
  </si>
  <si>
    <t>RO 38542</t>
  </si>
  <si>
    <t>VENDIDO APA INV 59799</t>
  </si>
  <si>
    <t>NO SISTEMA  CRATE- NO ESTA ARREGLADO</t>
  </si>
  <si>
    <t>Q3</t>
  </si>
  <si>
    <r>
      <t>39752</t>
    </r>
    <r>
      <rPr>
        <sz val="11"/>
        <rFont val="Calibri"/>
        <family val="2"/>
        <scheme val="minor"/>
      </rPr>
      <t>/35871/53624</t>
    </r>
    <r>
      <rPr>
        <sz val="11"/>
        <color theme="1"/>
        <rFont val="Calibri"/>
        <family val="2"/>
        <scheme val="minor"/>
      </rPr>
      <t>/NSN//</t>
    </r>
    <r>
      <rPr>
        <sz val="11"/>
        <rFont val="Calibri"/>
        <family val="2"/>
        <scheme val="minor"/>
      </rPr>
      <t>8323/52787/NSN</t>
    </r>
  </si>
  <si>
    <t>NA8997</t>
  </si>
  <si>
    <t>RO38448</t>
  </si>
  <si>
    <t>233N3215-16</t>
  </si>
  <si>
    <t>D00489</t>
  </si>
  <si>
    <t>BLEED AOR PANEL ASSY</t>
  </si>
  <si>
    <t>275N2059-3</t>
  </si>
  <si>
    <t>SAA25103</t>
  </si>
  <si>
    <t xml:space="preserve">POSITION SPRING CARTRIDGE ASSY </t>
  </si>
  <si>
    <t>DELTA</t>
  </si>
  <si>
    <t>1N2-2A</t>
  </si>
  <si>
    <t xml:space="preserve">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</si>
</sst>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_(&quot;$&quot;* #,##0.000_);_(&quot;$&quot;* \(#,##0.000\);_(&quot;$&quot;* &quot;-&quot;??_);_(@_)"/>
  </numFmts>
  <fonts count="5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3F4254"/>
      <name val="Calibri"/>
      <family val="2"/>
      <scheme val="minor"/>
    </font>
    <font>
      <sz val="1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omfortaa"/>
      <family val="2"/>
    </font>
    <font>
      <sz val="10"/>
      <name val="Comfortaa"/>
      <family val="2"/>
    </font>
    <font>
      <sz val="11"/>
      <color theme="9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theme="1"/>
      <name val="Trebuchet MS"/>
      <family val="2"/>
    </font>
    <font>
      <sz val="9"/>
      <name val="Trebuchet MS"/>
      <family val="2"/>
    </font>
    <font>
      <sz val="11"/>
      <color rgb="FF0034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b/>
      <sz val="8"/>
      <name val="Trebuchet MS"/>
      <family val="2"/>
    </font>
    <font>
      <sz val="11"/>
      <name val="Calibri Light"/>
      <family val="2"/>
      <scheme val="major"/>
    </font>
    <font>
      <b/>
      <u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name val="Trebuchet MS"/>
      <family val="2"/>
    </font>
    <font>
      <sz val="9"/>
      <color rgb="FFFF0000"/>
      <name val="Trebuchet MS"/>
      <family val="2"/>
    </font>
    <font>
      <sz val="10"/>
      <name val="Comfortaa"/>
    </font>
    <font>
      <b/>
      <sz val="10"/>
      <color theme="1"/>
      <name val="Comfortaa"/>
    </font>
  </fonts>
  <fills count="3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6C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6C3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99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6" tint="0.59996337778862885"/>
      </right>
      <top/>
      <bottom style="thin">
        <color theme="6" tint="0.59996337778862885"/>
      </bottom>
      <diagonal/>
    </border>
    <border>
      <left style="thin">
        <color indexed="64"/>
      </left>
      <right style="thin">
        <color theme="6" tint="0.59996337778862885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44" fontId="2" fillId="0" borderId="0" applyFont="0" applyFill="0" applyBorder="0" applyAlignment="0" applyProtection="0"/>
    <xf numFmtId="0" fontId="13" fillId="11" borderId="0" applyNumberFormat="0" applyBorder="0" applyAlignment="0" applyProtection="0"/>
    <xf numFmtId="0" fontId="43" fillId="31" borderId="15" applyNumberFormat="0" applyAlignment="0" applyProtection="0"/>
  </cellStyleXfs>
  <cellXfs count="75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2" applyFont="1" applyFill="1" applyBorder="1" applyAlignment="1">
      <alignment horizontal="center"/>
    </xf>
    <xf numFmtId="0" fontId="2" fillId="0" borderId="2" xfId="2" applyNumberFormat="1" applyFill="1" applyBorder="1" applyAlignment="1">
      <alignment horizontal="center"/>
    </xf>
    <xf numFmtId="0" fontId="2" fillId="0" borderId="2" xfId="2" applyFill="1" applyBorder="1" applyAlignment="1">
      <alignment horizontal="center"/>
    </xf>
    <xf numFmtId="0" fontId="0" fillId="0" borderId="1" xfId="2" applyFont="1" applyFill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0" fillId="0" borderId="2" xfId="2" applyNumberFormat="1" applyFont="1" applyFill="1" applyBorder="1" applyAlignment="1">
      <alignment horizontal="center"/>
    </xf>
    <xf numFmtId="0" fontId="2" fillId="0" borderId="2" xfId="2" applyNumberForma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0" fontId="0" fillId="0" borderId="2" xfId="2" applyFon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/>
    </xf>
    <xf numFmtId="0" fontId="2" fillId="0" borderId="2" xfId="2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5" borderId="1" xfId="2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2" applyNumberFormat="1" applyFill="1" applyBorder="1" applyAlignment="1">
      <alignment horizontal="center"/>
    </xf>
    <xf numFmtId="0" fontId="3" fillId="6" borderId="1" xfId="2" applyFont="1" applyFill="1" applyBorder="1" applyAlignment="1">
      <alignment horizontal="center" vertical="center"/>
    </xf>
    <xf numFmtId="0" fontId="3" fillId="8" borderId="1" xfId="3" applyFont="1" applyBorder="1" applyAlignment="1">
      <alignment horizontal="center" vertical="center"/>
    </xf>
    <xf numFmtId="0" fontId="3" fillId="8" borderId="1" xfId="3" applyFont="1" applyBorder="1" applyAlignment="1">
      <alignment horizontal="center" vertical="center" wrapText="1"/>
    </xf>
    <xf numFmtId="0" fontId="3" fillId="8" borderId="2" xfId="3" applyNumberFormat="1" applyFont="1" applyBorder="1" applyAlignment="1">
      <alignment horizontal="center" vertical="center"/>
    </xf>
    <xf numFmtId="0" fontId="3" fillId="8" borderId="2" xfId="3" applyFont="1" applyBorder="1" applyAlignment="1">
      <alignment horizontal="center" vertical="center"/>
    </xf>
    <xf numFmtId="0" fontId="3" fillId="0" borderId="8" xfId="2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4" xfId="2" applyFont="1" applyFill="1" applyBorder="1" applyAlignment="1">
      <alignment horizontal="center"/>
    </xf>
    <xf numFmtId="0" fontId="0" fillId="0" borderId="7" xfId="2" applyFont="1" applyFill="1" applyBorder="1" applyAlignment="1">
      <alignment horizontal="center"/>
    </xf>
    <xf numFmtId="14" fontId="2" fillId="0" borderId="2" xfId="2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/>
    <xf numFmtId="0" fontId="3" fillId="0" borderId="1" xfId="0" applyFont="1" applyBorder="1"/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14" fillId="0" borderId="1" xfId="4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5" fillId="0" borderId="1" xfId="5" applyNumberFormat="1" applyFont="1" applyFill="1" applyBorder="1" applyAlignment="1">
      <alignment horizontal="center" vertical="center"/>
    </xf>
    <xf numFmtId="0" fontId="5" fillId="0" borderId="1" xfId="5" applyFont="1" applyFill="1" applyBorder="1" applyAlignment="1">
      <alignment horizontal="center"/>
    </xf>
    <xf numFmtId="0" fontId="2" fillId="13" borderId="1" xfId="2" applyFill="1" applyBorder="1" applyAlignment="1">
      <alignment horizontal="center"/>
    </xf>
    <xf numFmtId="0" fontId="2" fillId="13" borderId="1" xfId="2" applyFill="1" applyBorder="1" applyAlignment="1">
      <alignment horizontal="center" vertical="center"/>
    </xf>
    <xf numFmtId="0" fontId="2" fillId="13" borderId="1" xfId="2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164" fontId="14" fillId="13" borderId="1" xfId="4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14" borderId="1" xfId="0" applyFill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/>
    </xf>
    <xf numFmtId="0" fontId="5" fillId="0" borderId="1" xfId="5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14" fillId="12" borderId="1" xfId="4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5" fillId="13" borderId="1" xfId="5" applyNumberFormat="1" applyFont="1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3" fillId="16" borderId="1" xfId="2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2" xfId="2" applyNumberFormat="1" applyFill="1" applyBorder="1" applyAlignment="1">
      <alignment horizontal="center" vertical="center" wrapText="1"/>
    </xf>
    <xf numFmtId="0" fontId="0" fillId="0" borderId="5" xfId="2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4" xfId="2" applyFont="1" applyFill="1" applyBorder="1" applyAlignment="1">
      <alignment horizontal="center"/>
    </xf>
    <xf numFmtId="0" fontId="2" fillId="0" borderId="7" xfId="2" applyNumberFormat="1" applyFill="1" applyBorder="1" applyAlignment="1">
      <alignment horizontal="center"/>
    </xf>
    <xf numFmtId="0" fontId="2" fillId="0" borderId="7" xfId="2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2" fillId="0" borderId="7" xfId="2" applyNumberFormat="1" applyFill="1" applyBorder="1" applyAlignment="1">
      <alignment horizontal="center"/>
    </xf>
    <xf numFmtId="0" fontId="0" fillId="0" borderId="1" xfId="2" applyNumberFormat="1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2" xfId="2" applyFont="1" applyFill="1" applyBorder="1" applyAlignment="1">
      <alignment horizontal="center"/>
    </xf>
    <xf numFmtId="0" fontId="14" fillId="0" borderId="2" xfId="2" applyFont="1" applyFill="1" applyBorder="1" applyAlignment="1">
      <alignment horizontal="center"/>
    </xf>
    <xf numFmtId="0" fontId="3" fillId="0" borderId="9" xfId="2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17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0" fontId="5" fillId="0" borderId="2" xfId="2" applyNumberFormat="1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3" fillId="8" borderId="1" xfId="3" applyNumberFormat="1" applyFont="1" applyBorder="1" applyAlignment="1">
      <alignment horizontal="center" vertical="center"/>
    </xf>
    <xf numFmtId="14" fontId="2" fillId="0" borderId="1" xfId="2" applyNumberFormat="1" applyFill="1" applyBorder="1" applyAlignment="1">
      <alignment horizontal="center"/>
    </xf>
    <xf numFmtId="0" fontId="0" fillId="0" borderId="1" xfId="2" applyNumberFormat="1" applyFont="1" applyFill="1" applyBorder="1" applyAlignment="1">
      <alignment horizontal="center" vertical="center" wrapText="1"/>
    </xf>
    <xf numFmtId="0" fontId="2" fillId="0" borderId="1" xfId="2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4" xfId="2" applyNumberFormat="1" applyFill="1" applyBorder="1" applyAlignment="1">
      <alignment horizontal="center"/>
    </xf>
    <xf numFmtId="0" fontId="2" fillId="0" borderId="4" xfId="2" applyFill="1" applyBorder="1" applyAlignment="1">
      <alignment horizontal="center"/>
    </xf>
    <xf numFmtId="14" fontId="2" fillId="0" borderId="4" xfId="2" applyNumberFormat="1" applyFill="1" applyBorder="1" applyAlignment="1">
      <alignment horizontal="center"/>
    </xf>
    <xf numFmtId="165" fontId="2" fillId="0" borderId="7" xfId="4" applyNumberFormat="1" applyFill="1" applyBorder="1" applyAlignment="1">
      <alignment horizontal="center"/>
    </xf>
    <xf numFmtId="165" fontId="2" fillId="0" borderId="2" xfId="4" applyNumberFormat="1" applyFill="1" applyBorder="1" applyAlignment="1">
      <alignment horizontal="center"/>
    </xf>
    <xf numFmtId="165" fontId="2" fillId="0" borderId="1" xfId="4" applyNumberFormat="1" applyFill="1" applyBorder="1" applyAlignment="1">
      <alignment horizontal="center"/>
    </xf>
    <xf numFmtId="165" fontId="0" fillId="0" borderId="0" xfId="4" applyNumberFormat="1" applyFont="1"/>
    <xf numFmtId="44" fontId="2" fillId="0" borderId="1" xfId="2" applyNumberForma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0" fillId="0" borderId="1" xfId="2" applyNumberFormat="1" applyFont="1" applyFill="1" applyBorder="1" applyAlignment="1">
      <alignment horizontal="center" vertical="center" wrapText="1"/>
    </xf>
    <xf numFmtId="165" fontId="2" fillId="9" borderId="1" xfId="4" applyNumberFormat="1" applyFill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0" fontId="3" fillId="0" borderId="7" xfId="2" applyFont="1" applyFill="1" applyBorder="1" applyAlignment="1">
      <alignment horizontal="center"/>
    </xf>
    <xf numFmtId="44" fontId="25" fillId="0" borderId="1" xfId="4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2" xfId="2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18" borderId="0" xfId="0" applyFont="1" applyFill="1" applyAlignment="1">
      <alignment horizontal="center"/>
    </xf>
    <xf numFmtId="0" fontId="17" fillId="0" borderId="1" xfId="2" applyFont="1" applyFill="1" applyBorder="1" applyAlignment="1">
      <alignment horizontal="center"/>
    </xf>
    <xf numFmtId="0" fontId="0" fillId="0" borderId="1" xfId="0" applyBorder="1" applyAlignment="1">
      <alignment vertical="top"/>
    </xf>
    <xf numFmtId="17" fontId="0" fillId="0" borderId="2" xfId="2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0" fontId="14" fillId="0" borderId="1" xfId="2" applyFont="1" applyFill="1" applyBorder="1" applyAlignment="1">
      <alignment horizontal="center"/>
    </xf>
    <xf numFmtId="0" fontId="27" fillId="0" borderId="1" xfId="0" applyFont="1" applyBorder="1" applyAlignment="1">
      <alignment horizontal="center" wrapText="1"/>
    </xf>
    <xf numFmtId="49" fontId="27" fillId="0" borderId="1" xfId="4" applyNumberFormat="1" applyFont="1" applyBorder="1" applyAlignment="1">
      <alignment horizontal="center" wrapText="1"/>
    </xf>
    <xf numFmtId="0" fontId="27" fillId="0" borderId="1" xfId="4" applyNumberFormat="1" applyFont="1" applyBorder="1" applyAlignment="1">
      <alignment horizontal="center" wrapText="1"/>
    </xf>
    <xf numFmtId="49" fontId="27" fillId="0" borderId="1" xfId="0" applyNumberFormat="1" applyFont="1" applyBorder="1" applyAlignment="1">
      <alignment horizont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0" fillId="6" borderId="1" xfId="2" applyFont="1" applyFill="1" applyBorder="1" applyAlignment="1">
      <alignment horizontal="center"/>
    </xf>
    <xf numFmtId="165" fontId="2" fillId="0" borderId="10" xfId="4" applyNumberFormat="1" applyFill="1" applyBorder="1" applyAlignment="1">
      <alignment horizontal="center"/>
    </xf>
    <xf numFmtId="0" fontId="14" fillId="0" borderId="7" xfId="2" applyFont="1" applyFill="1" applyBorder="1" applyAlignment="1">
      <alignment horizontal="center"/>
    </xf>
    <xf numFmtId="14" fontId="14" fillId="0" borderId="2" xfId="2" applyNumberFormat="1" applyFont="1" applyFill="1" applyBorder="1" applyAlignment="1">
      <alignment horizontal="center"/>
    </xf>
    <xf numFmtId="0" fontId="14" fillId="0" borderId="4" xfId="2" applyFont="1" applyFill="1" applyBorder="1" applyAlignment="1">
      <alignment horizontal="center"/>
    </xf>
    <xf numFmtId="0" fontId="14" fillId="0" borderId="0" xfId="0" applyFont="1"/>
    <xf numFmtId="0" fontId="27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0" fillId="0" borderId="1" xfId="2" applyNumberFormat="1" applyFont="1" applyFill="1" applyBorder="1" applyAlignment="1">
      <alignment horizontal="center" wrapText="1"/>
    </xf>
    <xf numFmtId="0" fontId="2" fillId="0" borderId="1" xfId="2" applyNumberFormat="1" applyFill="1" applyBorder="1" applyAlignment="1">
      <alignment horizontal="center" wrapText="1"/>
    </xf>
    <xf numFmtId="0" fontId="0" fillId="0" borderId="1" xfId="2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2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8" borderId="1" xfId="3" applyNumberFormat="1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wrapText="1"/>
    </xf>
    <xf numFmtId="0" fontId="2" fillId="0" borderId="1" xfId="2" applyNumberFormat="1" applyFill="1" applyBorder="1" applyAlignment="1">
      <alignment horizontal="center" vertical="center" wrapText="1"/>
    </xf>
    <xf numFmtId="0" fontId="3" fillId="0" borderId="1" xfId="2" applyNumberFormat="1" applyFont="1" applyFill="1" applyBorder="1" applyAlignment="1">
      <alignment horizontal="center" wrapText="1"/>
    </xf>
    <xf numFmtId="11" fontId="2" fillId="0" borderId="1" xfId="2" applyNumberFormat="1" applyFill="1" applyBorder="1" applyAlignment="1">
      <alignment horizontal="center" wrapText="1"/>
    </xf>
    <xf numFmtId="11" fontId="0" fillId="0" borderId="1" xfId="2" applyNumberFormat="1" applyFont="1" applyFill="1" applyBorder="1" applyAlignment="1">
      <alignment horizontal="center" wrapText="1"/>
    </xf>
    <xf numFmtId="14" fontId="0" fillId="0" borderId="1" xfId="2" applyNumberFormat="1" applyFont="1" applyFill="1" applyBorder="1" applyAlignment="1">
      <alignment horizontal="center" wrapText="1"/>
    </xf>
    <xf numFmtId="0" fontId="2" fillId="0" borderId="1" xfId="2" applyFill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18" borderId="0" xfId="0" applyFont="1" applyFill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2" fillId="20" borderId="1" xfId="2" applyFill="1" applyBorder="1" applyAlignment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5" fillId="20" borderId="1" xfId="5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164" fontId="14" fillId="19" borderId="1" xfId="4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/>
    </xf>
    <xf numFmtId="0" fontId="5" fillId="21" borderId="1" xfId="5" applyFont="1" applyFill="1" applyBorder="1" applyAlignment="1">
      <alignment horizontal="center" vertical="center"/>
    </xf>
    <xf numFmtId="0" fontId="0" fillId="18" borderId="1" xfId="2" applyFont="1" applyFill="1" applyBorder="1" applyAlignment="1">
      <alignment horizontal="center"/>
    </xf>
    <xf numFmtId="0" fontId="2" fillId="18" borderId="2" xfId="2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49" fontId="27" fillId="0" borderId="1" xfId="0" applyNumberFormat="1" applyFont="1" applyBorder="1" applyAlignment="1">
      <alignment horizontal="center" vertical="center" wrapText="1"/>
    </xf>
    <xf numFmtId="0" fontId="27" fillId="0" borderId="1" xfId="4" applyNumberFormat="1" applyFont="1" applyBorder="1" applyAlignment="1">
      <alignment horizontal="center" vertical="center" wrapText="1"/>
    </xf>
    <xf numFmtId="14" fontId="14" fillId="0" borderId="1" xfId="2" applyNumberFormat="1" applyFont="1" applyFill="1" applyBorder="1" applyAlignment="1">
      <alignment horizontal="center"/>
    </xf>
    <xf numFmtId="44" fontId="2" fillId="0" borderId="10" xfId="2" applyNumberFormat="1" applyFill="1" applyBorder="1" applyAlignment="1">
      <alignment horizontal="center" vertical="center" wrapText="1"/>
    </xf>
    <xf numFmtId="44" fontId="0" fillId="0" borderId="2" xfId="0" applyNumberFormat="1" applyBorder="1" applyAlignment="1">
      <alignment horizontal="center" vertical="center" wrapText="1"/>
    </xf>
    <xf numFmtId="44" fontId="25" fillId="0" borderId="2" xfId="4" applyFont="1" applyFill="1" applyBorder="1" applyAlignment="1">
      <alignment horizontal="center"/>
    </xf>
    <xf numFmtId="14" fontId="0" fillId="0" borderId="2" xfId="2" applyNumberFormat="1" applyFont="1" applyFill="1" applyBorder="1" applyAlignment="1">
      <alignment horizontal="center"/>
    </xf>
    <xf numFmtId="44" fontId="2" fillId="0" borderId="7" xfId="2" applyNumberFormat="1" applyFill="1" applyBorder="1" applyAlignment="1">
      <alignment horizontal="center" vertical="center" wrapText="1"/>
    </xf>
    <xf numFmtId="44" fontId="2" fillId="0" borderId="2" xfId="2" applyNumberFormat="1" applyFill="1" applyBorder="1" applyAlignment="1">
      <alignment horizontal="center" vertical="center" wrapText="1"/>
    </xf>
    <xf numFmtId="165" fontId="0" fillId="0" borderId="2" xfId="4" applyNumberFormat="1" applyFont="1" applyFill="1" applyBorder="1" applyAlignment="1">
      <alignment horizontal="center"/>
    </xf>
    <xf numFmtId="44" fontId="0" fillId="0" borderId="2" xfId="2" applyNumberFormat="1" applyFont="1" applyFill="1" applyBorder="1" applyAlignment="1">
      <alignment horizontal="center" vertical="center" wrapText="1"/>
    </xf>
    <xf numFmtId="44" fontId="0" fillId="0" borderId="10" xfId="0" applyNumberForma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1" fillId="0" borderId="10" xfId="2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31" fillId="0" borderId="3" xfId="2" applyFont="1" applyFill="1" applyBorder="1" applyAlignment="1">
      <alignment horizontal="center"/>
    </xf>
    <xf numFmtId="0" fontId="12" fillId="4" borderId="0" xfId="0" applyFont="1" applyFill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19" borderId="0" xfId="0" applyFont="1" applyFill="1" applyAlignment="1">
      <alignment horizontal="center"/>
    </xf>
    <xf numFmtId="0" fontId="12" fillId="0" borderId="3" xfId="2" applyFont="1" applyFill="1" applyBorder="1" applyAlignment="1">
      <alignment horizontal="center"/>
    </xf>
    <xf numFmtId="0" fontId="12" fillId="0" borderId="10" xfId="2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2" applyNumberFormat="1" applyFont="1" applyFill="1" applyBorder="1" applyAlignment="1">
      <alignment horizontal="center" vertical="center"/>
    </xf>
    <xf numFmtId="0" fontId="2" fillId="0" borderId="12" xfId="2" applyNumberFormat="1" applyFill="1" applyBorder="1" applyAlignment="1">
      <alignment horizontal="center" vertical="center"/>
    </xf>
    <xf numFmtId="164" fontId="14" fillId="0" borderId="0" xfId="4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14" fillId="9" borderId="1" xfId="4" applyNumberFormat="1" applyFont="1" applyFill="1" applyBorder="1" applyAlignment="1">
      <alignment horizontal="center" vertical="center"/>
    </xf>
    <xf numFmtId="0" fontId="2" fillId="0" borderId="5" xfId="2" applyFill="1" applyBorder="1" applyAlignment="1">
      <alignment horizontal="center"/>
    </xf>
    <xf numFmtId="0" fontId="5" fillId="13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65" fontId="0" fillId="0" borderId="10" xfId="4" applyNumberFormat="1" applyFont="1" applyFill="1" applyBorder="1" applyAlignment="1">
      <alignment horizontal="center"/>
    </xf>
    <xf numFmtId="0" fontId="23" fillId="0" borderId="1" xfId="2" applyFont="1" applyFill="1" applyBorder="1" applyAlignment="1">
      <alignment horizontal="center" vertical="center"/>
    </xf>
    <xf numFmtId="165" fontId="25" fillId="0" borderId="1" xfId="4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5" fillId="22" borderId="1" xfId="1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0" fillId="22" borderId="1" xfId="2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49" fontId="27" fillId="0" borderId="1" xfId="4" applyNumberFormat="1" applyFont="1" applyFill="1" applyBorder="1" applyAlignment="1">
      <alignment horizontal="center" wrapText="1"/>
    </xf>
    <xf numFmtId="0" fontId="0" fillId="0" borderId="0" xfId="2" applyFont="1" applyFill="1" applyBorder="1" applyAlignment="1">
      <alignment horizontal="center"/>
    </xf>
    <xf numFmtId="14" fontId="27" fillId="0" borderId="1" xfId="0" applyNumberFormat="1" applyFont="1" applyBorder="1" applyAlignment="1">
      <alignment horizontal="center" wrapText="1"/>
    </xf>
    <xf numFmtId="0" fontId="0" fillId="14" borderId="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0" xfId="2" applyFont="1" applyFill="1" applyBorder="1" applyAlignment="1">
      <alignment horizontal="center"/>
    </xf>
    <xf numFmtId="0" fontId="15" fillId="0" borderId="1" xfId="2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44" fontId="0" fillId="0" borderId="7" xfId="0" applyNumberFormat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7" fillId="23" borderId="1" xfId="4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8" fillId="0" borderId="2" xfId="2" applyNumberFormat="1" applyFont="1" applyFill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0" xfId="4" applyNumberFormat="1" applyFont="1" applyFill="1" applyBorder="1" applyAlignment="1">
      <alignment horizontal="center" wrapText="1"/>
    </xf>
    <xf numFmtId="49" fontId="27" fillId="0" borderId="0" xfId="0" applyNumberFormat="1" applyFont="1" applyAlignment="1">
      <alignment horizontal="center" wrapText="1"/>
    </xf>
    <xf numFmtId="49" fontId="27" fillId="0" borderId="0" xfId="0" applyNumberFormat="1" applyFont="1" applyAlignment="1">
      <alignment horizontal="center" vertical="center" wrapText="1"/>
    </xf>
    <xf numFmtId="0" fontId="27" fillId="0" borderId="0" xfId="4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2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4" fontId="14" fillId="4" borderId="1" xfId="4" applyNumberFormat="1" applyFont="1" applyFill="1" applyBorder="1" applyAlignment="1">
      <alignment horizontal="center" vertical="center"/>
    </xf>
    <xf numFmtId="0" fontId="0" fillId="4" borderId="2" xfId="2" applyFont="1" applyFill="1" applyBorder="1" applyAlignment="1">
      <alignment horizontal="center"/>
    </xf>
    <xf numFmtId="0" fontId="2" fillId="4" borderId="2" xfId="2" applyFill="1" applyBorder="1" applyAlignment="1">
      <alignment horizontal="center"/>
    </xf>
    <xf numFmtId="0" fontId="0" fillId="4" borderId="1" xfId="2" applyFont="1" applyFill="1" applyBorder="1" applyAlignment="1">
      <alignment horizontal="center"/>
    </xf>
    <xf numFmtId="0" fontId="37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0" fillId="9" borderId="2" xfId="2" applyFont="1" applyFill="1" applyBorder="1" applyAlignment="1">
      <alignment horizontal="center"/>
    </xf>
    <xf numFmtId="0" fontId="5" fillId="9" borderId="2" xfId="2" applyNumberFormat="1" applyFont="1" applyFill="1" applyBorder="1" applyAlignment="1">
      <alignment horizontal="center"/>
    </xf>
    <xf numFmtId="0" fontId="3" fillId="9" borderId="1" xfId="2" applyFont="1" applyFill="1" applyBorder="1" applyAlignment="1">
      <alignment horizontal="center"/>
    </xf>
    <xf numFmtId="0" fontId="2" fillId="9" borderId="1" xfId="2" applyFill="1" applyBorder="1" applyAlignment="1">
      <alignment horizontal="center"/>
    </xf>
    <xf numFmtId="0" fontId="14" fillId="9" borderId="1" xfId="2" applyFont="1" applyFill="1" applyBorder="1" applyAlignment="1">
      <alignment horizontal="center"/>
    </xf>
    <xf numFmtId="14" fontId="2" fillId="0" borderId="1" xfId="2" applyNumberForma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center" vertical="center"/>
    </xf>
    <xf numFmtId="0" fontId="2" fillId="5" borderId="1" xfId="2" applyFill="1" applyBorder="1" applyAlignment="1">
      <alignment horizontal="center"/>
    </xf>
    <xf numFmtId="0" fontId="0" fillId="5" borderId="1" xfId="0" applyFill="1" applyBorder="1"/>
    <xf numFmtId="0" fontId="12" fillId="0" borderId="1" xfId="2" applyFont="1" applyFill="1" applyBorder="1" applyAlignment="1">
      <alignment horizontal="center"/>
    </xf>
    <xf numFmtId="49" fontId="27" fillId="0" borderId="1" xfId="4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7" fillId="0" borderId="1" xfId="2" applyFont="1" applyFill="1" applyBorder="1" applyAlignment="1">
      <alignment horizontal="center"/>
    </xf>
    <xf numFmtId="0" fontId="3" fillId="16" borderId="1" xfId="2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38" fillId="0" borderId="1" xfId="0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 wrapText="1"/>
    </xf>
    <xf numFmtId="164" fontId="14" fillId="25" borderId="1" xfId="4" applyNumberFormat="1" applyFont="1" applyFill="1" applyBorder="1" applyAlignment="1">
      <alignment horizontal="center" vertical="center"/>
    </xf>
    <xf numFmtId="0" fontId="3" fillId="25" borderId="1" xfId="2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27" fillId="26" borderId="1" xfId="0" applyFont="1" applyFill="1" applyBorder="1" applyAlignment="1">
      <alignment horizontal="center" wrapText="1"/>
    </xf>
    <xf numFmtId="164" fontId="14" fillId="0" borderId="8" xfId="0" applyNumberFormat="1" applyFont="1" applyBorder="1" applyAlignment="1">
      <alignment horizontal="center" vertical="center"/>
    </xf>
    <xf numFmtId="0" fontId="13" fillId="0" borderId="1" xfId="5" applyFill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164" fontId="14" fillId="15" borderId="1" xfId="0" applyNumberFormat="1" applyFont="1" applyFill="1" applyBorder="1" applyAlignment="1">
      <alignment horizontal="center" vertical="center"/>
    </xf>
    <xf numFmtId="0" fontId="0" fillId="27" borderId="1" xfId="2" applyFont="1" applyFill="1" applyBorder="1" applyAlignment="1">
      <alignment horizontal="center"/>
    </xf>
    <xf numFmtId="0" fontId="14" fillId="27" borderId="2" xfId="2" applyFont="1" applyFill="1" applyBorder="1" applyAlignment="1">
      <alignment horizontal="center"/>
    </xf>
    <xf numFmtId="44" fontId="0" fillId="27" borderId="1" xfId="0" applyNumberFormat="1" applyFill="1" applyBorder="1" applyAlignment="1">
      <alignment horizontal="center" vertical="center" wrapText="1"/>
    </xf>
    <xf numFmtId="44" fontId="25" fillId="27" borderId="1" xfId="4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/>
    </xf>
    <xf numFmtId="164" fontId="14" fillId="28" borderId="1" xfId="4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/>
    <xf numFmtId="0" fontId="0" fillId="0" borderId="7" xfId="0" applyBorder="1" applyAlignment="1">
      <alignment horizontal="center" vertical="center"/>
    </xf>
    <xf numFmtId="0" fontId="2" fillId="0" borderId="8" xfId="2" applyNumberFormat="1" applyFill="1" applyBorder="1" applyAlignment="1">
      <alignment horizontal="center"/>
    </xf>
    <xf numFmtId="0" fontId="0" fillId="0" borderId="8" xfId="2" applyFont="1" applyFill="1" applyBorder="1" applyAlignment="1">
      <alignment horizontal="center"/>
    </xf>
    <xf numFmtId="0" fontId="14" fillId="27" borderId="1" xfId="2" applyFont="1" applyFill="1" applyBorder="1" applyAlignment="1">
      <alignment horizontal="center"/>
    </xf>
    <xf numFmtId="165" fontId="0" fillId="0" borderId="7" xfId="4" applyNumberFormat="1" applyFont="1" applyFill="1" applyBorder="1" applyAlignment="1">
      <alignment horizontal="center"/>
    </xf>
    <xf numFmtId="0" fontId="13" fillId="11" borderId="1" xfId="5" applyBorder="1" applyAlignment="1">
      <alignment vertical="center"/>
    </xf>
    <xf numFmtId="0" fontId="0" fillId="29" borderId="2" xfId="0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2" fillId="30" borderId="1" xfId="2" applyFill="1" applyBorder="1" applyAlignment="1">
      <alignment horizontal="center"/>
    </xf>
    <xf numFmtId="0" fontId="0" fillId="30" borderId="2" xfId="2" applyFont="1" applyFill="1" applyBorder="1" applyAlignment="1">
      <alignment horizontal="center"/>
    </xf>
    <xf numFmtId="0" fontId="0" fillId="30" borderId="1" xfId="2" applyFont="1" applyFill="1" applyBorder="1" applyAlignment="1">
      <alignment horizontal="center" wrapText="1"/>
    </xf>
    <xf numFmtId="0" fontId="18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/>
    </xf>
    <xf numFmtId="0" fontId="5" fillId="30" borderId="1" xfId="0" applyFont="1" applyFill="1" applyBorder="1" applyAlignment="1">
      <alignment horizontal="center" vertical="center" wrapText="1"/>
    </xf>
    <xf numFmtId="49" fontId="27" fillId="30" borderId="1" xfId="0" applyNumberFormat="1" applyFont="1" applyFill="1" applyBorder="1" applyAlignment="1">
      <alignment horizontal="center" wrapText="1"/>
    </xf>
    <xf numFmtId="0" fontId="0" fillId="30" borderId="1" xfId="2" applyFont="1" applyFill="1" applyBorder="1" applyAlignment="1">
      <alignment horizontal="center" vertical="center"/>
    </xf>
    <xf numFmtId="0" fontId="2" fillId="30" borderId="2" xfId="2" applyFill="1" applyBorder="1" applyAlignment="1">
      <alignment horizontal="center"/>
    </xf>
    <xf numFmtId="0" fontId="0" fillId="30" borderId="1" xfId="2" applyNumberFormat="1" applyFont="1" applyFill="1" applyBorder="1" applyAlignment="1">
      <alignment horizontal="center"/>
    </xf>
    <xf numFmtId="0" fontId="27" fillId="30" borderId="1" xfId="0" applyFont="1" applyFill="1" applyBorder="1" applyAlignment="1">
      <alignment horizontal="center" wrapText="1"/>
    </xf>
    <xf numFmtId="0" fontId="27" fillId="30" borderId="1" xfId="4" applyNumberFormat="1" applyFont="1" applyFill="1" applyBorder="1" applyAlignment="1">
      <alignment horizontal="center" wrapText="1"/>
    </xf>
    <xf numFmtId="0" fontId="0" fillId="18" borderId="2" xfId="2" applyFont="1" applyFill="1" applyBorder="1" applyAlignment="1">
      <alignment horizontal="center"/>
    </xf>
    <xf numFmtId="0" fontId="0" fillId="18" borderId="1" xfId="0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wrapText="1"/>
    </xf>
    <xf numFmtId="0" fontId="0" fillId="18" borderId="8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0" fontId="31" fillId="0" borderId="0" xfId="2" applyFont="1" applyFill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49" fontId="44" fillId="0" borderId="1" xfId="4" applyNumberFormat="1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44" fillId="32" borderId="1" xfId="0" applyFont="1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0" fillId="32" borderId="2" xfId="2" applyFont="1" applyFill="1" applyBorder="1" applyAlignment="1">
      <alignment horizontal="center"/>
    </xf>
    <xf numFmtId="0" fontId="9" fillId="32" borderId="1" xfId="0" applyFont="1" applyFill="1" applyBorder="1" applyAlignment="1">
      <alignment horizontal="center" vertical="center" wrapText="1"/>
    </xf>
    <xf numFmtId="0" fontId="0" fillId="32" borderId="2" xfId="2" applyFont="1" applyFill="1" applyBorder="1" applyAlignment="1">
      <alignment horizontal="center" vertical="center"/>
    </xf>
    <xf numFmtId="0" fontId="0" fillId="32" borderId="1" xfId="2" applyFont="1" applyFill="1" applyBorder="1" applyAlignment="1">
      <alignment horizontal="center" wrapText="1"/>
    </xf>
    <xf numFmtId="0" fontId="2" fillId="32" borderId="2" xfId="2" applyFill="1" applyBorder="1" applyAlignment="1">
      <alignment horizontal="center"/>
    </xf>
    <xf numFmtId="14" fontId="2" fillId="32" borderId="2" xfId="2" applyNumberFormat="1" applyFill="1" applyBorder="1" applyAlignment="1">
      <alignment horizontal="center"/>
    </xf>
    <xf numFmtId="0" fontId="0" fillId="32" borderId="1" xfId="2" applyNumberFormat="1" applyFont="1" applyFill="1" applyBorder="1" applyAlignment="1">
      <alignment horizontal="center"/>
    </xf>
    <xf numFmtId="49" fontId="27" fillId="32" borderId="1" xfId="0" applyNumberFormat="1" applyFont="1" applyFill="1" applyBorder="1" applyAlignment="1">
      <alignment horizontal="center" wrapText="1"/>
    </xf>
    <xf numFmtId="0" fontId="27" fillId="32" borderId="1" xfId="0" applyFont="1" applyFill="1" applyBorder="1" applyAlignment="1">
      <alignment horizontal="center" wrapText="1"/>
    </xf>
    <xf numFmtId="0" fontId="46" fillId="0" borderId="1" xfId="0" applyFont="1" applyBorder="1" applyAlignment="1">
      <alignment horizontal="center" vertical="center"/>
    </xf>
    <xf numFmtId="49" fontId="46" fillId="0" borderId="1" xfId="4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27" fillId="0" borderId="1" xfId="4" applyNumberFormat="1" applyFont="1" applyFill="1" applyBorder="1" applyAlignment="1">
      <alignment horizontal="center" wrapText="1"/>
    </xf>
    <xf numFmtId="164" fontId="0" fillId="0" borderId="1" xfId="4" applyNumberFormat="1" applyFont="1" applyBorder="1" applyAlignment="1">
      <alignment horizontal="center" vertical="center"/>
    </xf>
    <xf numFmtId="164" fontId="14" fillId="19" borderId="1" xfId="0" applyNumberFormat="1" applyFont="1" applyFill="1" applyBorder="1" applyAlignment="1">
      <alignment horizontal="center" vertical="center"/>
    </xf>
    <xf numFmtId="0" fontId="27" fillId="0" borderId="1" xfId="4" applyNumberFormat="1" applyFont="1" applyFill="1" applyBorder="1" applyAlignment="1">
      <alignment horizontal="center" vertical="center" wrapText="1"/>
    </xf>
    <xf numFmtId="0" fontId="0" fillId="25" borderId="1" xfId="2" applyFont="1" applyFill="1" applyBorder="1" applyAlignment="1">
      <alignment horizontal="center"/>
    </xf>
    <xf numFmtId="0" fontId="0" fillId="25" borderId="1" xfId="2" applyNumberFormat="1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 vertical="center" wrapText="1"/>
    </xf>
    <xf numFmtId="14" fontId="0" fillId="0" borderId="1" xfId="2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1" xfId="0" applyFont="1" applyBorder="1" applyAlignment="1">
      <alignment horizontal="center"/>
    </xf>
    <xf numFmtId="0" fontId="5" fillId="10" borderId="1" xfId="5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64" fontId="14" fillId="7" borderId="1" xfId="4" applyNumberFormat="1" applyFont="1" applyFill="1" applyBorder="1" applyAlignment="1">
      <alignment horizontal="center" vertical="center"/>
    </xf>
    <xf numFmtId="0" fontId="12" fillId="0" borderId="3" xfId="2" applyFont="1" applyFill="1" applyBorder="1" applyAlignment="1">
      <alignment horizontal="center" wrapText="1"/>
    </xf>
    <xf numFmtId="0" fontId="3" fillId="0" borderId="0" xfId="3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0" fontId="0" fillId="19" borderId="1" xfId="2" applyFont="1" applyFill="1" applyBorder="1" applyAlignment="1">
      <alignment horizontal="center"/>
    </xf>
    <xf numFmtId="0" fontId="2" fillId="19" borderId="2" xfId="2" applyFill="1" applyBorder="1" applyAlignment="1">
      <alignment horizontal="center"/>
    </xf>
    <xf numFmtId="14" fontId="2" fillId="19" borderId="2" xfId="2" applyNumberFormat="1" applyFill="1" applyBorder="1" applyAlignment="1">
      <alignment horizontal="center"/>
    </xf>
    <xf numFmtId="0" fontId="2" fillId="19" borderId="7" xfId="2" applyFill="1" applyBorder="1" applyAlignment="1">
      <alignment horizontal="center"/>
    </xf>
    <xf numFmtId="165" fontId="0" fillId="19" borderId="2" xfId="4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0" fillId="19" borderId="2" xfId="2" applyNumberFormat="1" applyFont="1" applyFill="1" applyBorder="1" applyAlignment="1">
      <alignment horizontal="center"/>
    </xf>
    <xf numFmtId="0" fontId="0" fillId="19" borderId="2" xfId="2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/>
    <xf numFmtId="0" fontId="0" fillId="33" borderId="8" xfId="0" applyFill="1" applyBorder="1"/>
    <xf numFmtId="0" fontId="44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49" fontId="27" fillId="18" borderId="2" xfId="0" applyNumberFormat="1" applyFont="1" applyFill="1" applyBorder="1" applyAlignment="1">
      <alignment horizontal="center" wrapText="1"/>
    </xf>
    <xf numFmtId="49" fontId="27" fillId="0" borderId="2" xfId="0" applyNumberFormat="1" applyFont="1" applyBorder="1" applyAlignment="1">
      <alignment horizontal="center" wrapText="1"/>
    </xf>
    <xf numFmtId="0" fontId="0" fillId="9" borderId="1" xfId="2" applyFont="1" applyFill="1" applyBorder="1" applyAlignment="1">
      <alignment horizontal="center"/>
    </xf>
    <xf numFmtId="0" fontId="0" fillId="32" borderId="1" xfId="2" applyFont="1" applyFill="1" applyBorder="1" applyAlignment="1">
      <alignment horizontal="center"/>
    </xf>
    <xf numFmtId="0" fontId="5" fillId="30" borderId="2" xfId="0" applyFont="1" applyFill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0" fontId="2" fillId="32" borderId="1" xfId="2" applyFill="1" applyBorder="1" applyAlignment="1">
      <alignment horizontal="center"/>
    </xf>
    <xf numFmtId="14" fontId="44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wrapText="1"/>
    </xf>
    <xf numFmtId="49" fontId="27" fillId="30" borderId="2" xfId="0" applyNumberFormat="1" applyFont="1" applyFill="1" applyBorder="1" applyAlignment="1">
      <alignment horizontal="center" wrapText="1"/>
    </xf>
    <xf numFmtId="49" fontId="44" fillId="0" borderId="2" xfId="4" applyNumberFormat="1" applyFont="1" applyFill="1" applyBorder="1" applyAlignment="1">
      <alignment horizontal="center" vertical="center"/>
    </xf>
    <xf numFmtId="49" fontId="46" fillId="0" borderId="2" xfId="4" applyNumberFormat="1" applyFont="1" applyFill="1" applyBorder="1" applyAlignment="1">
      <alignment horizontal="center" vertical="center"/>
    </xf>
    <xf numFmtId="49" fontId="27" fillId="0" borderId="2" xfId="4" applyNumberFormat="1" applyFont="1" applyBorder="1" applyAlignment="1">
      <alignment horizontal="center" wrapText="1"/>
    </xf>
    <xf numFmtId="0" fontId="5" fillId="0" borderId="2" xfId="2" applyFont="1" applyFill="1" applyBorder="1" applyAlignment="1">
      <alignment horizontal="center"/>
    </xf>
    <xf numFmtId="0" fontId="27" fillId="0" borderId="2" xfId="4" applyNumberFormat="1" applyFont="1" applyBorder="1" applyAlignment="1">
      <alignment horizontal="center" wrapText="1"/>
    </xf>
    <xf numFmtId="0" fontId="18" fillId="0" borderId="2" xfId="0" applyFont="1" applyBorder="1" applyAlignment="1">
      <alignment horizontal="center" vertical="center"/>
    </xf>
    <xf numFmtId="0" fontId="0" fillId="5" borderId="1" xfId="2" applyNumberFormat="1" applyFont="1" applyFill="1" applyBorder="1" applyAlignment="1">
      <alignment horizontal="center"/>
    </xf>
    <xf numFmtId="0" fontId="5" fillId="9" borderId="1" xfId="2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6" borderId="2" xfId="2" applyFont="1" applyFill="1" applyBorder="1" applyAlignment="1">
      <alignment horizontal="center"/>
    </xf>
    <xf numFmtId="0" fontId="3" fillId="16" borderId="1" xfId="2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2" applyFont="1" applyFill="1" applyBorder="1" applyAlignment="1">
      <alignment horizontal="center"/>
    </xf>
    <xf numFmtId="0" fontId="47" fillId="0" borderId="2" xfId="0" applyFont="1" applyBorder="1" applyAlignment="1">
      <alignment horizontal="center" vertical="center"/>
    </xf>
    <xf numFmtId="0" fontId="27" fillId="32" borderId="2" xfId="0" applyFont="1" applyFill="1" applyBorder="1" applyAlignment="1">
      <alignment horizontal="center" vertical="center"/>
    </xf>
    <xf numFmtId="49" fontId="47" fillId="0" borderId="2" xfId="4" applyNumberFormat="1" applyFont="1" applyFill="1" applyBorder="1" applyAlignment="1">
      <alignment horizontal="center" vertical="center"/>
    </xf>
    <xf numFmtId="0" fontId="2" fillId="18" borderId="1" xfId="2" applyFill="1" applyBorder="1" applyAlignment="1">
      <alignment horizontal="center"/>
    </xf>
    <xf numFmtId="0" fontId="0" fillId="10" borderId="1" xfId="2" applyFont="1" applyFill="1" applyBorder="1" applyAlignment="1">
      <alignment horizontal="center"/>
    </xf>
    <xf numFmtId="0" fontId="0" fillId="30" borderId="1" xfId="2" applyFont="1" applyFill="1" applyBorder="1" applyAlignment="1">
      <alignment horizontal="center"/>
    </xf>
    <xf numFmtId="0" fontId="0" fillId="32" borderId="1" xfId="2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/>
    </xf>
    <xf numFmtId="0" fontId="8" fillId="0" borderId="1" xfId="2" applyNumberFormat="1" applyFont="1" applyFill="1" applyBorder="1" applyAlignment="1">
      <alignment horizontal="center"/>
    </xf>
    <xf numFmtId="0" fontId="0" fillId="34" borderId="1" xfId="2" applyFont="1" applyFill="1" applyBorder="1" applyAlignment="1">
      <alignment horizontal="center"/>
    </xf>
    <xf numFmtId="0" fontId="0" fillId="34" borderId="8" xfId="0" applyFill="1" applyBorder="1" applyAlignment="1">
      <alignment horizontal="center" vertical="center"/>
    </xf>
    <xf numFmtId="0" fontId="0" fillId="34" borderId="8" xfId="0" applyFill="1" applyBorder="1" applyAlignment="1">
      <alignment horizontal="center"/>
    </xf>
    <xf numFmtId="0" fontId="0" fillId="34" borderId="8" xfId="0" applyFill="1" applyBorder="1"/>
    <xf numFmtId="0" fontId="12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27" fillId="16" borderId="1" xfId="0" applyFont="1" applyFill="1" applyBorder="1" applyAlignment="1">
      <alignment horizontal="center" vertical="center" wrapText="1"/>
    </xf>
    <xf numFmtId="0" fontId="13" fillId="0" borderId="1" xfId="5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/>
    </xf>
    <xf numFmtId="0" fontId="2" fillId="27" borderId="1" xfId="2" applyNumberFormat="1" applyFill="1" applyBorder="1" applyAlignment="1">
      <alignment horizontal="center"/>
    </xf>
    <xf numFmtId="0" fontId="0" fillId="0" borderId="7" xfId="2" applyNumberFormat="1" applyFont="1" applyFill="1" applyBorder="1" applyAlignment="1">
      <alignment horizontal="center"/>
    </xf>
    <xf numFmtId="0" fontId="2" fillId="27" borderId="1" xfId="2" applyFill="1" applyBorder="1" applyAlignment="1">
      <alignment horizontal="center"/>
    </xf>
    <xf numFmtId="14" fontId="2" fillId="27" borderId="1" xfId="2" applyNumberFormat="1" applyFill="1" applyBorder="1" applyAlignment="1">
      <alignment horizontal="center"/>
    </xf>
    <xf numFmtId="44" fontId="0" fillId="18" borderId="1" xfId="2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44" fontId="2" fillId="34" borderId="1" xfId="2" applyNumberFormat="1" applyFill="1" applyBorder="1" applyAlignment="1">
      <alignment horizontal="center" vertical="center" wrapText="1"/>
    </xf>
    <xf numFmtId="165" fontId="0" fillId="34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4" fontId="0" fillId="34" borderId="1" xfId="0" applyNumberFormat="1" applyFill="1" applyBorder="1" applyAlignment="1">
      <alignment horizontal="center" vertical="center" wrapText="1"/>
    </xf>
    <xf numFmtId="0" fontId="14" fillId="0" borderId="3" xfId="2" applyFont="1" applyFill="1" applyBorder="1" applyAlignment="1">
      <alignment horizontal="center"/>
    </xf>
    <xf numFmtId="0" fontId="14" fillId="0" borderId="10" xfId="2" applyFont="1" applyFill="1" applyBorder="1" applyAlignment="1">
      <alignment horizontal="center"/>
    </xf>
    <xf numFmtId="14" fontId="14" fillId="0" borderId="10" xfId="2" applyNumberFormat="1" applyFont="1" applyFill="1" applyBorder="1" applyAlignment="1">
      <alignment horizontal="center"/>
    </xf>
    <xf numFmtId="165" fontId="2" fillId="0" borderId="4" xfId="4" applyNumberFormat="1" applyFill="1" applyBorder="1" applyAlignment="1">
      <alignment horizontal="center"/>
    </xf>
    <xf numFmtId="44" fontId="0" fillId="0" borderId="4" xfId="0" applyNumberFormat="1" applyBorder="1" applyAlignment="1">
      <alignment horizontal="center" vertical="center" wrapText="1"/>
    </xf>
    <xf numFmtId="165" fontId="0" fillId="0" borderId="4" xfId="4" applyNumberFormat="1" applyFont="1" applyFill="1" applyBorder="1" applyAlignment="1">
      <alignment horizontal="center"/>
    </xf>
    <xf numFmtId="44" fontId="2" fillId="0" borderId="4" xfId="2" applyNumberFormat="1" applyFill="1" applyBorder="1" applyAlignment="1">
      <alignment horizontal="center" vertical="center" wrapText="1"/>
    </xf>
    <xf numFmtId="44" fontId="0" fillId="0" borderId="10" xfId="2" applyNumberFormat="1" applyFont="1" applyFill="1" applyBorder="1" applyAlignment="1">
      <alignment horizontal="center" vertical="center" wrapText="1"/>
    </xf>
    <xf numFmtId="44" fontId="25" fillId="0" borderId="10" xfId="4" applyFont="1" applyFill="1" applyBorder="1" applyAlignment="1">
      <alignment horizontal="center"/>
    </xf>
    <xf numFmtId="44" fontId="2" fillId="0" borderId="3" xfId="2" applyNumberFormat="1" applyFill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 wrapText="1"/>
    </xf>
    <xf numFmtId="44" fontId="0" fillId="0" borderId="3" xfId="2" applyNumberFormat="1" applyFont="1" applyFill="1" applyBorder="1" applyAlignment="1">
      <alignment horizontal="center" vertical="center" wrapText="1"/>
    </xf>
    <xf numFmtId="165" fontId="0" fillId="0" borderId="2" xfId="4" applyNumberFormat="1" applyFont="1" applyBorder="1" applyAlignment="1">
      <alignment horizontal="center"/>
    </xf>
    <xf numFmtId="44" fontId="25" fillId="0" borderId="4" xfId="4" applyFont="1" applyFill="1" applyBorder="1" applyAlignment="1">
      <alignment horizontal="center"/>
    </xf>
    <xf numFmtId="165" fontId="0" fillId="5" borderId="4" xfId="4" applyNumberFormat="1" applyFont="1" applyFill="1" applyBorder="1" applyAlignment="1">
      <alignment horizontal="center"/>
    </xf>
    <xf numFmtId="44" fontId="0" fillId="0" borderId="4" xfId="2" applyNumberFormat="1" applyFont="1" applyFill="1" applyBorder="1" applyAlignment="1">
      <alignment horizontal="center" vertical="center" wrapText="1"/>
    </xf>
    <xf numFmtId="44" fontId="25" fillId="0" borderId="7" xfId="4" applyFont="1" applyFill="1" applyBorder="1" applyAlignment="1">
      <alignment horizontal="center"/>
    </xf>
    <xf numFmtId="165" fontId="0" fillId="19" borderId="4" xfId="4" applyNumberFormat="1" applyFont="1" applyFill="1" applyBorder="1" applyAlignment="1">
      <alignment horizontal="center"/>
    </xf>
    <xf numFmtId="44" fontId="24" fillId="0" borderId="4" xfId="2" applyNumberFormat="1" applyFont="1" applyFill="1" applyBorder="1" applyAlignment="1">
      <alignment horizontal="center" vertical="center" wrapText="1"/>
    </xf>
    <xf numFmtId="165" fontId="2" fillId="0" borderId="9" xfId="4" applyNumberFormat="1" applyFill="1" applyBorder="1" applyAlignment="1">
      <alignment horizontal="center"/>
    </xf>
    <xf numFmtId="44" fontId="0" fillId="4" borderId="3" xfId="0" applyNumberFormat="1" applyFill="1" applyBorder="1" applyAlignment="1">
      <alignment horizontal="center" vertical="center" wrapText="1"/>
    </xf>
    <xf numFmtId="44" fontId="2" fillId="0" borderId="8" xfId="2" applyNumberFormat="1" applyFill="1" applyBorder="1" applyAlignment="1">
      <alignment horizontal="center" vertical="center" wrapText="1"/>
    </xf>
    <xf numFmtId="165" fontId="2" fillId="0" borderId="3" xfId="4" applyNumberFormat="1" applyFill="1" applyBorder="1" applyAlignment="1">
      <alignment horizontal="center"/>
    </xf>
    <xf numFmtId="165" fontId="2" fillId="0" borderId="8" xfId="4" applyNumberFormat="1" applyFill="1" applyBorder="1" applyAlignment="1">
      <alignment horizontal="center"/>
    </xf>
    <xf numFmtId="165" fontId="0" fillId="0" borderId="9" xfId="4" applyNumberFormat="1" applyFont="1" applyFill="1" applyBorder="1" applyAlignment="1">
      <alignment horizontal="center"/>
    </xf>
    <xf numFmtId="44" fontId="0" fillId="0" borderId="8" xfId="0" applyNumberFormat="1" applyBorder="1" applyAlignment="1">
      <alignment horizontal="center" vertical="center" wrapText="1"/>
    </xf>
    <xf numFmtId="44" fontId="0" fillId="27" borderId="10" xfId="0" applyNumberFormat="1" applyFill="1" applyBorder="1" applyAlignment="1">
      <alignment horizontal="center" vertical="center" wrapText="1"/>
    </xf>
    <xf numFmtId="44" fontId="25" fillId="0" borderId="9" xfId="4" applyFont="1" applyFill="1" applyBorder="1" applyAlignment="1">
      <alignment horizontal="center"/>
    </xf>
    <xf numFmtId="44" fontId="0" fillId="0" borderId="8" xfId="2" applyNumberFormat="1" applyFont="1" applyFill="1" applyBorder="1" applyAlignment="1">
      <alignment horizontal="center" vertical="center" wrapText="1"/>
    </xf>
    <xf numFmtId="165" fontId="0" fillId="0" borderId="8" xfId="4" applyNumberFormat="1" applyFont="1" applyFill="1" applyBorder="1" applyAlignment="1">
      <alignment horizontal="center"/>
    </xf>
    <xf numFmtId="44" fontId="2" fillId="0" borderId="9" xfId="2" applyNumberFormat="1" applyFill="1" applyBorder="1" applyAlignment="1">
      <alignment horizontal="center" vertical="center" wrapText="1"/>
    </xf>
    <xf numFmtId="44" fontId="25" fillId="0" borderId="8" xfId="4" applyFont="1" applyFill="1" applyBorder="1" applyAlignment="1">
      <alignment horizontal="center"/>
    </xf>
    <xf numFmtId="44" fontId="0" fillId="0" borderId="9" xfId="0" applyNumberFormat="1" applyBorder="1" applyAlignment="1">
      <alignment horizontal="center" vertical="center" wrapText="1"/>
    </xf>
    <xf numFmtId="44" fontId="0" fillId="27" borderId="8" xfId="0" applyNumberFormat="1" applyFill="1" applyBorder="1" applyAlignment="1">
      <alignment horizontal="center" vertical="center" wrapText="1"/>
    </xf>
    <xf numFmtId="165" fontId="0" fillId="0" borderId="8" xfId="4" applyNumberFormat="1" applyFont="1" applyFill="1" applyBorder="1" applyAlignment="1">
      <alignment horizontal="center" vertical="center"/>
    </xf>
    <xf numFmtId="165" fontId="0" fillId="0" borderId="10" xfId="4" applyNumberFormat="1" applyFont="1" applyFill="1" applyBorder="1" applyAlignment="1">
      <alignment horizontal="center" vertical="center"/>
    </xf>
    <xf numFmtId="165" fontId="5" fillId="0" borderId="10" xfId="4" applyNumberFormat="1" applyFont="1" applyFill="1" applyBorder="1" applyAlignment="1">
      <alignment horizontal="center"/>
    </xf>
    <xf numFmtId="44" fontId="0" fillId="0" borderId="9" xfId="2" applyNumberFormat="1" applyFont="1" applyFill="1" applyBorder="1" applyAlignment="1">
      <alignment horizontal="center" vertical="center" wrapText="1"/>
    </xf>
    <xf numFmtId="44" fontId="0" fillId="0" borderId="7" xfId="2" applyNumberFormat="1" applyFont="1" applyFill="1" applyBorder="1" applyAlignment="1">
      <alignment horizontal="center" vertical="center" wrapText="1"/>
    </xf>
    <xf numFmtId="44" fontId="25" fillId="0" borderId="4" xfId="4" applyFont="1" applyBorder="1" applyAlignment="1">
      <alignment horizontal="center"/>
    </xf>
    <xf numFmtId="0" fontId="25" fillId="0" borderId="4" xfId="4" applyNumberFormat="1" applyFont="1" applyBorder="1" applyAlignment="1">
      <alignment horizontal="center"/>
    </xf>
    <xf numFmtId="0" fontId="25" fillId="0" borderId="9" xfId="4" applyNumberFormat="1" applyFont="1" applyBorder="1" applyAlignment="1">
      <alignment horizontal="center"/>
    </xf>
    <xf numFmtId="0" fontId="25" fillId="0" borderId="1" xfId="4" applyNumberFormat="1" applyFont="1" applyBorder="1" applyAlignment="1">
      <alignment horizontal="center"/>
    </xf>
    <xf numFmtId="0" fontId="25" fillId="0" borderId="10" xfId="4" applyNumberFormat="1" applyFont="1" applyBorder="1" applyAlignment="1">
      <alignment horizontal="center"/>
    </xf>
    <xf numFmtId="0" fontId="25" fillId="0" borderId="8" xfId="4" applyNumberFormat="1" applyFont="1" applyBorder="1" applyAlignment="1">
      <alignment horizontal="center"/>
    </xf>
    <xf numFmtId="0" fontId="25" fillId="0" borderId="7" xfId="4" applyNumberFormat="1" applyFont="1" applyBorder="1" applyAlignment="1">
      <alignment horizontal="center"/>
    </xf>
    <xf numFmtId="0" fontId="25" fillId="0" borderId="2" xfId="4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3" fillId="0" borderId="4" xfId="4" applyNumberFormat="1" applyFont="1" applyFill="1" applyBorder="1" applyAlignment="1">
      <alignment horizontal="center" vertical="center" wrapText="1"/>
    </xf>
    <xf numFmtId="165" fontId="0" fillId="0" borderId="4" xfId="4" applyNumberFormat="1" applyFont="1" applyBorder="1" applyAlignment="1">
      <alignment horizontal="center"/>
    </xf>
    <xf numFmtId="165" fontId="0" fillId="0" borderId="7" xfId="4" applyNumberFormat="1" applyFont="1" applyBorder="1" applyAlignment="1">
      <alignment horizontal="center"/>
    </xf>
    <xf numFmtId="165" fontId="0" fillId="0" borderId="3" xfId="4" applyNumberFormat="1" applyFont="1" applyBorder="1" applyAlignment="1">
      <alignment horizontal="center"/>
    </xf>
    <xf numFmtId="165" fontId="0" fillId="0" borderId="8" xfId="4" applyNumberFormat="1" applyFont="1" applyBorder="1" applyAlignment="1">
      <alignment horizontal="center"/>
    </xf>
    <xf numFmtId="0" fontId="3" fillId="0" borderId="0" xfId="2" applyFont="1" applyFill="1" applyBorder="1" applyAlignment="1">
      <alignment horizontal="center" vertical="center" wrapText="1"/>
    </xf>
    <xf numFmtId="0" fontId="3" fillId="0" borderId="3" xfId="2" applyNumberFormat="1" applyFont="1" applyFill="1" applyBorder="1" applyAlignment="1">
      <alignment horizontal="center" vertical="center" wrapText="1"/>
    </xf>
    <xf numFmtId="0" fontId="3" fillId="0" borderId="10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165" fontId="3" fillId="0" borderId="3" xfId="4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/>
    </xf>
    <xf numFmtId="0" fontId="3" fillId="5" borderId="4" xfId="2" applyFont="1" applyFill="1" applyBorder="1" applyAlignment="1">
      <alignment horizontal="center"/>
    </xf>
    <xf numFmtId="14" fontId="14" fillId="0" borderId="7" xfId="2" applyNumberFormat="1" applyFont="1" applyFill="1" applyBorder="1" applyAlignment="1">
      <alignment horizontal="center"/>
    </xf>
    <xf numFmtId="0" fontId="2" fillId="5" borderId="7" xfId="2" applyNumberFormat="1" applyFill="1" applyBorder="1" applyAlignment="1">
      <alignment horizontal="center"/>
    </xf>
    <xf numFmtId="0" fontId="0" fillId="5" borderId="4" xfId="2" applyFont="1" applyFill="1" applyBorder="1" applyAlignment="1">
      <alignment horizontal="center"/>
    </xf>
    <xf numFmtId="0" fontId="2" fillId="5" borderId="7" xfId="2" applyFill="1" applyBorder="1" applyAlignment="1">
      <alignment horizontal="center"/>
    </xf>
    <xf numFmtId="14" fontId="2" fillId="5" borderId="7" xfId="2" applyNumberFormat="1" applyFill="1" applyBorder="1" applyAlignment="1">
      <alignment horizontal="center"/>
    </xf>
    <xf numFmtId="0" fontId="14" fillId="5" borderId="7" xfId="2" applyFont="1" applyFill="1" applyBorder="1" applyAlignment="1">
      <alignment horizontal="center"/>
    </xf>
    <xf numFmtId="0" fontId="23" fillId="5" borderId="4" xfId="0" applyFont="1" applyFill="1" applyBorder="1" applyAlignment="1">
      <alignment horizontal="center" wrapText="1"/>
    </xf>
    <xf numFmtId="0" fontId="2" fillId="19" borderId="7" xfId="2" applyNumberFormat="1" applyFill="1" applyBorder="1" applyAlignment="1">
      <alignment horizontal="center"/>
    </xf>
    <xf numFmtId="0" fontId="0" fillId="19" borderId="4" xfId="2" applyFont="1" applyFill="1" applyBorder="1" applyAlignment="1">
      <alignment horizontal="center"/>
    </xf>
    <xf numFmtId="14" fontId="2" fillId="19" borderId="7" xfId="2" applyNumberFormat="1" applyFill="1" applyBorder="1" applyAlignment="1">
      <alignment horizontal="center"/>
    </xf>
    <xf numFmtId="0" fontId="14" fillId="19" borderId="7" xfId="2" applyFont="1" applyFill="1" applyBorder="1" applyAlignment="1">
      <alignment horizontal="center"/>
    </xf>
    <xf numFmtId="0" fontId="2" fillId="10" borderId="7" xfId="2" applyFill="1" applyBorder="1" applyAlignment="1">
      <alignment horizontal="center"/>
    </xf>
    <xf numFmtId="14" fontId="14" fillId="0" borderId="4" xfId="2" applyNumberFormat="1" applyFont="1" applyFill="1" applyBorder="1" applyAlignment="1">
      <alignment horizontal="center"/>
    </xf>
    <xf numFmtId="0" fontId="0" fillId="0" borderId="4" xfId="2" applyNumberFormat="1" applyFont="1" applyFill="1" applyBorder="1" applyAlignment="1">
      <alignment horizontal="center"/>
    </xf>
    <xf numFmtId="0" fontId="0" fillId="0" borderId="4" xfId="2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2" applyFont="1" applyFill="1" applyBorder="1" applyAlignment="1">
      <alignment horizontal="center"/>
    </xf>
    <xf numFmtId="0" fontId="2" fillId="0" borderId="9" xfId="2" applyNumberFormat="1" applyFill="1" applyBorder="1" applyAlignment="1">
      <alignment horizontal="center"/>
    </xf>
    <xf numFmtId="0" fontId="2" fillId="0" borderId="3" xfId="2" applyFill="1" applyBorder="1" applyAlignment="1">
      <alignment horizontal="center"/>
    </xf>
    <xf numFmtId="0" fontId="2" fillId="0" borderId="9" xfId="2" applyFill="1" applyBorder="1" applyAlignment="1">
      <alignment horizontal="center"/>
    </xf>
    <xf numFmtId="0" fontId="14" fillId="0" borderId="9" xfId="2" applyFont="1" applyFill="1" applyBorder="1" applyAlignment="1">
      <alignment horizontal="center"/>
    </xf>
    <xf numFmtId="0" fontId="2" fillId="0" borderId="3" xfId="2" applyNumberFormat="1" applyFill="1" applyBorder="1" applyAlignment="1">
      <alignment horizontal="center"/>
    </xf>
    <xf numFmtId="14" fontId="2" fillId="0" borderId="3" xfId="2" applyNumberFormat="1" applyFill="1" applyBorder="1" applyAlignment="1">
      <alignment horizontal="center"/>
    </xf>
    <xf numFmtId="0" fontId="2" fillId="4" borderId="3" xfId="2" applyNumberFormat="1" applyFill="1" applyBorder="1" applyAlignment="1">
      <alignment horizontal="center"/>
    </xf>
    <xf numFmtId="0" fontId="0" fillId="4" borderId="10" xfId="2" applyFont="1" applyFill="1" applyBorder="1" applyAlignment="1">
      <alignment horizontal="center"/>
    </xf>
    <xf numFmtId="0" fontId="2" fillId="4" borderId="3" xfId="2" applyFill="1" applyBorder="1" applyAlignment="1">
      <alignment horizontal="center"/>
    </xf>
    <xf numFmtId="14" fontId="2" fillId="4" borderId="3" xfId="2" applyNumberFormat="1" applyFill="1" applyBorder="1" applyAlignment="1">
      <alignment horizontal="center"/>
    </xf>
    <xf numFmtId="0" fontId="14" fillId="4" borderId="3" xfId="2" applyFont="1" applyFill="1" applyBorder="1" applyAlignment="1">
      <alignment horizontal="center"/>
    </xf>
    <xf numFmtId="14" fontId="2" fillId="0" borderId="9" xfId="2" applyNumberFormat="1" applyFill="1" applyBorder="1" applyAlignment="1">
      <alignment horizontal="center"/>
    </xf>
    <xf numFmtId="0" fontId="14" fillId="0" borderId="8" xfId="2" applyFont="1" applyFill="1" applyBorder="1" applyAlignment="1">
      <alignment horizontal="center"/>
    </xf>
    <xf numFmtId="0" fontId="2" fillId="27" borderId="3" xfId="2" applyNumberFormat="1" applyFill="1" applyBorder="1" applyAlignment="1">
      <alignment horizontal="center"/>
    </xf>
    <xf numFmtId="0" fontId="0" fillId="27" borderId="10" xfId="2" applyFont="1" applyFill="1" applyBorder="1" applyAlignment="1">
      <alignment horizontal="center"/>
    </xf>
    <xf numFmtId="0" fontId="2" fillId="27" borderId="3" xfId="2" applyFill="1" applyBorder="1" applyAlignment="1">
      <alignment horizontal="center"/>
    </xf>
    <xf numFmtId="14" fontId="2" fillId="27" borderId="3" xfId="2" applyNumberFormat="1" applyFill="1" applyBorder="1" applyAlignment="1">
      <alignment horizontal="center"/>
    </xf>
    <xf numFmtId="0" fontId="14" fillId="27" borderId="3" xfId="2" applyFont="1" applyFill="1" applyBorder="1" applyAlignment="1">
      <alignment horizontal="center"/>
    </xf>
    <xf numFmtId="0" fontId="3" fillId="27" borderId="10" xfId="0" applyFont="1" applyFill="1" applyBorder="1" applyAlignment="1">
      <alignment horizontal="center"/>
    </xf>
    <xf numFmtId="14" fontId="14" fillId="0" borderId="9" xfId="2" applyNumberFormat="1" applyFont="1" applyFill="1" applyBorder="1" applyAlignment="1">
      <alignment horizontal="center"/>
    </xf>
    <xf numFmtId="0" fontId="0" fillId="0" borderId="9" xfId="2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0" borderId="9" xfId="2" applyFont="1" applyFill="1" applyBorder="1" applyAlignment="1">
      <alignment horizontal="center"/>
    </xf>
    <xf numFmtId="0" fontId="5" fillId="0" borderId="9" xfId="2" applyNumberFormat="1" applyFont="1" applyFill="1" applyBorder="1" applyAlignment="1">
      <alignment horizontal="center"/>
    </xf>
    <xf numFmtId="0" fontId="0" fillId="0" borderId="3" xfId="2" applyNumberFormat="1" applyFont="1" applyFill="1" applyBorder="1" applyAlignment="1">
      <alignment horizontal="center"/>
    </xf>
    <xf numFmtId="0" fontId="0" fillId="0" borderId="3" xfId="2" applyFont="1" applyFill="1" applyBorder="1" applyAlignment="1">
      <alignment horizontal="center"/>
    </xf>
    <xf numFmtId="0" fontId="5" fillId="0" borderId="3" xfId="2" applyNumberFormat="1" applyFont="1" applyFill="1" applyBorder="1" applyAlignment="1">
      <alignment horizontal="center"/>
    </xf>
    <xf numFmtId="0" fontId="3" fillId="0" borderId="10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5" borderId="10" xfId="2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4" fontId="14" fillId="0" borderId="3" xfId="2" applyNumberFormat="1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" fillId="27" borderId="9" xfId="2" applyNumberFormat="1" applyFill="1" applyBorder="1" applyAlignment="1">
      <alignment horizontal="center"/>
    </xf>
    <xf numFmtId="0" fontId="0" fillId="27" borderId="8" xfId="2" applyFont="1" applyFill="1" applyBorder="1" applyAlignment="1">
      <alignment horizontal="center"/>
    </xf>
    <xf numFmtId="0" fontId="2" fillId="27" borderId="9" xfId="2" applyFill="1" applyBorder="1" applyAlignment="1">
      <alignment horizontal="center"/>
    </xf>
    <xf numFmtId="14" fontId="2" fillId="27" borderId="9" xfId="2" applyNumberFormat="1" applyFill="1" applyBorder="1" applyAlignment="1">
      <alignment horizontal="center"/>
    </xf>
    <xf numFmtId="0" fontId="14" fillId="27" borderId="9" xfId="2" applyFont="1" applyFill="1" applyBorder="1" applyAlignment="1">
      <alignment horizontal="center"/>
    </xf>
    <xf numFmtId="0" fontId="3" fillId="27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2" fillId="0" borderId="10" xfId="2" applyNumberFormat="1" applyFill="1" applyBorder="1" applyAlignment="1">
      <alignment horizontal="center"/>
    </xf>
    <xf numFmtId="14" fontId="2" fillId="0" borderId="10" xfId="2" applyNumberFormat="1" applyFill="1" applyBorder="1" applyAlignment="1">
      <alignment horizontal="center"/>
    </xf>
    <xf numFmtId="0" fontId="2" fillId="0" borderId="8" xfId="2" applyFill="1" applyBorder="1" applyAlignment="1">
      <alignment horizontal="center"/>
    </xf>
    <xf numFmtId="0" fontId="2" fillId="0" borderId="10" xfId="2" applyFill="1" applyBorder="1" applyAlignment="1">
      <alignment horizontal="center"/>
    </xf>
    <xf numFmtId="14" fontId="2" fillId="0" borderId="8" xfId="2" applyNumberFormat="1" applyFill="1" applyBorder="1" applyAlignment="1">
      <alignment horizontal="center"/>
    </xf>
    <xf numFmtId="0" fontId="0" fillId="0" borderId="10" xfId="2" applyNumberFormat="1" applyFont="1" applyFill="1" applyBorder="1" applyAlignment="1">
      <alignment horizontal="center"/>
    </xf>
    <xf numFmtId="0" fontId="0" fillId="0" borderId="9" xfId="2" applyFont="1" applyFill="1" applyBorder="1" applyAlignment="1">
      <alignment horizontal="center" vertical="center"/>
    </xf>
    <xf numFmtId="0" fontId="0" fillId="0" borderId="8" xfId="2" applyFont="1" applyFill="1" applyBorder="1" applyAlignment="1">
      <alignment horizontal="center" vertical="center"/>
    </xf>
    <xf numFmtId="0" fontId="2" fillId="0" borderId="8" xfId="2" applyFill="1" applyBorder="1" applyAlignment="1">
      <alignment horizontal="center" vertical="center"/>
    </xf>
    <xf numFmtId="14" fontId="2" fillId="0" borderId="8" xfId="2" applyNumberFormat="1" applyFill="1" applyBorder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165" fontId="0" fillId="0" borderId="8" xfId="4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10" xfId="2" applyFont="1" applyFill="1" applyBorder="1" applyAlignment="1">
      <alignment horizontal="center" vertical="center" wrapText="1"/>
    </xf>
    <xf numFmtId="0" fontId="2" fillId="0" borderId="10" xfId="2" applyNumberFormat="1" applyFill="1" applyBorder="1" applyAlignment="1">
      <alignment horizontal="center" vertical="center"/>
    </xf>
    <xf numFmtId="0" fontId="0" fillId="0" borderId="10" xfId="2" applyFont="1" applyFill="1" applyBorder="1" applyAlignment="1">
      <alignment horizontal="center" vertical="center"/>
    </xf>
    <xf numFmtId="14" fontId="2" fillId="0" borderId="10" xfId="2" applyNumberFormat="1" applyFill="1" applyBorder="1" applyAlignment="1">
      <alignment horizontal="center" vertical="center"/>
    </xf>
    <xf numFmtId="0" fontId="2" fillId="0" borderId="10" xfId="2" applyFill="1" applyBorder="1" applyAlignment="1">
      <alignment horizontal="center" vertical="center"/>
    </xf>
    <xf numFmtId="0" fontId="14" fillId="0" borderId="10" xfId="2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8" xfId="2" applyNumberFormat="1" applyFont="1" applyFill="1" applyBorder="1" applyAlignment="1">
      <alignment horizontal="center"/>
    </xf>
    <xf numFmtId="0" fontId="12" fillId="0" borderId="8" xfId="2" applyFont="1" applyFill="1" applyBorder="1" applyAlignment="1">
      <alignment horizontal="center"/>
    </xf>
    <xf numFmtId="0" fontId="5" fillId="0" borderId="16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/>
    </xf>
    <xf numFmtId="14" fontId="5" fillId="0" borderId="16" xfId="6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9" fillId="0" borderId="10" xfId="0" applyFont="1" applyBorder="1" applyAlignment="1">
      <alignment horizontal="center" vertical="center"/>
    </xf>
    <xf numFmtId="0" fontId="0" fillId="16" borderId="8" xfId="2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8" borderId="1" xfId="2" applyNumberFormat="1" applyFill="1" applyBorder="1" applyAlignment="1">
      <alignment horizontal="center"/>
    </xf>
    <xf numFmtId="0" fontId="14" fillId="18" borderId="1" xfId="2" applyFont="1" applyFill="1" applyBorder="1" applyAlignment="1">
      <alignment horizontal="center"/>
    </xf>
    <xf numFmtId="14" fontId="14" fillId="27" borderId="1" xfId="2" applyNumberFormat="1" applyFont="1" applyFill="1" applyBorder="1" applyAlignment="1">
      <alignment horizontal="center"/>
    </xf>
    <xf numFmtId="0" fontId="14" fillId="0" borderId="1" xfId="2" applyNumberFormat="1" applyFont="1" applyFill="1" applyBorder="1" applyAlignment="1">
      <alignment horizontal="center"/>
    </xf>
    <xf numFmtId="17" fontId="0" fillId="0" borderId="1" xfId="2" applyNumberFormat="1" applyFont="1" applyFill="1" applyBorder="1" applyAlignment="1">
      <alignment horizontal="center"/>
    </xf>
    <xf numFmtId="17" fontId="2" fillId="0" borderId="1" xfId="2" applyNumberFormat="1" applyFill="1" applyBorder="1" applyAlignment="1">
      <alignment horizontal="center"/>
    </xf>
    <xf numFmtId="49" fontId="27" fillId="0" borderId="1" xfId="4" applyNumberFormat="1" applyFont="1" applyFill="1" applyBorder="1" applyAlignment="1">
      <alignment horizontal="center" vertical="center"/>
    </xf>
    <xf numFmtId="14" fontId="2" fillId="18" borderId="1" xfId="2" applyNumberFormat="1" applyFill="1" applyBorder="1" applyAlignment="1">
      <alignment horizontal="center"/>
    </xf>
    <xf numFmtId="11" fontId="0" fillId="0" borderId="1" xfId="2" applyNumberFormat="1" applyFont="1" applyFill="1" applyBorder="1" applyAlignment="1">
      <alignment horizontal="center"/>
    </xf>
    <xf numFmtId="164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64" fontId="2" fillId="34" borderId="1" xfId="2" applyNumberFormat="1" applyFill="1" applyBorder="1" applyAlignment="1">
      <alignment horizontal="center" vertical="center" wrapText="1"/>
    </xf>
    <xf numFmtId="164" fontId="2" fillId="0" borderId="1" xfId="2" applyNumberFormat="1" applyFill="1" applyBorder="1" applyAlignment="1">
      <alignment horizontal="center" vertical="center" wrapText="1"/>
    </xf>
    <xf numFmtId="164" fontId="25" fillId="0" borderId="1" xfId="4" applyNumberFormat="1" applyFont="1" applyFill="1" applyBorder="1" applyAlignment="1">
      <alignment horizontal="center"/>
    </xf>
    <xf numFmtId="164" fontId="0" fillId="0" borderId="1" xfId="2" applyNumberFormat="1" applyFont="1" applyFill="1" applyBorder="1" applyAlignment="1">
      <alignment horizontal="center" vertical="center" wrapText="1"/>
    </xf>
    <xf numFmtId="164" fontId="2" fillId="0" borderId="1" xfId="4" applyNumberFormat="1" applyFill="1" applyBorder="1" applyAlignment="1">
      <alignment horizontal="center"/>
    </xf>
    <xf numFmtId="164" fontId="0" fillId="18" borderId="1" xfId="2" applyNumberFormat="1" applyFont="1" applyFill="1" applyBorder="1" applyAlignment="1">
      <alignment horizontal="center" vertical="center" wrapText="1"/>
    </xf>
    <xf numFmtId="164" fontId="0" fillId="34" borderId="1" xfId="0" applyNumberFormat="1" applyFill="1" applyBorder="1" applyAlignment="1">
      <alignment horizontal="center" vertical="center" wrapText="1"/>
    </xf>
    <xf numFmtId="164" fontId="25" fillId="27" borderId="1" xfId="4" applyNumberFormat="1" applyFont="1" applyFill="1" applyBorder="1" applyAlignment="1">
      <alignment horizontal="center"/>
    </xf>
    <xf numFmtId="164" fontId="0" fillId="27" borderId="1" xfId="0" applyNumberFormat="1" applyFill="1" applyBorder="1" applyAlignment="1">
      <alignment horizontal="center" vertical="center" wrapText="1"/>
    </xf>
    <xf numFmtId="164" fontId="0" fillId="0" borderId="1" xfId="4" applyNumberFormat="1" applyFont="1" applyFill="1" applyBorder="1" applyAlignment="1">
      <alignment horizontal="center" vertical="center"/>
    </xf>
    <xf numFmtId="164" fontId="2" fillId="27" borderId="1" xfId="2" applyNumberFormat="1" applyFill="1" applyBorder="1" applyAlignment="1">
      <alignment horizontal="center" vertical="center" wrapText="1"/>
    </xf>
    <xf numFmtId="164" fontId="0" fillId="34" borderId="1" xfId="4" applyNumberFormat="1" applyFont="1" applyFill="1" applyBorder="1" applyAlignment="1">
      <alignment horizontal="center"/>
    </xf>
    <xf numFmtId="164" fontId="2" fillId="18" borderId="1" xfId="4" applyNumberFormat="1" applyFill="1" applyBorder="1" applyAlignment="1">
      <alignment horizontal="center"/>
    </xf>
    <xf numFmtId="164" fontId="0" fillId="0" borderId="1" xfId="4" applyNumberFormat="1" applyFont="1" applyBorder="1" applyAlignment="1">
      <alignment horizontal="center"/>
    </xf>
    <xf numFmtId="164" fontId="25" fillId="0" borderId="1" xfId="4" applyNumberFormat="1" applyFont="1" applyBorder="1" applyAlignment="1">
      <alignment horizontal="center"/>
    </xf>
    <xf numFmtId="0" fontId="0" fillId="27" borderId="8" xfId="0" applyFill="1" applyBorder="1" applyAlignment="1">
      <alignment horizontal="center" vertical="center" wrapText="1"/>
    </xf>
    <xf numFmtId="0" fontId="24" fillId="0" borderId="4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 wrapText="1"/>
    </xf>
    <xf numFmtId="0" fontId="0" fillId="0" borderId="2" xfId="2" applyFont="1" applyFill="1" applyBorder="1" applyAlignment="1">
      <alignment horizontal="center" vertical="center" wrapText="1"/>
    </xf>
    <xf numFmtId="0" fontId="0" fillId="0" borderId="9" xfId="2" applyFont="1" applyFill="1" applyBorder="1" applyAlignment="1">
      <alignment horizontal="center" vertical="center" wrapText="1"/>
    </xf>
    <xf numFmtId="0" fontId="0" fillId="0" borderId="7" xfId="2" applyFont="1" applyFill="1" applyBorder="1" applyAlignment="1">
      <alignment horizontal="center" vertical="center" wrapText="1"/>
    </xf>
    <xf numFmtId="0" fontId="0" fillId="0" borderId="8" xfId="2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5" fillId="0" borderId="2" xfId="5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165" fontId="5" fillId="0" borderId="10" xfId="4" applyNumberFormat="1" applyFont="1" applyBorder="1" applyAlignment="1">
      <alignment horizontal="center"/>
    </xf>
    <xf numFmtId="165" fontId="0" fillId="0" borderId="10" xfId="4" applyNumberFormat="1" applyFont="1" applyBorder="1" applyAlignment="1">
      <alignment horizontal="center" vertical="center"/>
    </xf>
    <xf numFmtId="165" fontId="0" fillId="0" borderId="8" xfId="4" applyNumberFormat="1" applyFont="1" applyBorder="1" applyAlignment="1">
      <alignment horizontal="center" vertical="center"/>
    </xf>
    <xf numFmtId="165" fontId="0" fillId="0" borderId="10" xfId="4" applyNumberFormat="1" applyFont="1" applyBorder="1" applyAlignment="1">
      <alignment horizontal="center"/>
    </xf>
    <xf numFmtId="165" fontId="0" fillId="9" borderId="1" xfId="4" applyNumberFormat="1" applyFont="1" applyFill="1" applyBorder="1" applyAlignment="1">
      <alignment horizontal="center"/>
    </xf>
    <xf numFmtId="165" fontId="0" fillId="0" borderId="9" xfId="4" applyNumberFormat="1" applyFont="1" applyBorder="1" applyAlignment="1">
      <alignment horizontal="center"/>
    </xf>
    <xf numFmtId="165" fontId="3" fillId="0" borderId="3" xfId="4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5" fillId="0" borderId="2" xfId="2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/>
    </xf>
    <xf numFmtId="0" fontId="2" fillId="0" borderId="14" xfId="2" applyNumberForma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2" xfId="2" applyNumberFormat="1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2" fillId="0" borderId="1" xfId="2" applyNumberFormat="1" applyFill="1" applyBorder="1" applyAlignment="1">
      <alignment horizontal="center" vertical="center"/>
    </xf>
    <xf numFmtId="164" fontId="0" fillId="25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5" fillId="10" borderId="1" xfId="5" applyNumberFormat="1" applyFont="1" applyFill="1" applyBorder="1" applyAlignment="1">
      <alignment horizontal="center" vertical="center"/>
    </xf>
    <xf numFmtId="164" fontId="3" fillId="23" borderId="1" xfId="0" applyNumberFormat="1" applyFont="1" applyFill="1" applyBorder="1" applyAlignment="1">
      <alignment horizontal="center" vertical="center"/>
    </xf>
    <xf numFmtId="164" fontId="2" fillId="0" borderId="1" xfId="2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14" borderId="14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5" fillId="0" borderId="2" xfId="4" applyNumberFormat="1" applyFont="1" applyFill="1" applyBorder="1" applyAlignment="1">
      <alignment horizontal="center" vertical="center"/>
    </xf>
    <xf numFmtId="0" fontId="0" fillId="0" borderId="1" xfId="4" applyNumberFormat="1" applyFont="1" applyFill="1" applyBorder="1" applyAlignment="1">
      <alignment horizontal="center"/>
    </xf>
    <xf numFmtId="164" fontId="0" fillId="0" borderId="4" xfId="4" applyNumberFormat="1" applyFont="1" applyFill="1" applyBorder="1" applyAlignment="1">
      <alignment horizontal="center"/>
    </xf>
    <xf numFmtId="164" fontId="0" fillId="0" borderId="4" xfId="4" applyNumberFormat="1" applyFont="1" applyBorder="1" applyAlignment="1">
      <alignment horizontal="center"/>
    </xf>
    <xf numFmtId="0" fontId="0" fillId="0" borderId="1" xfId="4" applyNumberFormat="1" applyFont="1" applyBorder="1" applyAlignment="1">
      <alignment horizontal="center"/>
    </xf>
    <xf numFmtId="166" fontId="0" fillId="0" borderId="0" xfId="4" applyNumberFormat="1" applyFont="1" applyFill="1" applyAlignment="1">
      <alignment horizontal="center" vertical="center" wrapText="1"/>
    </xf>
    <xf numFmtId="166" fontId="14" fillId="0" borderId="8" xfId="4" applyNumberFormat="1" applyFont="1" applyBorder="1" applyAlignment="1">
      <alignment horizontal="center" vertical="center"/>
    </xf>
    <xf numFmtId="166" fontId="14" fillId="0" borderId="1" xfId="4" applyNumberFormat="1" applyFont="1" applyBorder="1" applyAlignment="1">
      <alignment horizontal="center" vertical="center"/>
    </xf>
    <xf numFmtId="166" fontId="14" fillId="0" borderId="1" xfId="4" applyNumberFormat="1" applyFont="1" applyFill="1" applyBorder="1" applyAlignment="1">
      <alignment horizontal="center" vertical="center"/>
    </xf>
    <xf numFmtId="166" fontId="14" fillId="13" borderId="1" xfId="4" applyNumberFormat="1" applyFont="1" applyFill="1" applyBorder="1" applyAlignment="1">
      <alignment horizontal="center" vertical="center"/>
    </xf>
    <xf numFmtId="166" fontId="14" fillId="25" borderId="1" xfId="4" applyNumberFormat="1" applyFont="1" applyFill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20" fillId="0" borderId="1" xfId="4" applyNumberFormat="1" applyFont="1" applyFill="1" applyBorder="1" applyAlignment="1">
      <alignment horizontal="center" vertical="center"/>
    </xf>
    <xf numFmtId="166" fontId="14" fillId="6" borderId="1" xfId="4" applyNumberFormat="1" applyFont="1" applyFill="1" applyBorder="1" applyAlignment="1">
      <alignment horizontal="center" vertical="center"/>
    </xf>
    <xf numFmtId="166" fontId="14" fillId="0" borderId="4" xfId="4" applyNumberFormat="1" applyFont="1" applyBorder="1" applyAlignment="1">
      <alignment horizontal="center" vertical="center"/>
    </xf>
    <xf numFmtId="166" fontId="20" fillId="10" borderId="1" xfId="4" applyNumberFormat="1" applyFont="1" applyFill="1" applyBorder="1" applyAlignment="1">
      <alignment horizontal="center" vertical="center"/>
    </xf>
    <xf numFmtId="166" fontId="14" fillId="7" borderId="1" xfId="4" applyNumberFormat="1" applyFont="1" applyFill="1" applyBorder="1" applyAlignment="1">
      <alignment horizontal="center" vertical="center"/>
    </xf>
    <xf numFmtId="166" fontId="0" fillId="0" borderId="1" xfId="4" applyNumberFormat="1" applyFont="1" applyBorder="1" applyAlignment="1">
      <alignment horizontal="center" vertical="center"/>
    </xf>
    <xf numFmtId="166" fontId="14" fillId="0" borderId="0" xfId="4" applyNumberFormat="1" applyFont="1" applyAlignment="1">
      <alignment horizontal="center" vertical="center"/>
    </xf>
    <xf numFmtId="166" fontId="14" fillId="0" borderId="0" xfId="4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20" fillId="0" borderId="1" xfId="4" applyNumberFormat="1" applyFont="1" applyBorder="1" applyAlignment="1">
      <alignment horizontal="center" vertical="center"/>
    </xf>
    <xf numFmtId="166" fontId="14" fillId="0" borderId="0" xfId="4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2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53" fillId="27" borderId="1" xfId="4" applyFont="1" applyFill="1" applyBorder="1" applyAlignment="1">
      <alignment horizontal="center"/>
    </xf>
    <xf numFmtId="44" fontId="53" fillId="0" borderId="1" xfId="4" applyFont="1" applyFill="1" applyBorder="1" applyAlignment="1">
      <alignment horizontal="center"/>
    </xf>
    <xf numFmtId="44" fontId="54" fillId="0" borderId="4" xfId="2" applyNumberFormat="1" applyFont="1" applyFill="1" applyBorder="1" applyAlignment="1">
      <alignment horizontal="center" vertical="center" wrapText="1"/>
    </xf>
    <xf numFmtId="44" fontId="53" fillId="0" borderId="2" xfId="4" applyFont="1" applyBorder="1" applyAlignment="1">
      <alignment horizontal="center"/>
    </xf>
    <xf numFmtId="165" fontId="0" fillId="18" borderId="1" xfId="4" applyNumberFormat="1" applyFont="1" applyFill="1" applyBorder="1" applyAlignment="1">
      <alignment horizontal="center"/>
    </xf>
    <xf numFmtId="44" fontId="0" fillId="27" borderId="1" xfId="2" applyNumberFormat="1" applyFont="1" applyFill="1" applyBorder="1" applyAlignment="1">
      <alignment horizontal="center" vertical="center" wrapText="1"/>
    </xf>
    <xf numFmtId="44" fontId="53" fillId="0" borderId="4" xfId="4" applyFont="1" applyBorder="1" applyAlignment="1">
      <alignment horizontal="center"/>
    </xf>
    <xf numFmtId="44" fontId="53" fillId="0" borderId="7" xfId="4" applyFont="1" applyBorder="1" applyAlignment="1">
      <alignment horizontal="center"/>
    </xf>
    <xf numFmtId="44" fontId="53" fillId="0" borderId="8" xfId="4" applyFont="1" applyBorder="1" applyAlignment="1">
      <alignment horizontal="center"/>
    </xf>
    <xf numFmtId="165" fontId="0" fillId="0" borderId="1" xfId="4" applyNumberFormat="1" applyFont="1" applyBorder="1" applyAlignment="1">
      <alignment horizontal="center" vertical="center"/>
    </xf>
    <xf numFmtId="44" fontId="53" fillId="0" borderId="10" xfId="4" applyFont="1" applyBorder="1" applyAlignment="1">
      <alignment horizontal="center"/>
    </xf>
    <xf numFmtId="44" fontId="53" fillId="0" borderId="1" xfId="4" applyFont="1" applyBorder="1" applyAlignment="1">
      <alignment horizontal="center"/>
    </xf>
    <xf numFmtId="44" fontId="0" fillId="34" borderId="1" xfId="2" applyNumberFormat="1" applyFont="1" applyFill="1" applyBorder="1" applyAlignment="1">
      <alignment horizontal="center" vertical="center" wrapText="1"/>
    </xf>
    <xf numFmtId="44" fontId="53" fillId="0" borderId="9" xfId="4" applyFont="1" applyBorder="1" applyAlignment="1">
      <alignment horizontal="center"/>
    </xf>
    <xf numFmtId="0" fontId="39" fillId="0" borderId="7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24" borderId="1" xfId="0" applyFont="1" applyFill="1" applyBorder="1" applyAlignment="1">
      <alignment horizontal="center" vertical="center" wrapText="1"/>
    </xf>
    <xf numFmtId="0" fontId="5" fillId="24" borderId="1" xfId="2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3" xfId="0" applyFont="1" applyBorder="1" applyAlignment="1">
      <alignment horizontal="center" vertical="center"/>
    </xf>
  </cellXfs>
  <cellStyles count="7">
    <cellStyle name="20% - Accent6" xfId="2" builtinId="50"/>
    <cellStyle name="60% - Accent4" xfId="3" builtinId="44"/>
    <cellStyle name="Accent6" xfId="1" builtinId="49"/>
    <cellStyle name="Bad" xfId="5" builtinId="27"/>
    <cellStyle name="Currency" xfId="4" builtinId="4"/>
    <cellStyle name="Normal" xfId="0" builtinId="0"/>
    <cellStyle name="Output" xfId="6" builtinId="21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font>
        <b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6098AC09-B5AE-4B80-9DBD-5C072A1B0812}">
      <tableStyleElement type="wholeTable" dxfId="312"/>
      <tableStyleElement type="headerRow" dxfId="311"/>
      <tableStyleElement type="secondRowStripe" dxfId="310"/>
    </tableStyle>
    <tableStyle name="Business Table 2" pivot="0" count="3" xr9:uid="{739AEE9B-E8CC-4B2B-A764-E309B4E867A3}">
      <tableStyleElement type="wholeTable" dxfId="309"/>
      <tableStyleElement type="headerRow" dxfId="308"/>
      <tableStyleElement type="secondRowStripe" dxfId="307"/>
    </tableStyle>
  </tableStyles>
  <colors>
    <mruColors>
      <color rgb="FFFF9999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ab9d8196eeb2afc/Documents/Copy%20of%20GENTHRUST%20XVII%20LLC%20INVENTORY%20LIST___%20(003).xlsx" TargetMode="External"/><Relationship Id="rId1" Type="http://schemas.openxmlformats.org/officeDocument/2006/relationships/externalLinkPath" Target="https://d.docs.live.net/aab9d8196eeb2afc/Documents/Copy%20of%20GENTHRUST%20XVII%20LLC%20INVENTORY%20LIST___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ITE BOX INVENTORY AND EXTREME"/>
      <sheetName val="GREEN BINS"/>
      <sheetName val="GREEN BINS WITH NO PO'S"/>
      <sheetName val="JULIO PARTS LIST "/>
      <sheetName val="BLACK SHELVES INV ( AR )"/>
      <sheetName val="Inventor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3CEF783-A02B-4297-BCEA-8E3D001DEF95}">
    <nsvFilter filterId="{1B4A34BF-C31A-4502-B738-31B12766B700}" ref="A3:O1082" tableId="4">
      <columnFilter colId="13" id="{86FFE246-FD2A-4EE6-847E-796144259FA8}">
        <filter colId="13">
          <x:filters blank="1"/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59EAC-CF86-4313-914F-EB11FCED387E}" name="Inventory_List_Table6" displayName="Inventory_List_Table6" ref="A1:L4276" totalsRowShown="0" headerRowDxfId="306" dataDxfId="305">
  <autoFilter ref="A1:L4276" xr:uid="{00000000-0009-0000-0100-000001000000}">
    <filterColumn colId="10">
      <filters blank="1">
        <filter val="10 VENCIDO"/>
        <filter val="100 % KIT  680640-4  ENRIQUE"/>
        <filter val="100 % KIT  680640-4  ENRIQUE SOLD"/>
        <filter val="100 % KIT 204050"/>
        <filter val="100 % KIT 204050 EXPIRED"/>
        <filter val="100% KIT 204050"/>
        <filter val="100% KIT 398908-5"/>
        <filter val="11 VENCIDO"/>
        <filter val="11 VENCIDOS"/>
        <filter val="2 VENCIDO"/>
        <filter val="2 VENCIDOS"/>
        <filter val="3 VENCIDOS"/>
        <filter val="40 VENCIDO"/>
        <filter val="42 VENCIDOS"/>
        <filter val="54 VENCIDO"/>
        <filter val="7958536-6"/>
        <filter val="8 VENCIDOS"/>
        <filter val="85 VENCIDO"/>
        <filter val="AR"/>
        <filter val="CONDITION AR"/>
        <filter val="DATE  04/11   07/11"/>
        <filter val="ENGINE KIT"/>
        <filter val="ENRIQUE"/>
        <filter val="EXPIRED"/>
        <filter val="FILTRO PEQUENO"/>
        <filter val="INGRESAR  ILS"/>
        <filter val="KIT INCOMPLETO"/>
        <filter val="NO APTO PARA VENTA"/>
        <filter val="NO ILS"/>
        <filter val="OFICINA JOSE"/>
        <filter val="OFICINA SR JSOE"/>
        <filter val="PEN PN: 155-06019-0000"/>
        <filter val="PEND 4    3882496-1  ALT 7585669"/>
        <filter val="SE VENCE ESTE ANO"/>
        <filter val="TAG DATE: 05/25/01   FEM(8130)"/>
        <filter val="VENCE  NOV 2025"/>
        <filter val="VENCE 2026"/>
        <filter val="VENCE ESTE ANO"/>
        <filter val="VENCIDO"/>
        <filter val="VENCIDO 2EA"/>
        <filter val="VENCIDOS"/>
        <filter val="VENCIDOS 5"/>
        <filter val="VENCIDOS 7"/>
      </filters>
    </filterColumn>
  </autoFilter>
  <sortState xmlns:xlrd2="http://schemas.microsoft.com/office/spreadsheetml/2017/richdata2" ref="A2:L4276">
    <sortCondition ref="A1:A4276"/>
  </sortState>
  <tableColumns count="12">
    <tableColumn id="2" xr3:uid="{00000000-0010-0000-0000-000002000000}" name="PART NUMBER " dataDxfId="304" totalsRowDxfId="303"/>
    <tableColumn id="3" xr3:uid="{00000000-0010-0000-0000-000003000000}" name="DESCRIPTION " dataDxfId="302" totalsRowDxfId="301"/>
    <tableColumn id="4" xr3:uid="{00000000-0010-0000-0000-000004000000}" name="QTY " dataDxfId="300" totalsRowDxfId="299"/>
    <tableColumn id="5" xr3:uid="{00000000-0010-0000-0000-000005000000}" name="LOCATION " dataDxfId="298" totalsRowDxfId="297"/>
    <tableColumn id="6" xr3:uid="{00000000-0010-0000-0000-000006000000}" name="BIN # " dataDxfId="296" totalsRowDxfId="295"/>
    <tableColumn id="15" xr3:uid="{240E6ABD-3A50-4CA1-8175-8291887A56B2}" name="CONDITION" dataDxfId="294" totalsRowDxfId="293"/>
    <tableColumn id="11" xr3:uid="{D0124D2D-BA2B-4452-88D8-D8F41B060242}" name="SUGGESTED SELL PRICE (MAX) 30%" dataDxfId="292" totalsRowDxfId="291"/>
    <tableColumn id="7" xr3:uid="{0442F41F-7258-49B7-B65E-6287C6C9B9D5}" name="COST $" dataDxfId="290" totalsRowDxfId="289"/>
    <tableColumn id="8" xr3:uid="{F35E777C-D37B-439B-AD76-7D360565A829}" name="SUGGESTED SELL PRICE (MIN) 15%" dataDxfId="288" totalsRowDxfId="287" dataCellStyle="Currency">
      <calculatedColumnFormula>H2 * 1.15</calculatedColumnFormula>
    </tableColumn>
    <tableColumn id="9" xr3:uid="{F486C38D-A0C9-4C7F-A916-F670D6361EEC}" name="SUGGESTED SELL PRICE (MAX) 30%2" dataDxfId="286" totalsRowDxfId="285" dataCellStyle="Currency">
      <calculatedColumnFormula>H2 * 1.3</calculatedColumnFormula>
    </tableColumn>
    <tableColumn id="10" xr3:uid="{76981894-486D-4CDE-B3A6-8AE59C5958B5}" name="COMENT" dataDxfId="284" totalsRowDxfId="283"/>
    <tableColumn id="1" xr3:uid="{C4B29CAB-FEAA-4841-B434-4EA542E4E5F0}" name="Column1" dataDxfId="282" totalsRowDxfId="281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4A34BF-C31A-4502-B738-31B12766B700}" name="Table4" displayName="Table4" ref="A3:O1082" totalsRowShown="0" headerRowDxfId="280" dataDxfId="278" totalsRowDxfId="276" headerRowBorderDxfId="279" tableBorderDxfId="277" totalsRowBorderDxfId="275" headerRowCellStyle="20% - Accent6" dataCellStyle="20% - Accent6">
  <autoFilter ref="A3:O1082" xr:uid="{1B4A34BF-C31A-4502-B738-31B12766B700}">
    <filterColumn colId="13">
      <filters blank="1">
        <filter val="CAJA FOAM"/>
        <filter val="CRATE"/>
        <filter val="jose qotizo 10/17/25"/>
        <filter val="NO SISTEMA  CRATE"/>
        <filter val="NO SISTEMA  CRATE- NO ESTA ARREGLADO"/>
        <filter val="WHEELS JULIO"/>
      </filters>
    </filterColumn>
  </autoFilter>
  <tableColumns count="15">
    <tableColumn id="1" xr3:uid="{DC7F3BF4-E4FE-45AD-B58F-3B7FE76F459F}" name="PN" dataDxfId="274" dataCellStyle="20% - Accent6"/>
    <tableColumn id="2" xr3:uid="{C7D8E392-32D1-46DF-9350-1A88F3902F38}" name="SERIAL" dataDxfId="273" totalsRowDxfId="272" dataCellStyle="20% - Accent6"/>
    <tableColumn id="3" xr3:uid="{57620982-6F94-409A-9092-ECFD1052D16F}" name="DESCRIPTION" dataDxfId="271" totalsRowDxfId="270" dataCellStyle="20% - Accent6"/>
    <tableColumn id="4" xr3:uid="{BF5CFBCF-E95A-4FBC-98FD-BC81F031A1D4}" name="QTY" dataDxfId="269" totalsRowDxfId="268" dataCellStyle="20% - Accent6"/>
    <tableColumn id="5" xr3:uid="{35BAF8B7-8B9F-4129-9854-61A6015A9E63}" name="LOCATION" dataDxfId="267" totalsRowDxfId="266" dataCellStyle="20% - Accent6"/>
    <tableColumn id="6" xr3:uid="{6B69A10E-6D02-4613-B9FC-EB32CEC2E99E}" name="COND" dataDxfId="265" totalsRowDxfId="264" dataCellStyle="20% - Accent6"/>
    <tableColumn id="7" xr3:uid="{FD0B8B7D-58B9-4ACF-A34E-5C2EA84C8E22}" name="TAG DATE" dataDxfId="263" totalsRowDxfId="262" dataCellStyle="20% - Accent6"/>
    <tableColumn id="8" xr3:uid="{0F6D9E1C-AEA3-4257-AE26-549FD61A614A}" name="TALLER" dataDxfId="261" totalsRowDxfId="260" dataCellStyle="20% - Accent6"/>
    <tableColumn id="11" xr3:uid="{67F0F6B3-B4D1-4930-A2C3-1BD831FCD10B}" name="PO COST $ " dataDxfId="259" dataCellStyle="Currency"/>
    <tableColumn id="23" xr3:uid="{E36B2273-0CC5-46B4-91AA-B7A21C10255B}" name="Column1" dataDxfId="258" totalsRowDxfId="257" dataCellStyle="Currency"/>
    <tableColumn id="18" xr3:uid="{73737655-9989-4D44-BC09-004411C402B6}" name="RO COST $ " dataDxfId="256" totalsRowDxfId="255" dataCellStyle="Currency"/>
    <tableColumn id="20" xr3:uid="{68F7DD81-6BC7-4E82-BC43-DC834F3131A1}" name="TOTAL COST " dataDxfId="254" dataCellStyle="Currency">
      <calculatedColumnFormula>IF(OR(I4="", K4=""), I4 + K4, I4 + K4)</calculatedColumnFormula>
    </tableColumn>
    <tableColumn id="19" xr3:uid="{2F93B0A6-CBDC-4DD7-AF51-B606F38DD6F2}" name="QUOTE PRICE " dataDxfId="253" totalsRowDxfId="252" dataCellStyle="Currency"/>
    <tableColumn id="9" xr3:uid="{86FFE246-FD2A-4EE6-847E-796144259FA8}" name="COMMENT" dataDxfId="251" totalsRowDxfId="250"/>
    <tableColumn id="10" xr3:uid="{380572F5-6C10-4927-820B-9232B53F6AD3}" name="8130" dataDxfId="249" totalsRowDxfId="2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A977-2767-47CF-B8BD-3920859AF605}">
  <sheetPr>
    <tabColor rgb="FF92D050"/>
    <pageSetUpPr fitToPage="1"/>
  </sheetPr>
  <dimension ref="A1:N4276"/>
  <sheetViews>
    <sheetView showGridLines="0" zoomScale="98" zoomScaleNormal="98" workbookViewId="0">
      <pane ySplit="1" topLeftCell="A1300" activePane="bottomLeft" state="frozen"/>
      <selection activeCell="M1001" sqref="M1001"/>
      <selection pane="bottomLeft" activeCell="D1313" sqref="D1313"/>
    </sheetView>
  </sheetViews>
  <sheetFormatPr defaultColWidth="6.6640625" defaultRowHeight="24" customHeight="1"/>
  <cols>
    <col min="1" max="1" width="40.5546875" style="54" bestFit="1" customWidth="1"/>
    <col min="2" max="2" width="28.88671875" style="54" bestFit="1" customWidth="1"/>
    <col min="3" max="3" width="9.5546875" style="54" bestFit="1" customWidth="1"/>
    <col min="4" max="4" width="15.109375" style="54" bestFit="1" customWidth="1"/>
    <col min="5" max="5" width="10.5546875" style="54" bestFit="1" customWidth="1"/>
    <col min="6" max="6" width="11.44140625" style="54" customWidth="1"/>
    <col min="7" max="7" width="20.109375" style="699" customWidth="1"/>
    <col min="8" max="8" width="13" style="718" bestFit="1" customWidth="1"/>
    <col min="9" max="9" width="14" style="718" customWidth="1"/>
    <col min="10" max="10" width="13.44140625" style="718" customWidth="1"/>
    <col min="11" max="11" width="28.88671875" style="53" bestFit="1" customWidth="1"/>
    <col min="12" max="12" width="13.44140625" style="52" bestFit="1" customWidth="1"/>
    <col min="13" max="13" width="6.6640625" style="52"/>
    <col min="14" max="14" width="8.88671875" style="52" bestFit="1" customWidth="1"/>
    <col min="15" max="16381" width="6.6640625" style="52"/>
    <col min="16382" max="16384" width="6.6640625" style="52" bestFit="1"/>
  </cols>
  <sheetData>
    <row r="1" spans="1:12" s="473" customFormat="1" ht="37.5" customHeight="1">
      <c r="A1" s="248" t="s">
        <v>0</v>
      </c>
      <c r="B1" s="248" t="s">
        <v>1</v>
      </c>
      <c r="C1" s="248" t="s">
        <v>2</v>
      </c>
      <c r="D1" s="248" t="s">
        <v>3</v>
      </c>
      <c r="E1" s="248" t="s">
        <v>4</v>
      </c>
      <c r="F1" s="248" t="s">
        <v>6</v>
      </c>
      <c r="G1" s="683" t="s">
        <v>8056</v>
      </c>
      <c r="H1" s="705" t="s">
        <v>5</v>
      </c>
      <c r="I1" s="719" t="s">
        <v>8055</v>
      </c>
      <c r="J1" s="720" t="s">
        <v>8066</v>
      </c>
      <c r="K1" s="472" t="s">
        <v>7</v>
      </c>
      <c r="L1" s="248" t="s">
        <v>8</v>
      </c>
    </row>
    <row r="2" spans="1:12" ht="25.5" customHeight="1">
      <c r="A2" s="33">
        <v>387</v>
      </c>
      <c r="B2" s="33" t="s">
        <v>371</v>
      </c>
      <c r="C2" s="33">
        <v>500</v>
      </c>
      <c r="D2" s="33" t="s">
        <v>8109</v>
      </c>
      <c r="E2" s="33">
        <v>1</v>
      </c>
      <c r="F2" s="83"/>
      <c r="G2" s="727"/>
      <c r="H2" s="706">
        <v>1</v>
      </c>
      <c r="I2" s="706">
        <f t="shared" ref="I2:I65" si="0">H2 * 1.15</f>
        <v>1.1499999999999999</v>
      </c>
      <c r="J2" s="706">
        <f t="shared" ref="J2:J65" si="1">H2 * 1.3</f>
        <v>1.3</v>
      </c>
      <c r="K2" s="311"/>
    </row>
    <row r="3" spans="1:12" ht="25.5" customHeight="1">
      <c r="A3" s="11">
        <v>594</v>
      </c>
      <c r="B3" s="11" t="s">
        <v>2855</v>
      </c>
      <c r="C3" s="11">
        <v>19</v>
      </c>
      <c r="D3" s="131" t="s">
        <v>2802</v>
      </c>
      <c r="E3" s="15">
        <v>3</v>
      </c>
      <c r="F3" s="15"/>
      <c r="G3" s="684">
        <v>125</v>
      </c>
      <c r="H3" s="707">
        <v>96.15</v>
      </c>
      <c r="I3" s="707">
        <f t="shared" si="0"/>
        <v>110.57249999999999</v>
      </c>
      <c r="J3" s="707">
        <f t="shared" si="1"/>
        <v>124.99500000000002</v>
      </c>
      <c r="K3" s="70"/>
    </row>
    <row r="4" spans="1:12" ht="25.5" customHeight="1">
      <c r="A4" s="11">
        <v>1308</v>
      </c>
      <c r="B4" s="11" t="s">
        <v>371</v>
      </c>
      <c r="C4" s="11">
        <v>63</v>
      </c>
      <c r="D4" s="131" t="s">
        <v>2882</v>
      </c>
      <c r="E4" s="15">
        <v>3</v>
      </c>
      <c r="F4" s="15"/>
      <c r="G4" s="684">
        <v>8</v>
      </c>
      <c r="H4" s="707">
        <v>6.15</v>
      </c>
      <c r="I4" s="707">
        <f t="shared" si="0"/>
        <v>7.0724999999999998</v>
      </c>
      <c r="J4" s="707">
        <f t="shared" si="1"/>
        <v>7.995000000000001</v>
      </c>
      <c r="K4" s="70"/>
    </row>
    <row r="5" spans="1:12" ht="25.5" customHeight="1">
      <c r="A5" s="33">
        <v>1308</v>
      </c>
      <c r="B5" s="33" t="s">
        <v>371</v>
      </c>
      <c r="C5" s="33">
        <v>90</v>
      </c>
      <c r="D5" s="2" t="s">
        <v>3553</v>
      </c>
      <c r="E5" s="33">
        <v>3</v>
      </c>
      <c r="F5" s="33"/>
      <c r="G5" s="522">
        <v>8</v>
      </c>
      <c r="H5" s="707">
        <v>6.15</v>
      </c>
      <c r="I5" s="707">
        <f t="shared" si="0"/>
        <v>7.0724999999999998</v>
      </c>
      <c r="J5" s="707">
        <f t="shared" si="1"/>
        <v>7.995000000000001</v>
      </c>
      <c r="K5" s="55"/>
    </row>
    <row r="6" spans="1:12" ht="25.5" customHeight="1">
      <c r="A6" s="33">
        <v>1315</v>
      </c>
      <c r="B6" s="33" t="s">
        <v>3281</v>
      </c>
      <c r="C6" s="33">
        <v>30</v>
      </c>
      <c r="D6" s="33" t="s">
        <v>3279</v>
      </c>
      <c r="E6" s="33">
        <v>3</v>
      </c>
      <c r="F6" s="33"/>
      <c r="G6" s="522">
        <v>4</v>
      </c>
      <c r="H6" s="707">
        <v>3.08</v>
      </c>
      <c r="I6" s="707">
        <f t="shared" si="0"/>
        <v>3.5419999999999998</v>
      </c>
      <c r="J6" s="707">
        <f t="shared" si="1"/>
        <v>4.0040000000000004</v>
      </c>
      <c r="K6" s="70"/>
    </row>
    <row r="7" spans="1:12" ht="25.5" customHeight="1">
      <c r="A7" s="59">
        <v>1385</v>
      </c>
      <c r="B7" s="59" t="s">
        <v>371</v>
      </c>
      <c r="C7" s="59">
        <v>10</v>
      </c>
      <c r="D7" s="33" t="s">
        <v>3027</v>
      </c>
      <c r="E7" s="33">
        <v>1</v>
      </c>
      <c r="F7" s="33"/>
      <c r="G7" s="522">
        <v>4</v>
      </c>
      <c r="H7" s="707"/>
      <c r="I7" s="707">
        <f t="shared" si="0"/>
        <v>0</v>
      </c>
      <c r="J7" s="707">
        <f t="shared" si="1"/>
        <v>0</v>
      </c>
      <c r="K7" s="70"/>
    </row>
    <row r="8" spans="1:12" ht="25.5" customHeight="1">
      <c r="A8" s="33">
        <v>1495</v>
      </c>
      <c r="B8" s="33" t="s">
        <v>371</v>
      </c>
      <c r="C8" s="33">
        <v>8</v>
      </c>
      <c r="D8" s="33" t="s">
        <v>992</v>
      </c>
      <c r="E8" s="33">
        <v>3</v>
      </c>
      <c r="F8" s="33"/>
      <c r="G8" s="522">
        <v>1</v>
      </c>
      <c r="H8" s="707"/>
      <c r="I8" s="707">
        <f t="shared" si="0"/>
        <v>0</v>
      </c>
      <c r="J8" s="707">
        <f t="shared" si="1"/>
        <v>0</v>
      </c>
      <c r="K8" s="70"/>
    </row>
    <row r="9" spans="1:12" ht="25.5" customHeight="1">
      <c r="A9" s="33">
        <v>1665</v>
      </c>
      <c r="B9" s="33" t="s">
        <v>2617</v>
      </c>
      <c r="C9" s="33">
        <v>12</v>
      </c>
      <c r="D9" s="33" t="s">
        <v>2540</v>
      </c>
      <c r="E9" s="33">
        <v>2</v>
      </c>
      <c r="F9" s="33"/>
      <c r="G9" s="522">
        <v>1</v>
      </c>
      <c r="H9" s="707">
        <v>5</v>
      </c>
      <c r="I9" s="707">
        <f t="shared" si="0"/>
        <v>5.75</v>
      </c>
      <c r="J9" s="707">
        <f t="shared" si="1"/>
        <v>6.5</v>
      </c>
      <c r="K9" s="70"/>
    </row>
    <row r="10" spans="1:12" ht="25.5" customHeight="1">
      <c r="A10" s="33">
        <v>1864</v>
      </c>
      <c r="B10" s="33" t="s">
        <v>371</v>
      </c>
      <c r="C10" s="33">
        <v>10</v>
      </c>
      <c r="D10" s="2" t="s">
        <v>888</v>
      </c>
      <c r="E10" s="33">
        <v>5</v>
      </c>
      <c r="F10" s="33"/>
      <c r="G10" s="522">
        <v>1</v>
      </c>
      <c r="H10" s="707">
        <v>0.77</v>
      </c>
      <c r="I10" s="707">
        <f t="shared" si="0"/>
        <v>0.88549999999999995</v>
      </c>
      <c r="J10" s="707">
        <f t="shared" si="1"/>
        <v>1.0010000000000001</v>
      </c>
      <c r="K10" s="55"/>
    </row>
    <row r="11" spans="1:12" ht="25.5" customHeight="1">
      <c r="A11" s="33">
        <v>1864</v>
      </c>
      <c r="B11" s="33" t="s">
        <v>371</v>
      </c>
      <c r="C11" s="33">
        <v>90</v>
      </c>
      <c r="D11" s="2" t="s">
        <v>3553</v>
      </c>
      <c r="E11" s="33">
        <v>3</v>
      </c>
      <c r="F11" s="33"/>
      <c r="G11" s="522">
        <v>1</v>
      </c>
      <c r="H11" s="707">
        <v>0.77</v>
      </c>
      <c r="I11" s="707">
        <f t="shared" si="0"/>
        <v>0.88549999999999995</v>
      </c>
      <c r="J11" s="707">
        <f t="shared" si="1"/>
        <v>1.0010000000000001</v>
      </c>
      <c r="K11" s="55"/>
    </row>
    <row r="12" spans="1:12" ht="25.5" customHeight="1">
      <c r="A12" s="2">
        <v>1891</v>
      </c>
      <c r="B12" s="2" t="s">
        <v>371</v>
      </c>
      <c r="C12" s="2">
        <v>2</v>
      </c>
      <c r="D12" s="2" t="s">
        <v>3705</v>
      </c>
      <c r="E12" s="33">
        <v>3</v>
      </c>
      <c r="F12" s="33"/>
      <c r="G12" s="522">
        <v>0.25</v>
      </c>
      <c r="H12" s="707"/>
      <c r="I12" s="707">
        <f t="shared" si="0"/>
        <v>0</v>
      </c>
      <c r="J12" s="707">
        <f t="shared" si="1"/>
        <v>0</v>
      </c>
      <c r="K12" s="55"/>
    </row>
    <row r="13" spans="1:12" ht="25.5" customHeight="1">
      <c r="A13" s="74">
        <v>2233</v>
      </c>
      <c r="B13" s="74" t="s">
        <v>371</v>
      </c>
      <c r="C13" s="74">
        <v>10</v>
      </c>
      <c r="D13" s="33" t="s">
        <v>1548</v>
      </c>
      <c r="E13" s="33">
        <v>5</v>
      </c>
      <c r="F13" s="33"/>
      <c r="G13" s="522">
        <v>2</v>
      </c>
      <c r="H13" s="707">
        <v>1.54</v>
      </c>
      <c r="I13" s="707">
        <f t="shared" si="0"/>
        <v>1.7709999999999999</v>
      </c>
      <c r="J13" s="707">
        <f t="shared" si="1"/>
        <v>2.0020000000000002</v>
      </c>
      <c r="K13" s="70"/>
    </row>
    <row r="14" spans="1:12" ht="25.5" customHeight="1">
      <c r="A14" s="33">
        <v>2393</v>
      </c>
      <c r="B14" s="33" t="s">
        <v>1352</v>
      </c>
      <c r="C14" s="33">
        <v>20</v>
      </c>
      <c r="D14" s="33" t="s">
        <v>3053</v>
      </c>
      <c r="E14" s="33">
        <v>2</v>
      </c>
      <c r="F14" s="33"/>
      <c r="G14" s="522">
        <v>525</v>
      </c>
      <c r="H14" s="707"/>
      <c r="I14" s="707">
        <f t="shared" si="0"/>
        <v>0</v>
      </c>
      <c r="J14" s="707">
        <f t="shared" si="1"/>
        <v>0</v>
      </c>
      <c r="K14" s="70"/>
    </row>
    <row r="15" spans="1:12" ht="25.5" customHeight="1">
      <c r="A15" s="65">
        <v>3011</v>
      </c>
      <c r="B15" s="68" t="s">
        <v>371</v>
      </c>
      <c r="C15" s="65">
        <v>19</v>
      </c>
      <c r="D15" s="2" t="s">
        <v>536</v>
      </c>
      <c r="E15" s="33">
        <v>5</v>
      </c>
      <c r="F15" s="33"/>
      <c r="G15" s="522">
        <v>2.5</v>
      </c>
      <c r="H15" s="707">
        <v>1.92</v>
      </c>
      <c r="I15" s="707">
        <f t="shared" si="0"/>
        <v>2.2079999999999997</v>
      </c>
      <c r="J15" s="707">
        <f t="shared" si="1"/>
        <v>2.496</v>
      </c>
      <c r="K15" s="70"/>
    </row>
    <row r="16" spans="1:12" ht="25.5" customHeight="1">
      <c r="A16" s="33">
        <v>3346</v>
      </c>
      <c r="B16" s="33" t="s">
        <v>665</v>
      </c>
      <c r="C16" s="33">
        <v>2</v>
      </c>
      <c r="D16" s="33" t="s">
        <v>910</v>
      </c>
      <c r="E16" s="33">
        <v>1</v>
      </c>
      <c r="F16" s="33"/>
      <c r="G16" s="522">
        <v>25</v>
      </c>
      <c r="H16" s="707"/>
      <c r="I16" s="707">
        <f t="shared" si="0"/>
        <v>0</v>
      </c>
      <c r="J16" s="707">
        <f t="shared" si="1"/>
        <v>0</v>
      </c>
      <c r="K16" s="70"/>
    </row>
    <row r="17" spans="1:11" ht="25.5" customHeight="1">
      <c r="A17" s="33">
        <v>3625</v>
      </c>
      <c r="B17" s="33" t="s">
        <v>474</v>
      </c>
      <c r="C17" s="33">
        <v>1</v>
      </c>
      <c r="D17" s="33" t="s">
        <v>3348</v>
      </c>
      <c r="E17" s="33">
        <v>4</v>
      </c>
      <c r="F17" s="33"/>
      <c r="G17" s="522">
        <v>45</v>
      </c>
      <c r="H17" s="707"/>
      <c r="I17" s="707">
        <f t="shared" si="0"/>
        <v>0</v>
      </c>
      <c r="J17" s="707">
        <f t="shared" si="1"/>
        <v>0</v>
      </c>
      <c r="K17" s="70"/>
    </row>
    <row r="18" spans="1:11" ht="25.5" customHeight="1">
      <c r="A18" s="11">
        <v>4551</v>
      </c>
      <c r="B18" s="11" t="s">
        <v>371</v>
      </c>
      <c r="C18" s="11">
        <v>21</v>
      </c>
      <c r="D18" s="131" t="s">
        <v>2716</v>
      </c>
      <c r="E18" s="15">
        <v>2</v>
      </c>
      <c r="F18" s="15"/>
      <c r="G18" s="684">
        <v>22</v>
      </c>
      <c r="H18" s="707">
        <v>16.920000000000002</v>
      </c>
      <c r="I18" s="707">
        <f t="shared" si="0"/>
        <v>19.458000000000002</v>
      </c>
      <c r="J18" s="707">
        <f t="shared" si="1"/>
        <v>21.996000000000002</v>
      </c>
      <c r="K18" s="70"/>
    </row>
    <row r="19" spans="1:11" ht="25.5" customHeight="1">
      <c r="A19" s="11">
        <v>4551</v>
      </c>
      <c r="B19" s="11" t="s">
        <v>371</v>
      </c>
      <c r="C19" s="11">
        <v>1</v>
      </c>
      <c r="D19" s="131" t="s">
        <v>2916</v>
      </c>
      <c r="E19" s="15">
        <v>5</v>
      </c>
      <c r="F19" s="15"/>
      <c r="G19" s="684">
        <v>22</v>
      </c>
      <c r="H19" s="707">
        <v>16.920000000000002</v>
      </c>
      <c r="I19" s="707">
        <f t="shared" si="0"/>
        <v>19.458000000000002</v>
      </c>
      <c r="J19" s="707">
        <f t="shared" si="1"/>
        <v>21.996000000000002</v>
      </c>
      <c r="K19" s="70"/>
    </row>
    <row r="20" spans="1:11" ht="25.5" customHeight="1">
      <c r="A20" s="33">
        <v>4551</v>
      </c>
      <c r="B20" s="33" t="s">
        <v>371</v>
      </c>
      <c r="C20" s="33">
        <v>10</v>
      </c>
      <c r="D20" s="2" t="s">
        <v>3553</v>
      </c>
      <c r="E20" s="33">
        <v>3</v>
      </c>
      <c r="F20" s="33"/>
      <c r="G20" s="522">
        <v>22</v>
      </c>
      <c r="H20" s="707">
        <v>16.920000000000002</v>
      </c>
      <c r="I20" s="707">
        <f t="shared" si="0"/>
        <v>19.458000000000002</v>
      </c>
      <c r="J20" s="707">
        <f t="shared" si="1"/>
        <v>21.996000000000002</v>
      </c>
      <c r="K20" s="55"/>
    </row>
    <row r="21" spans="1:11" ht="25.5" customHeight="1">
      <c r="A21" s="33">
        <v>4554</v>
      </c>
      <c r="B21" s="33" t="s">
        <v>371</v>
      </c>
      <c r="C21" s="33">
        <v>10</v>
      </c>
      <c r="D21" s="2" t="s">
        <v>3566</v>
      </c>
      <c r="E21" s="33">
        <v>5</v>
      </c>
      <c r="F21" s="33"/>
      <c r="G21" s="522">
        <v>25</v>
      </c>
      <c r="H21" s="707">
        <v>19.23</v>
      </c>
      <c r="I21" s="707">
        <f t="shared" si="0"/>
        <v>22.1145</v>
      </c>
      <c r="J21" s="707">
        <f t="shared" si="1"/>
        <v>24.999000000000002</v>
      </c>
      <c r="K21" s="55"/>
    </row>
    <row r="22" spans="1:11" ht="25.5" customHeight="1">
      <c r="A22" s="17">
        <v>4589</v>
      </c>
      <c r="B22" s="17" t="s">
        <v>371</v>
      </c>
      <c r="C22" s="17">
        <v>15</v>
      </c>
      <c r="D22" s="131" t="s">
        <v>1681</v>
      </c>
      <c r="E22" s="15">
        <v>2</v>
      </c>
      <c r="F22" s="15"/>
      <c r="G22" s="684">
        <v>10</v>
      </c>
      <c r="H22" s="707">
        <v>7.69</v>
      </c>
      <c r="I22" s="707">
        <f t="shared" si="0"/>
        <v>8.8435000000000006</v>
      </c>
      <c r="J22" s="707">
        <f t="shared" si="1"/>
        <v>9.9970000000000017</v>
      </c>
      <c r="K22" s="70"/>
    </row>
    <row r="23" spans="1:11" ht="25.5" customHeight="1">
      <c r="A23" s="11">
        <v>4635</v>
      </c>
      <c r="B23" s="11" t="s">
        <v>371</v>
      </c>
      <c r="C23" s="11">
        <v>1</v>
      </c>
      <c r="D23" s="131" t="s">
        <v>1898</v>
      </c>
      <c r="E23" s="15">
        <v>5</v>
      </c>
      <c r="F23" s="15"/>
      <c r="G23" s="684">
        <v>25</v>
      </c>
      <c r="H23" s="707">
        <v>0</v>
      </c>
      <c r="I23" s="707">
        <f t="shared" si="0"/>
        <v>0</v>
      </c>
      <c r="J23" s="707">
        <f t="shared" si="1"/>
        <v>0</v>
      </c>
      <c r="K23" s="70"/>
    </row>
    <row r="24" spans="1:11" ht="25.5" customHeight="1">
      <c r="A24" s="74">
        <v>4811</v>
      </c>
      <c r="B24" s="74" t="s">
        <v>779</v>
      </c>
      <c r="C24" s="74">
        <v>1</v>
      </c>
      <c r="D24" s="33" t="s">
        <v>2111</v>
      </c>
      <c r="E24" s="33">
        <v>2</v>
      </c>
      <c r="F24" s="33"/>
      <c r="G24" s="522">
        <v>10</v>
      </c>
      <c r="H24" s="707"/>
      <c r="I24" s="707">
        <f t="shared" si="0"/>
        <v>0</v>
      </c>
      <c r="J24" s="707">
        <f t="shared" si="1"/>
        <v>0</v>
      </c>
      <c r="K24" s="70"/>
    </row>
    <row r="25" spans="1:11" ht="25.5" customHeight="1">
      <c r="A25" s="2">
        <v>6839</v>
      </c>
      <c r="B25" s="2" t="s">
        <v>371</v>
      </c>
      <c r="C25" s="2">
        <v>480</v>
      </c>
      <c r="D25" s="2" t="s">
        <v>1785</v>
      </c>
      <c r="E25" s="33">
        <v>3</v>
      </c>
      <c r="F25" s="33"/>
      <c r="G25" s="522">
        <v>1</v>
      </c>
      <c r="H25" s="707">
        <v>0.77</v>
      </c>
      <c r="I25" s="707">
        <f t="shared" si="0"/>
        <v>0.88549999999999995</v>
      </c>
      <c r="J25" s="707">
        <f t="shared" si="1"/>
        <v>1.0010000000000001</v>
      </c>
      <c r="K25" s="70"/>
    </row>
    <row r="26" spans="1:11" ht="25.5" customHeight="1">
      <c r="A26" s="3">
        <v>7732</v>
      </c>
      <c r="B26" s="3" t="s">
        <v>371</v>
      </c>
      <c r="C26" s="3">
        <v>71</v>
      </c>
      <c r="D26" s="58" t="s">
        <v>2802</v>
      </c>
      <c r="E26" s="33">
        <v>2</v>
      </c>
      <c r="F26" s="33"/>
      <c r="G26" s="522"/>
      <c r="H26" s="707"/>
      <c r="I26" s="707">
        <f t="shared" si="0"/>
        <v>0</v>
      </c>
      <c r="J26" s="707">
        <f t="shared" si="1"/>
        <v>0</v>
      </c>
      <c r="K26" s="70"/>
    </row>
    <row r="27" spans="1:11" ht="25.5" customHeight="1">
      <c r="A27" s="33">
        <v>7839</v>
      </c>
      <c r="B27" s="33" t="s">
        <v>371</v>
      </c>
      <c r="C27" s="33">
        <v>90</v>
      </c>
      <c r="D27" s="33" t="s">
        <v>3279</v>
      </c>
      <c r="E27" s="33">
        <v>3</v>
      </c>
      <c r="F27" s="33"/>
      <c r="G27" s="522"/>
      <c r="H27" s="707">
        <v>1</v>
      </c>
      <c r="I27" s="707">
        <f t="shared" si="0"/>
        <v>1.1499999999999999</v>
      </c>
      <c r="J27" s="707">
        <f t="shared" si="1"/>
        <v>1.3</v>
      </c>
      <c r="K27" s="70"/>
    </row>
    <row r="28" spans="1:11" ht="25.5" customHeight="1">
      <c r="A28" s="33">
        <v>10730</v>
      </c>
      <c r="B28" s="33" t="s">
        <v>1225</v>
      </c>
      <c r="C28" s="33">
        <v>2</v>
      </c>
      <c r="D28" s="33" t="s">
        <v>1201</v>
      </c>
      <c r="E28" s="33">
        <v>3</v>
      </c>
      <c r="F28" s="33"/>
      <c r="G28" s="522"/>
      <c r="H28" s="707">
        <v>150</v>
      </c>
      <c r="I28" s="707">
        <f t="shared" si="0"/>
        <v>172.5</v>
      </c>
      <c r="J28" s="707">
        <f t="shared" si="1"/>
        <v>195</v>
      </c>
      <c r="K28" s="70"/>
    </row>
    <row r="29" spans="1:11" ht="25.5" customHeight="1">
      <c r="A29" s="17">
        <v>12617</v>
      </c>
      <c r="B29" s="17" t="s">
        <v>637</v>
      </c>
      <c r="C29" s="17">
        <v>4</v>
      </c>
      <c r="D29" s="131" t="s">
        <v>2882</v>
      </c>
      <c r="E29" s="15">
        <v>2</v>
      </c>
      <c r="F29" s="15" t="s">
        <v>2900</v>
      </c>
      <c r="G29" s="684"/>
      <c r="H29" s="708"/>
      <c r="I29" s="707">
        <f t="shared" si="0"/>
        <v>0</v>
      </c>
      <c r="J29" s="708">
        <f t="shared" si="1"/>
        <v>0</v>
      </c>
      <c r="K29" s="70" t="s">
        <v>549</v>
      </c>
    </row>
    <row r="30" spans="1:11" ht="25.5" customHeight="1">
      <c r="A30" s="33">
        <v>13889</v>
      </c>
      <c r="B30" s="33" t="s">
        <v>272</v>
      </c>
      <c r="C30" s="33">
        <v>10</v>
      </c>
      <c r="D30" s="33" t="s">
        <v>1494</v>
      </c>
      <c r="E30" s="33">
        <v>2</v>
      </c>
      <c r="F30" s="33"/>
      <c r="G30" s="522"/>
      <c r="H30" s="707">
        <v>30</v>
      </c>
      <c r="I30" s="707">
        <f t="shared" si="0"/>
        <v>34.5</v>
      </c>
      <c r="J30" s="707">
        <f t="shared" si="1"/>
        <v>39</v>
      </c>
      <c r="K30" s="70"/>
    </row>
    <row r="31" spans="1:11" ht="25.5" customHeight="1">
      <c r="A31" s="33">
        <v>15401</v>
      </c>
      <c r="B31" s="33" t="s">
        <v>147</v>
      </c>
      <c r="C31" s="33">
        <v>19</v>
      </c>
      <c r="D31" s="2" t="s">
        <v>188</v>
      </c>
      <c r="E31" s="33">
        <v>5</v>
      </c>
      <c r="F31" s="33"/>
      <c r="G31" s="522"/>
      <c r="H31" s="707"/>
      <c r="I31" s="707">
        <f t="shared" si="0"/>
        <v>0</v>
      </c>
      <c r="J31" s="707">
        <f t="shared" si="1"/>
        <v>0</v>
      </c>
      <c r="K31" s="70"/>
    </row>
    <row r="32" spans="1:11" ht="25.5" customHeight="1">
      <c r="A32" s="33">
        <v>15585</v>
      </c>
      <c r="B32" s="33" t="s">
        <v>1367</v>
      </c>
      <c r="C32" s="33">
        <v>1</v>
      </c>
      <c r="D32" s="33" t="s">
        <v>1325</v>
      </c>
      <c r="E32" s="33">
        <v>2</v>
      </c>
      <c r="F32" s="33"/>
      <c r="G32" s="522"/>
      <c r="H32" s="707"/>
      <c r="I32" s="707">
        <f t="shared" si="0"/>
        <v>0</v>
      </c>
      <c r="J32" s="707">
        <f t="shared" si="1"/>
        <v>0</v>
      </c>
      <c r="K32" s="70"/>
    </row>
    <row r="33" spans="1:11" ht="25.5" customHeight="1">
      <c r="A33" s="33">
        <v>15585</v>
      </c>
      <c r="B33" s="33" t="s">
        <v>1367</v>
      </c>
      <c r="C33" s="33">
        <v>1</v>
      </c>
      <c r="D33" s="33" t="s">
        <v>2540</v>
      </c>
      <c r="E33" s="33">
        <v>2</v>
      </c>
      <c r="F33" s="33"/>
      <c r="G33" s="522"/>
      <c r="H33" s="707"/>
      <c r="I33" s="707">
        <f t="shared" si="0"/>
        <v>0</v>
      </c>
      <c r="J33" s="707">
        <f t="shared" si="1"/>
        <v>0</v>
      </c>
      <c r="K33" s="70"/>
    </row>
    <row r="34" spans="1:11" ht="25.5" customHeight="1">
      <c r="A34" s="33">
        <v>16288</v>
      </c>
      <c r="B34" s="33" t="s">
        <v>2391</v>
      </c>
      <c r="C34" s="33">
        <v>2</v>
      </c>
      <c r="D34" s="33" t="s">
        <v>2363</v>
      </c>
      <c r="E34" s="33">
        <v>3</v>
      </c>
      <c r="F34" s="33"/>
      <c r="G34" s="522"/>
      <c r="H34" s="707">
        <v>60</v>
      </c>
      <c r="I34" s="707">
        <f t="shared" si="0"/>
        <v>69</v>
      </c>
      <c r="J34" s="707">
        <f t="shared" si="1"/>
        <v>78</v>
      </c>
      <c r="K34" s="70"/>
    </row>
    <row r="35" spans="1:11" ht="25.5" hidden="1" customHeight="1">
      <c r="A35" s="33">
        <v>20778</v>
      </c>
      <c r="B35" s="305" t="s">
        <v>58</v>
      </c>
      <c r="C35" s="305">
        <v>0</v>
      </c>
      <c r="D35" s="306" t="s">
        <v>274</v>
      </c>
      <c r="E35" s="305">
        <v>2</v>
      </c>
      <c r="F35" s="305"/>
      <c r="G35" s="685"/>
      <c r="H35" s="307"/>
      <c r="I35" s="307">
        <f t="shared" si="0"/>
        <v>0</v>
      </c>
      <c r="J35" s="307">
        <f t="shared" si="1"/>
        <v>0</v>
      </c>
      <c r="K35" s="70" t="s">
        <v>8107</v>
      </c>
    </row>
    <row r="36" spans="1:11" ht="25.5" hidden="1" customHeight="1">
      <c r="A36" s="33">
        <v>20779</v>
      </c>
      <c r="B36" s="305" t="s">
        <v>58</v>
      </c>
      <c r="C36" s="305">
        <v>0</v>
      </c>
      <c r="D36" s="306" t="s">
        <v>274</v>
      </c>
      <c r="E36" s="305">
        <v>2</v>
      </c>
      <c r="F36" s="305"/>
      <c r="G36" s="685"/>
      <c r="H36" s="307"/>
      <c r="I36" s="307">
        <f t="shared" si="0"/>
        <v>0</v>
      </c>
      <c r="J36" s="307">
        <f t="shared" si="1"/>
        <v>0</v>
      </c>
      <c r="K36" s="70" t="s">
        <v>8108</v>
      </c>
    </row>
    <row r="37" spans="1:11" ht="25.5" customHeight="1">
      <c r="A37" s="33">
        <v>16827</v>
      </c>
      <c r="B37" s="33" t="s">
        <v>1404</v>
      </c>
      <c r="C37" s="33">
        <v>1</v>
      </c>
      <c r="D37" s="33" t="s">
        <v>1372</v>
      </c>
      <c r="E37" s="33">
        <v>4</v>
      </c>
      <c r="F37" s="33"/>
      <c r="G37" s="522"/>
      <c r="H37" s="707">
        <v>100</v>
      </c>
      <c r="I37" s="707">
        <f t="shared" si="0"/>
        <v>114.99999999999999</v>
      </c>
      <c r="J37" s="707">
        <f t="shared" si="1"/>
        <v>130</v>
      </c>
      <c r="K37" s="70"/>
    </row>
    <row r="38" spans="1:11" ht="25.5" customHeight="1">
      <c r="A38" s="33">
        <v>20780</v>
      </c>
      <c r="B38" s="71" t="s">
        <v>350</v>
      </c>
      <c r="C38" s="71">
        <v>4</v>
      </c>
      <c r="D38" s="2" t="s">
        <v>274</v>
      </c>
      <c r="E38" s="71">
        <v>1</v>
      </c>
      <c r="F38" s="71"/>
      <c r="G38" s="686"/>
      <c r="H38" s="709"/>
      <c r="I38" s="709">
        <f t="shared" si="0"/>
        <v>0</v>
      </c>
      <c r="J38" s="709">
        <f t="shared" si="1"/>
        <v>0</v>
      </c>
      <c r="K38" s="70" t="s">
        <v>368</v>
      </c>
    </row>
    <row r="39" spans="1:11" ht="25.5" customHeight="1">
      <c r="A39" s="17">
        <v>20782</v>
      </c>
      <c r="B39" s="17" t="s">
        <v>7994</v>
      </c>
      <c r="C39" s="17">
        <v>3</v>
      </c>
      <c r="D39" s="131" t="s">
        <v>1723</v>
      </c>
      <c r="E39" s="15">
        <v>2</v>
      </c>
      <c r="F39" s="15"/>
      <c r="G39" s="684"/>
      <c r="H39" s="707"/>
      <c r="I39" s="707">
        <f t="shared" si="0"/>
        <v>0</v>
      </c>
      <c r="J39" s="707">
        <f t="shared" si="1"/>
        <v>0</v>
      </c>
      <c r="K39" s="70" t="s">
        <v>368</v>
      </c>
    </row>
    <row r="40" spans="1:11" ht="25.5" customHeight="1">
      <c r="A40" s="33">
        <v>34040</v>
      </c>
      <c r="B40" s="33" t="s">
        <v>1519</v>
      </c>
      <c r="C40" s="33">
        <v>1</v>
      </c>
      <c r="D40" s="33" t="s">
        <v>1494</v>
      </c>
      <c r="E40" s="33">
        <v>2</v>
      </c>
      <c r="F40" s="33"/>
      <c r="G40" s="522"/>
      <c r="H40" s="707"/>
      <c r="I40" s="707">
        <f t="shared" si="0"/>
        <v>0</v>
      </c>
      <c r="J40" s="707">
        <f t="shared" si="1"/>
        <v>0</v>
      </c>
      <c r="K40" s="70"/>
    </row>
    <row r="41" spans="1:11" ht="25.5" customHeight="1">
      <c r="A41" s="33">
        <v>40725</v>
      </c>
      <c r="B41" s="33" t="s">
        <v>1030</v>
      </c>
      <c r="C41" s="33">
        <v>1</v>
      </c>
      <c r="D41" s="33" t="s">
        <v>2363</v>
      </c>
      <c r="E41" s="33">
        <v>5</v>
      </c>
      <c r="F41" s="33"/>
      <c r="G41" s="522"/>
      <c r="H41" s="707"/>
      <c r="I41" s="707">
        <f t="shared" si="0"/>
        <v>0</v>
      </c>
      <c r="J41" s="707">
        <f t="shared" si="1"/>
        <v>0</v>
      </c>
      <c r="K41" s="70"/>
    </row>
    <row r="42" spans="1:11" ht="25.5" customHeight="1">
      <c r="A42" s="11">
        <v>40726</v>
      </c>
      <c r="B42" s="11" t="s">
        <v>2290</v>
      </c>
      <c r="C42" s="11">
        <v>276</v>
      </c>
      <c r="D42" s="131" t="s">
        <v>2802</v>
      </c>
      <c r="E42" s="15">
        <v>3</v>
      </c>
      <c r="F42" s="15"/>
      <c r="G42" s="684"/>
      <c r="H42" s="707">
        <v>5</v>
      </c>
      <c r="I42" s="707">
        <f t="shared" si="0"/>
        <v>5.75</v>
      </c>
      <c r="J42" s="707">
        <f t="shared" si="1"/>
        <v>6.5</v>
      </c>
      <c r="K42" s="70"/>
    </row>
    <row r="43" spans="1:11" ht="25.5" customHeight="1">
      <c r="A43" s="58">
        <v>43046</v>
      </c>
      <c r="B43" s="17" t="s">
        <v>2871</v>
      </c>
      <c r="C43" s="17">
        <v>5</v>
      </c>
      <c r="D43" s="131" t="s">
        <v>2868</v>
      </c>
      <c r="E43" s="15">
        <v>4</v>
      </c>
      <c r="F43" s="15"/>
      <c r="G43" s="684"/>
      <c r="H43" s="707"/>
      <c r="I43" s="707">
        <f t="shared" si="0"/>
        <v>0</v>
      </c>
      <c r="J43" s="707">
        <f t="shared" si="1"/>
        <v>0</v>
      </c>
      <c r="K43" s="70"/>
    </row>
    <row r="44" spans="1:11" ht="25.5" customHeight="1">
      <c r="A44" s="2">
        <v>44066</v>
      </c>
      <c r="B44" s="2" t="s">
        <v>81</v>
      </c>
      <c r="C44" s="2">
        <v>18</v>
      </c>
      <c r="D44" s="2" t="s">
        <v>3671</v>
      </c>
      <c r="E44" s="33">
        <v>2</v>
      </c>
      <c r="F44" s="33"/>
      <c r="G44" s="522"/>
      <c r="H44" s="707">
        <v>12</v>
      </c>
      <c r="I44" s="707">
        <f t="shared" si="0"/>
        <v>13.799999999999999</v>
      </c>
      <c r="J44" s="707">
        <f t="shared" si="1"/>
        <v>15.600000000000001</v>
      </c>
      <c r="K44" s="70"/>
    </row>
    <row r="45" spans="1:11" ht="25.5" customHeight="1">
      <c r="A45" s="2">
        <v>52712</v>
      </c>
      <c r="B45" s="2" t="s">
        <v>34</v>
      </c>
      <c r="C45" s="2">
        <v>1</v>
      </c>
      <c r="D45" s="2" t="s">
        <v>3618</v>
      </c>
      <c r="E45" s="33">
        <v>5</v>
      </c>
      <c r="F45" s="33"/>
      <c r="G45" s="522"/>
      <c r="H45" s="707"/>
      <c r="I45" s="707">
        <f t="shared" si="0"/>
        <v>0</v>
      </c>
      <c r="J45" s="707">
        <f t="shared" si="1"/>
        <v>0</v>
      </c>
      <c r="K45" s="55"/>
    </row>
    <row r="46" spans="1:11" ht="25.5" customHeight="1">
      <c r="A46" s="33">
        <v>56445</v>
      </c>
      <c r="B46" s="305" t="s">
        <v>413</v>
      </c>
      <c r="C46" s="305">
        <v>1</v>
      </c>
      <c r="D46" s="306" t="s">
        <v>274</v>
      </c>
      <c r="E46" s="305">
        <v>2</v>
      </c>
      <c r="F46" s="305"/>
      <c r="G46" s="685"/>
      <c r="H46" s="710"/>
      <c r="I46" s="710">
        <f t="shared" si="0"/>
        <v>0</v>
      </c>
      <c r="J46" s="710">
        <f t="shared" si="1"/>
        <v>0</v>
      </c>
      <c r="K46" s="70" t="s">
        <v>368</v>
      </c>
    </row>
    <row r="47" spans="1:11" ht="25.5" customHeight="1">
      <c r="A47" s="74">
        <v>57974</v>
      </c>
      <c r="B47" s="74" t="s">
        <v>1468</v>
      </c>
      <c r="C47" s="74">
        <v>1</v>
      </c>
      <c r="D47" s="33" t="s">
        <v>1372</v>
      </c>
      <c r="E47" s="33">
        <v>5</v>
      </c>
      <c r="F47" s="33"/>
      <c r="G47" s="522"/>
      <c r="H47" s="707"/>
      <c r="I47" s="707">
        <f t="shared" si="0"/>
        <v>0</v>
      </c>
      <c r="J47" s="707">
        <f t="shared" si="1"/>
        <v>0</v>
      </c>
      <c r="K47" s="70"/>
    </row>
    <row r="48" spans="1:11" ht="25.5" customHeight="1">
      <c r="A48" s="11">
        <v>64621</v>
      </c>
      <c r="B48" s="11" t="s">
        <v>371</v>
      </c>
      <c r="C48" s="11">
        <v>50</v>
      </c>
      <c r="D48" s="131" t="s">
        <v>1898</v>
      </c>
      <c r="E48" s="15">
        <v>5</v>
      </c>
      <c r="F48" s="15"/>
      <c r="G48" s="684"/>
      <c r="H48" s="707">
        <v>10</v>
      </c>
      <c r="I48" s="707">
        <f t="shared" si="0"/>
        <v>11.5</v>
      </c>
      <c r="J48" s="707">
        <f t="shared" si="1"/>
        <v>13</v>
      </c>
      <c r="K48" s="70"/>
    </row>
    <row r="49" spans="1:11" ht="25.5" customHeight="1">
      <c r="A49" s="17">
        <v>108683</v>
      </c>
      <c r="B49" s="17" t="s">
        <v>2908</v>
      </c>
      <c r="C49" s="17">
        <v>8</v>
      </c>
      <c r="D49" s="131" t="s">
        <v>2882</v>
      </c>
      <c r="E49" s="15">
        <v>2</v>
      </c>
      <c r="F49" s="15"/>
      <c r="G49" s="684"/>
      <c r="H49" s="708"/>
      <c r="I49" s="707">
        <f t="shared" si="0"/>
        <v>0</v>
      </c>
      <c r="J49" s="708">
        <f t="shared" si="1"/>
        <v>0</v>
      </c>
      <c r="K49" s="70"/>
    </row>
    <row r="50" spans="1:11" ht="25.5" hidden="1" customHeight="1">
      <c r="A50" s="2">
        <v>123814</v>
      </c>
      <c r="B50" s="2" t="s">
        <v>83</v>
      </c>
      <c r="C50" s="2">
        <v>1</v>
      </c>
      <c r="D50" s="2" t="s">
        <v>3671</v>
      </c>
      <c r="E50" s="33">
        <v>2</v>
      </c>
      <c r="F50" s="314" t="s">
        <v>3683</v>
      </c>
      <c r="G50" s="315"/>
      <c r="H50" s="56"/>
      <c r="I50" s="56">
        <f t="shared" si="0"/>
        <v>0</v>
      </c>
      <c r="J50" s="56">
        <f t="shared" si="1"/>
        <v>0</v>
      </c>
      <c r="K50" s="315" t="s">
        <v>3684</v>
      </c>
    </row>
    <row r="51" spans="1:11" ht="25.5" customHeight="1">
      <c r="A51" s="11">
        <v>118075</v>
      </c>
      <c r="B51" s="11" t="s">
        <v>3461</v>
      </c>
      <c r="C51" s="11">
        <v>1</v>
      </c>
      <c r="D51" s="131" t="s">
        <v>3451</v>
      </c>
      <c r="E51" s="15">
        <v>2</v>
      </c>
      <c r="F51" s="15"/>
      <c r="G51" s="684"/>
      <c r="H51" s="707">
        <v>400</v>
      </c>
      <c r="I51" s="707">
        <f t="shared" si="0"/>
        <v>459.99999999999994</v>
      </c>
      <c r="J51" s="707">
        <f t="shared" si="1"/>
        <v>520</v>
      </c>
      <c r="K51" s="70"/>
    </row>
    <row r="52" spans="1:11" ht="25.5" customHeight="1">
      <c r="A52" s="33">
        <v>129356</v>
      </c>
      <c r="B52" s="33" t="s">
        <v>137</v>
      </c>
      <c r="C52" s="33">
        <v>3</v>
      </c>
      <c r="D52" s="33" t="s">
        <v>1201</v>
      </c>
      <c r="E52" s="33">
        <v>4</v>
      </c>
      <c r="F52" s="33"/>
      <c r="G52" s="522"/>
      <c r="H52" s="707"/>
      <c r="I52" s="707">
        <f t="shared" si="0"/>
        <v>0</v>
      </c>
      <c r="J52" s="707">
        <f t="shared" si="1"/>
        <v>0</v>
      </c>
      <c r="K52" s="70"/>
    </row>
    <row r="53" spans="1:11" ht="25.5" customHeight="1">
      <c r="A53" s="11">
        <v>140342</v>
      </c>
      <c r="B53" s="34" t="s">
        <v>1778</v>
      </c>
      <c r="C53" s="11">
        <v>1</v>
      </c>
      <c r="D53" s="33" t="s">
        <v>3053</v>
      </c>
      <c r="E53" s="17">
        <v>2</v>
      </c>
      <c r="F53" s="17"/>
      <c r="G53" s="687"/>
      <c r="H53" s="707"/>
      <c r="I53" s="707">
        <f t="shared" si="0"/>
        <v>0</v>
      </c>
      <c r="J53" s="707">
        <f t="shared" si="1"/>
        <v>0</v>
      </c>
      <c r="K53" s="70"/>
    </row>
    <row r="54" spans="1:11" ht="25.5" customHeight="1">
      <c r="A54" s="33">
        <v>143672</v>
      </c>
      <c r="B54" s="71" t="s">
        <v>3185</v>
      </c>
      <c r="C54" s="71">
        <v>1</v>
      </c>
      <c r="D54" s="33" t="s">
        <v>3053</v>
      </c>
      <c r="E54" s="71">
        <v>4</v>
      </c>
      <c r="F54" s="71"/>
      <c r="G54" s="686"/>
      <c r="H54" s="707"/>
      <c r="I54" s="707">
        <f t="shared" si="0"/>
        <v>0</v>
      </c>
      <c r="J54" s="707">
        <f t="shared" si="1"/>
        <v>0</v>
      </c>
      <c r="K54" s="70"/>
    </row>
    <row r="55" spans="1:11" ht="25.5" customHeight="1">
      <c r="A55" s="33">
        <v>148582</v>
      </c>
      <c r="B55" s="33" t="s">
        <v>1465</v>
      </c>
      <c r="C55" s="33">
        <v>67</v>
      </c>
      <c r="D55" s="33" t="s">
        <v>2624</v>
      </c>
      <c r="E55" s="33">
        <v>4</v>
      </c>
      <c r="F55" s="33"/>
      <c r="G55" s="522"/>
      <c r="H55" s="707"/>
      <c r="I55" s="707">
        <f t="shared" si="0"/>
        <v>0</v>
      </c>
      <c r="J55" s="707">
        <f t="shared" si="1"/>
        <v>0</v>
      </c>
      <c r="K55" s="70"/>
    </row>
    <row r="56" spans="1:11" ht="25.5" customHeight="1">
      <c r="A56" s="74">
        <v>151106</v>
      </c>
      <c r="B56" s="74" t="s">
        <v>41</v>
      </c>
      <c r="C56" s="74">
        <v>160</v>
      </c>
      <c r="D56" s="33" t="s">
        <v>1372</v>
      </c>
      <c r="E56" s="33">
        <v>5</v>
      </c>
      <c r="F56" s="33"/>
      <c r="G56" s="522"/>
      <c r="H56" s="707">
        <v>10</v>
      </c>
      <c r="I56" s="707">
        <f t="shared" si="0"/>
        <v>11.5</v>
      </c>
      <c r="J56" s="707">
        <f t="shared" si="1"/>
        <v>13</v>
      </c>
      <c r="K56" s="70"/>
    </row>
    <row r="57" spans="1:11" ht="25.5" customHeight="1">
      <c r="A57" s="33">
        <v>151387</v>
      </c>
      <c r="B57" s="33" t="s">
        <v>10</v>
      </c>
      <c r="C57" s="33">
        <v>12</v>
      </c>
      <c r="D57" s="33" t="s">
        <v>2363</v>
      </c>
      <c r="E57" s="33">
        <v>4</v>
      </c>
      <c r="F57" s="33"/>
      <c r="G57" s="522"/>
      <c r="H57" s="707">
        <v>30</v>
      </c>
      <c r="I57" s="707">
        <f t="shared" si="0"/>
        <v>34.5</v>
      </c>
      <c r="J57" s="707">
        <f t="shared" si="1"/>
        <v>39</v>
      </c>
      <c r="K57" s="70"/>
    </row>
    <row r="58" spans="1:11" ht="25.5" customHeight="1">
      <c r="A58" s="33">
        <v>151387</v>
      </c>
      <c r="B58" s="33" t="s">
        <v>10</v>
      </c>
      <c r="C58" s="33">
        <v>10</v>
      </c>
      <c r="D58" s="33" t="s">
        <v>2624</v>
      </c>
      <c r="E58" s="33">
        <v>3</v>
      </c>
      <c r="F58" s="33"/>
      <c r="G58" s="522"/>
      <c r="H58" s="707">
        <v>50</v>
      </c>
      <c r="I58" s="707">
        <f t="shared" si="0"/>
        <v>57.499999999999993</v>
      </c>
      <c r="J58" s="707">
        <f t="shared" si="1"/>
        <v>65</v>
      </c>
      <c r="K58" s="70"/>
    </row>
    <row r="59" spans="1:11" ht="25.5" customHeight="1">
      <c r="A59" s="33">
        <v>151890</v>
      </c>
      <c r="B59" s="33" t="s">
        <v>10</v>
      </c>
      <c r="C59" s="33">
        <v>15</v>
      </c>
      <c r="D59" s="33" t="s">
        <v>2624</v>
      </c>
      <c r="E59" s="33">
        <v>3</v>
      </c>
      <c r="F59" s="33"/>
      <c r="G59" s="522"/>
      <c r="H59" s="707">
        <v>10</v>
      </c>
      <c r="I59" s="707">
        <f t="shared" si="0"/>
        <v>11.5</v>
      </c>
      <c r="J59" s="707">
        <f t="shared" si="1"/>
        <v>13</v>
      </c>
      <c r="K59" s="70"/>
    </row>
    <row r="60" spans="1:11" ht="25.5" customHeight="1">
      <c r="A60" s="33">
        <v>151890</v>
      </c>
      <c r="B60" s="71" t="s">
        <v>10</v>
      </c>
      <c r="C60" s="71">
        <v>29</v>
      </c>
      <c r="D60" s="71" t="s">
        <v>2947</v>
      </c>
      <c r="E60" s="71">
        <v>3</v>
      </c>
      <c r="F60" s="71"/>
      <c r="G60" s="686"/>
      <c r="H60" s="709">
        <v>10</v>
      </c>
      <c r="I60" s="709">
        <f t="shared" si="0"/>
        <v>11.5</v>
      </c>
      <c r="J60" s="709">
        <f t="shared" si="1"/>
        <v>13</v>
      </c>
      <c r="K60" s="70"/>
    </row>
    <row r="61" spans="1:11" ht="25.5" customHeight="1">
      <c r="A61" s="74">
        <v>152882</v>
      </c>
      <c r="B61" s="74" t="s">
        <v>265</v>
      </c>
      <c r="C61" s="74">
        <v>2</v>
      </c>
      <c r="D61" s="33" t="s">
        <v>2111</v>
      </c>
      <c r="E61" s="33">
        <v>2</v>
      </c>
      <c r="F61" s="33"/>
      <c r="G61" s="522"/>
      <c r="H61" s="707"/>
      <c r="I61" s="707">
        <f t="shared" si="0"/>
        <v>0</v>
      </c>
      <c r="J61" s="707">
        <f t="shared" si="1"/>
        <v>0</v>
      </c>
      <c r="K61" s="70"/>
    </row>
    <row r="62" spans="1:11" ht="25.5" customHeight="1">
      <c r="A62" s="2">
        <v>202199</v>
      </c>
      <c r="B62" s="2" t="s">
        <v>485</v>
      </c>
      <c r="C62" s="2">
        <v>1</v>
      </c>
      <c r="D62" s="2" t="s">
        <v>3705</v>
      </c>
      <c r="E62" s="33">
        <v>2</v>
      </c>
      <c r="F62" s="33"/>
      <c r="G62" s="522"/>
      <c r="H62" s="707"/>
      <c r="I62" s="707">
        <f t="shared" si="0"/>
        <v>0</v>
      </c>
      <c r="J62" s="707">
        <f t="shared" si="1"/>
        <v>0</v>
      </c>
      <c r="K62" s="55"/>
    </row>
    <row r="63" spans="1:11" ht="25.5" customHeight="1">
      <c r="A63" s="33">
        <v>206562</v>
      </c>
      <c r="B63" s="33" t="s">
        <v>83</v>
      </c>
      <c r="C63" s="33">
        <v>7</v>
      </c>
      <c r="D63" s="33" t="s">
        <v>3279</v>
      </c>
      <c r="E63" s="33">
        <v>4</v>
      </c>
      <c r="F63" s="33"/>
      <c r="G63" s="522"/>
      <c r="H63" s="707"/>
      <c r="I63" s="707">
        <f t="shared" si="0"/>
        <v>0</v>
      </c>
      <c r="J63" s="707">
        <f t="shared" si="1"/>
        <v>0</v>
      </c>
      <c r="K63" s="70"/>
    </row>
    <row r="64" spans="1:11" ht="25.5" customHeight="1">
      <c r="A64" s="11">
        <v>219946</v>
      </c>
      <c r="B64" s="11" t="s">
        <v>34</v>
      </c>
      <c r="C64" s="11">
        <v>1</v>
      </c>
      <c r="D64" s="131" t="s">
        <v>2882</v>
      </c>
      <c r="E64" s="15">
        <v>3</v>
      </c>
      <c r="F64" s="15"/>
      <c r="G64" s="684"/>
      <c r="H64" s="707">
        <v>250</v>
      </c>
      <c r="I64" s="707">
        <f t="shared" si="0"/>
        <v>287.5</v>
      </c>
      <c r="J64" s="707">
        <f t="shared" si="1"/>
        <v>325</v>
      </c>
      <c r="K64" s="70"/>
    </row>
    <row r="65" spans="1:11" ht="25.5" customHeight="1">
      <c r="A65" s="2">
        <v>236005</v>
      </c>
      <c r="B65" s="2" t="s">
        <v>83</v>
      </c>
      <c r="C65" s="2">
        <v>4</v>
      </c>
      <c r="D65" s="2" t="s">
        <v>3671</v>
      </c>
      <c r="E65" s="33">
        <v>2</v>
      </c>
      <c r="F65" s="33"/>
      <c r="G65" s="522"/>
      <c r="H65" s="707"/>
      <c r="I65" s="707">
        <f t="shared" si="0"/>
        <v>0</v>
      </c>
      <c r="J65" s="707">
        <f t="shared" si="1"/>
        <v>0</v>
      </c>
      <c r="K65" s="70"/>
    </row>
    <row r="66" spans="1:11" ht="25.5" customHeight="1">
      <c r="A66" s="33">
        <v>303315</v>
      </c>
      <c r="B66" s="33" t="s">
        <v>34</v>
      </c>
      <c r="C66" s="33">
        <v>1</v>
      </c>
      <c r="D66" s="33" t="s">
        <v>2540</v>
      </c>
      <c r="E66" s="33">
        <v>1</v>
      </c>
      <c r="F66" s="33"/>
      <c r="G66" s="522"/>
      <c r="H66" s="707"/>
      <c r="I66" s="707">
        <f t="shared" ref="I66:I129" si="2">H66 * 1.15</f>
        <v>0</v>
      </c>
      <c r="J66" s="707">
        <f t="shared" ref="J66:J129" si="3">H66 * 1.3</f>
        <v>0</v>
      </c>
      <c r="K66" s="70"/>
    </row>
    <row r="67" spans="1:11" ht="25.5" customHeight="1">
      <c r="A67" s="33">
        <v>308487</v>
      </c>
      <c r="B67" s="33" t="s">
        <v>83</v>
      </c>
      <c r="C67" s="2">
        <v>1</v>
      </c>
      <c r="D67" s="33" t="s">
        <v>992</v>
      </c>
      <c r="E67" s="33">
        <v>4</v>
      </c>
      <c r="F67" s="33"/>
      <c r="G67" s="522"/>
      <c r="H67" s="707">
        <v>170</v>
      </c>
      <c r="I67" s="707">
        <f t="shared" si="2"/>
        <v>195.49999999999997</v>
      </c>
      <c r="J67" s="707">
        <f t="shared" si="3"/>
        <v>221</v>
      </c>
      <c r="K67" s="70"/>
    </row>
    <row r="68" spans="1:11" ht="25.5" customHeight="1">
      <c r="A68" s="33">
        <v>320517</v>
      </c>
      <c r="B68" s="33" t="s">
        <v>10</v>
      </c>
      <c r="C68" s="33">
        <v>2</v>
      </c>
      <c r="D68" s="33" t="s">
        <v>910</v>
      </c>
      <c r="E68" s="33">
        <v>2</v>
      </c>
      <c r="F68" s="33"/>
      <c r="G68" s="522"/>
      <c r="H68" s="707">
        <v>80</v>
      </c>
      <c r="I68" s="707">
        <f t="shared" si="2"/>
        <v>92</v>
      </c>
      <c r="J68" s="707">
        <f t="shared" si="3"/>
        <v>104</v>
      </c>
      <c r="K68" s="70"/>
    </row>
    <row r="69" spans="1:11" ht="25.5" customHeight="1">
      <c r="A69" s="59">
        <v>320517</v>
      </c>
      <c r="B69" s="59" t="s">
        <v>10</v>
      </c>
      <c r="C69" s="59">
        <v>3</v>
      </c>
      <c r="D69" s="33" t="s">
        <v>2624</v>
      </c>
      <c r="E69" s="354">
        <v>5</v>
      </c>
      <c r="F69" s="354"/>
      <c r="G69" s="688"/>
      <c r="H69" s="707">
        <v>80</v>
      </c>
      <c r="I69" s="707">
        <f t="shared" si="2"/>
        <v>92</v>
      </c>
      <c r="J69" s="707">
        <f t="shared" si="3"/>
        <v>104</v>
      </c>
      <c r="K69" s="70"/>
    </row>
    <row r="70" spans="1:11" ht="25.5" customHeight="1">
      <c r="A70" s="33">
        <v>345111</v>
      </c>
      <c r="B70" s="33" t="s">
        <v>909</v>
      </c>
      <c r="C70" s="33">
        <v>50</v>
      </c>
      <c r="D70" s="33" t="s">
        <v>910</v>
      </c>
      <c r="E70" s="33">
        <v>1</v>
      </c>
      <c r="F70" s="33"/>
      <c r="G70" s="522"/>
      <c r="H70" s="711">
        <v>10</v>
      </c>
      <c r="I70" s="711">
        <f t="shared" si="2"/>
        <v>11.5</v>
      </c>
      <c r="J70" s="711">
        <f t="shared" si="3"/>
        <v>13</v>
      </c>
      <c r="K70" s="70"/>
    </row>
    <row r="71" spans="1:11" ht="25.5" customHeight="1">
      <c r="A71" s="33">
        <v>354110</v>
      </c>
      <c r="B71" s="33" t="s">
        <v>147</v>
      </c>
      <c r="C71" s="33">
        <v>6</v>
      </c>
      <c r="D71" s="33" t="s">
        <v>1548</v>
      </c>
      <c r="E71" s="33">
        <v>3</v>
      </c>
      <c r="F71" s="33"/>
      <c r="G71" s="522"/>
      <c r="H71" s="707">
        <v>5</v>
      </c>
      <c r="I71" s="707">
        <f t="shared" si="2"/>
        <v>5.75</v>
      </c>
      <c r="J71" s="707">
        <f t="shared" si="3"/>
        <v>6.5</v>
      </c>
      <c r="K71" s="70"/>
    </row>
    <row r="72" spans="1:11" ht="25.5" customHeight="1">
      <c r="A72" s="2">
        <v>354117</v>
      </c>
      <c r="B72" s="2" t="s">
        <v>147</v>
      </c>
      <c r="C72" s="2">
        <v>4</v>
      </c>
      <c r="D72" s="2" t="s">
        <v>3636</v>
      </c>
      <c r="E72" s="2">
        <v>1</v>
      </c>
      <c r="F72" s="2"/>
      <c r="G72" s="634"/>
      <c r="H72" s="707"/>
      <c r="I72" s="707">
        <f t="shared" si="2"/>
        <v>0</v>
      </c>
      <c r="J72" s="707">
        <f t="shared" si="3"/>
        <v>0</v>
      </c>
      <c r="K72" s="55"/>
    </row>
    <row r="73" spans="1:11" ht="25.5" customHeight="1">
      <c r="A73" s="33">
        <v>357494</v>
      </c>
      <c r="B73" s="33" t="s">
        <v>991</v>
      </c>
      <c r="C73" s="33">
        <v>1</v>
      </c>
      <c r="D73" s="33" t="s">
        <v>910</v>
      </c>
      <c r="E73" s="33">
        <v>2</v>
      </c>
      <c r="F73" s="33"/>
      <c r="G73" s="522"/>
      <c r="H73" s="707">
        <v>50</v>
      </c>
      <c r="I73" s="707">
        <f t="shared" si="2"/>
        <v>57.499999999999993</v>
      </c>
      <c r="J73" s="707">
        <f t="shared" si="3"/>
        <v>65</v>
      </c>
      <c r="K73" s="70"/>
    </row>
    <row r="74" spans="1:11" ht="25.5" customHeight="1">
      <c r="A74" s="33">
        <v>370405</v>
      </c>
      <c r="B74" s="33" t="s">
        <v>2362</v>
      </c>
      <c r="C74" s="33">
        <v>1</v>
      </c>
      <c r="D74" s="33" t="s">
        <v>2363</v>
      </c>
      <c r="E74" s="33">
        <v>3</v>
      </c>
      <c r="F74" s="33"/>
      <c r="G74" s="522"/>
      <c r="H74" s="707"/>
      <c r="I74" s="707">
        <f t="shared" si="2"/>
        <v>0</v>
      </c>
      <c r="J74" s="707">
        <f t="shared" si="3"/>
        <v>0</v>
      </c>
      <c r="K74" s="70"/>
    </row>
    <row r="75" spans="1:11" ht="25.5" customHeight="1">
      <c r="A75" s="74">
        <v>393100</v>
      </c>
      <c r="B75" s="74" t="s">
        <v>2188</v>
      </c>
      <c r="C75" s="74">
        <v>1</v>
      </c>
      <c r="D75" s="33" t="s">
        <v>2111</v>
      </c>
      <c r="E75" s="33">
        <v>2</v>
      </c>
      <c r="F75" s="33"/>
      <c r="G75" s="522"/>
      <c r="H75" s="707" t="s">
        <v>2189</v>
      </c>
      <c r="I75" s="707" t="e">
        <f t="shared" si="2"/>
        <v>#VALUE!</v>
      </c>
      <c r="J75" s="707" t="e">
        <f t="shared" si="3"/>
        <v>#VALUE!</v>
      </c>
      <c r="K75" s="70"/>
    </row>
    <row r="76" spans="1:11" ht="25.5" customHeight="1">
      <c r="A76" s="33">
        <v>400454</v>
      </c>
      <c r="B76" s="33" t="s">
        <v>83</v>
      </c>
      <c r="C76" s="33">
        <v>5</v>
      </c>
      <c r="D76" s="33" t="s">
        <v>1201</v>
      </c>
      <c r="E76" s="33">
        <v>4</v>
      </c>
      <c r="F76" s="33"/>
      <c r="G76" s="522"/>
      <c r="H76" s="707"/>
      <c r="I76" s="707">
        <f t="shared" si="2"/>
        <v>0</v>
      </c>
      <c r="J76" s="707">
        <f t="shared" si="3"/>
        <v>0</v>
      </c>
      <c r="K76" s="70"/>
    </row>
    <row r="77" spans="1:11" ht="25.5" customHeight="1">
      <c r="A77" s="11">
        <v>400454</v>
      </c>
      <c r="B77" s="34" t="s">
        <v>10</v>
      </c>
      <c r="C77" s="11">
        <v>2</v>
      </c>
      <c r="D77" s="33" t="s">
        <v>3053</v>
      </c>
      <c r="E77" s="33">
        <v>3</v>
      </c>
      <c r="F77" s="33"/>
      <c r="G77" s="522"/>
      <c r="H77" s="707"/>
      <c r="I77" s="707">
        <f t="shared" si="2"/>
        <v>0</v>
      </c>
      <c r="J77" s="707">
        <f t="shared" si="3"/>
        <v>0</v>
      </c>
      <c r="K77" s="70"/>
    </row>
    <row r="78" spans="1:11" ht="25.5" customHeight="1">
      <c r="A78" s="59">
        <v>442253</v>
      </c>
      <c r="B78" s="59" t="s">
        <v>474</v>
      </c>
      <c r="C78" s="59">
        <v>11</v>
      </c>
      <c r="D78" s="33" t="s">
        <v>3053</v>
      </c>
      <c r="E78" s="354">
        <v>5</v>
      </c>
      <c r="F78" s="354"/>
      <c r="G78" s="688"/>
      <c r="H78" s="707"/>
      <c r="I78" s="707">
        <f t="shared" si="2"/>
        <v>0</v>
      </c>
      <c r="J78" s="707">
        <f t="shared" si="3"/>
        <v>0</v>
      </c>
      <c r="K78" s="70"/>
    </row>
    <row r="79" spans="1:11" ht="25.5" customHeight="1">
      <c r="A79" s="33">
        <v>454225</v>
      </c>
      <c r="B79" s="33" t="s">
        <v>21</v>
      </c>
      <c r="C79" s="33">
        <v>12</v>
      </c>
      <c r="D79" s="33" t="s">
        <v>1201</v>
      </c>
      <c r="E79" s="33">
        <v>4</v>
      </c>
      <c r="F79" s="33"/>
      <c r="G79" s="522"/>
      <c r="H79" s="707"/>
      <c r="I79" s="707">
        <f t="shared" si="2"/>
        <v>0</v>
      </c>
      <c r="J79" s="707">
        <f t="shared" si="3"/>
        <v>0</v>
      </c>
      <c r="K79" s="70"/>
    </row>
    <row r="80" spans="1:11" ht="25.5" customHeight="1">
      <c r="A80" s="59">
        <v>467584</v>
      </c>
      <c r="B80" s="59" t="s">
        <v>147</v>
      </c>
      <c r="C80" s="59">
        <v>1</v>
      </c>
      <c r="D80" s="71" t="s">
        <v>2947</v>
      </c>
      <c r="E80" s="354">
        <v>5</v>
      </c>
      <c r="F80" s="354"/>
      <c r="G80" s="688"/>
      <c r="H80" s="707"/>
      <c r="I80" s="707">
        <f t="shared" si="2"/>
        <v>0</v>
      </c>
      <c r="J80" s="707">
        <f t="shared" si="3"/>
        <v>0</v>
      </c>
      <c r="K80" s="70"/>
    </row>
    <row r="81" spans="1:11" ht="25.5" customHeight="1">
      <c r="A81" s="11">
        <v>489080</v>
      </c>
      <c r="B81" s="11" t="s">
        <v>2777</v>
      </c>
      <c r="C81" s="11">
        <v>18</v>
      </c>
      <c r="D81" s="131" t="s">
        <v>2772</v>
      </c>
      <c r="E81" s="17">
        <v>4</v>
      </c>
      <c r="F81" s="17"/>
      <c r="G81" s="687"/>
      <c r="H81" s="707">
        <v>30</v>
      </c>
      <c r="I81" s="707">
        <f t="shared" si="2"/>
        <v>34.5</v>
      </c>
      <c r="J81" s="707">
        <f t="shared" si="3"/>
        <v>39</v>
      </c>
      <c r="K81" s="70"/>
    </row>
    <row r="82" spans="1:11" ht="25.5" customHeight="1">
      <c r="A82" s="74">
        <v>500489</v>
      </c>
      <c r="B82" s="74" t="s">
        <v>21</v>
      </c>
      <c r="C82" s="74">
        <v>15</v>
      </c>
      <c r="D82" s="33" t="s">
        <v>1201</v>
      </c>
      <c r="E82" s="33">
        <v>5</v>
      </c>
      <c r="F82" s="33"/>
      <c r="G82" s="522"/>
      <c r="H82" s="707"/>
      <c r="I82" s="707">
        <f t="shared" si="2"/>
        <v>0</v>
      </c>
      <c r="J82" s="707">
        <f t="shared" si="3"/>
        <v>0</v>
      </c>
      <c r="K82" s="70"/>
    </row>
    <row r="83" spans="1:11" ht="25.5" customHeight="1">
      <c r="A83" s="33">
        <v>520453</v>
      </c>
      <c r="B83" s="33" t="s">
        <v>21</v>
      </c>
      <c r="C83" s="33">
        <v>16</v>
      </c>
      <c r="D83" s="33" t="s">
        <v>2191</v>
      </c>
      <c r="E83" s="33">
        <v>4</v>
      </c>
      <c r="F83" s="33"/>
      <c r="G83" s="522"/>
      <c r="H83" s="707">
        <v>10</v>
      </c>
      <c r="I83" s="707">
        <f t="shared" si="2"/>
        <v>11.5</v>
      </c>
      <c r="J83" s="707">
        <f t="shared" si="3"/>
        <v>13</v>
      </c>
      <c r="K83" s="70"/>
    </row>
    <row r="84" spans="1:11" ht="25.5" customHeight="1">
      <c r="A84" s="2">
        <v>528174</v>
      </c>
      <c r="B84" s="2" t="s">
        <v>10</v>
      </c>
      <c r="C84" s="2">
        <v>3</v>
      </c>
      <c r="D84" s="2" t="s">
        <v>593</v>
      </c>
      <c r="E84" s="33">
        <v>2</v>
      </c>
      <c r="F84" s="33"/>
      <c r="G84" s="522"/>
      <c r="H84" s="707">
        <v>10</v>
      </c>
      <c r="I84" s="707">
        <f t="shared" si="2"/>
        <v>11.5</v>
      </c>
      <c r="J84" s="707">
        <f t="shared" si="3"/>
        <v>13</v>
      </c>
      <c r="K84" s="70" t="s">
        <v>51</v>
      </c>
    </row>
    <row r="85" spans="1:11" ht="25.5" customHeight="1">
      <c r="A85" s="33">
        <v>528174</v>
      </c>
      <c r="B85" s="33" t="s">
        <v>10</v>
      </c>
      <c r="C85" s="33">
        <v>9</v>
      </c>
      <c r="D85" s="33" t="s">
        <v>2624</v>
      </c>
      <c r="E85" s="33">
        <v>4</v>
      </c>
      <c r="F85" s="33"/>
      <c r="G85" s="522"/>
      <c r="H85" s="707">
        <v>10</v>
      </c>
      <c r="I85" s="707">
        <f t="shared" si="2"/>
        <v>11.5</v>
      </c>
      <c r="J85" s="707">
        <f t="shared" si="3"/>
        <v>13</v>
      </c>
      <c r="K85" s="70" t="s">
        <v>51</v>
      </c>
    </row>
    <row r="86" spans="1:11" ht="25.5" customHeight="1">
      <c r="A86" s="33">
        <v>528518</v>
      </c>
      <c r="B86" s="33" t="s">
        <v>43</v>
      </c>
      <c r="C86" s="33">
        <v>1</v>
      </c>
      <c r="D86" s="33" t="s">
        <v>910</v>
      </c>
      <c r="E86" s="33">
        <v>2</v>
      </c>
      <c r="F86" s="33"/>
      <c r="G86" s="522"/>
      <c r="H86" s="707"/>
      <c r="I86" s="707">
        <f t="shared" si="2"/>
        <v>0</v>
      </c>
      <c r="J86" s="707">
        <f t="shared" si="3"/>
        <v>0</v>
      </c>
      <c r="K86" s="70"/>
    </row>
    <row r="87" spans="1:11" ht="25.5" customHeight="1">
      <c r="A87" s="33">
        <v>531380</v>
      </c>
      <c r="B87" s="33" t="s">
        <v>1644</v>
      </c>
      <c r="C87" s="33">
        <v>1</v>
      </c>
      <c r="D87" s="33" t="s">
        <v>1548</v>
      </c>
      <c r="E87" s="33">
        <v>4</v>
      </c>
      <c r="F87" s="33"/>
      <c r="G87" s="522"/>
      <c r="H87" s="707"/>
      <c r="I87" s="707">
        <f t="shared" si="2"/>
        <v>0</v>
      </c>
      <c r="J87" s="707">
        <f t="shared" si="3"/>
        <v>0</v>
      </c>
      <c r="K87" s="70"/>
    </row>
    <row r="88" spans="1:11" ht="25.5" customHeight="1">
      <c r="A88" s="2">
        <v>537918</v>
      </c>
      <c r="B88" s="2" t="s">
        <v>19</v>
      </c>
      <c r="C88" s="2">
        <v>11</v>
      </c>
      <c r="D88" s="2" t="s">
        <v>593</v>
      </c>
      <c r="E88" s="33">
        <v>3</v>
      </c>
      <c r="F88" s="33"/>
      <c r="G88" s="522"/>
      <c r="H88" s="707"/>
      <c r="I88" s="707">
        <f t="shared" si="2"/>
        <v>0</v>
      </c>
      <c r="J88" s="707">
        <f t="shared" si="3"/>
        <v>0</v>
      </c>
      <c r="K88" s="70"/>
    </row>
    <row r="89" spans="1:11" ht="25.5" customHeight="1">
      <c r="A89" s="2">
        <v>548558</v>
      </c>
      <c r="B89" s="2" t="s">
        <v>3627</v>
      </c>
      <c r="C89" s="2">
        <v>1</v>
      </c>
      <c r="D89" s="2" t="s">
        <v>3618</v>
      </c>
      <c r="E89" s="33">
        <v>5</v>
      </c>
      <c r="F89" s="33"/>
      <c r="G89" s="522"/>
      <c r="H89" s="707"/>
      <c r="I89" s="707">
        <f t="shared" si="2"/>
        <v>0</v>
      </c>
      <c r="J89" s="707">
        <f t="shared" si="3"/>
        <v>0</v>
      </c>
      <c r="K89" s="55"/>
    </row>
    <row r="90" spans="1:11" ht="25.5" customHeight="1">
      <c r="A90" s="33">
        <v>563104</v>
      </c>
      <c r="B90" s="33" t="s">
        <v>19</v>
      </c>
      <c r="C90" s="33">
        <v>8</v>
      </c>
      <c r="D90" s="33" t="s">
        <v>1372</v>
      </c>
      <c r="E90" s="33">
        <v>4</v>
      </c>
      <c r="F90" s="33"/>
      <c r="G90" s="522"/>
      <c r="H90" s="707">
        <v>22</v>
      </c>
      <c r="I90" s="707">
        <f t="shared" si="2"/>
        <v>25.299999999999997</v>
      </c>
      <c r="J90" s="707">
        <f t="shared" si="3"/>
        <v>28.6</v>
      </c>
      <c r="K90" s="70"/>
    </row>
    <row r="91" spans="1:11" ht="25.5" customHeight="1">
      <c r="A91" s="59">
        <v>572744</v>
      </c>
      <c r="B91" s="59" t="s">
        <v>34</v>
      </c>
      <c r="C91" s="59">
        <v>2</v>
      </c>
      <c r="D91" s="33" t="s">
        <v>3053</v>
      </c>
      <c r="E91" s="354">
        <v>5</v>
      </c>
      <c r="F91" s="354"/>
      <c r="G91" s="688"/>
      <c r="H91" s="707"/>
      <c r="I91" s="707">
        <f t="shared" si="2"/>
        <v>0</v>
      </c>
      <c r="J91" s="707">
        <f t="shared" si="3"/>
        <v>0</v>
      </c>
      <c r="K91" s="70"/>
    </row>
    <row r="92" spans="1:11" ht="25.5" customHeight="1">
      <c r="A92" s="33">
        <v>574096</v>
      </c>
      <c r="B92" s="33" t="s">
        <v>97</v>
      </c>
      <c r="C92" s="33">
        <v>6</v>
      </c>
      <c r="D92" s="2" t="s">
        <v>11</v>
      </c>
      <c r="E92" s="33">
        <v>1</v>
      </c>
      <c r="F92" s="33"/>
      <c r="G92" s="522"/>
      <c r="H92" s="707"/>
      <c r="I92" s="707">
        <f t="shared" si="2"/>
        <v>0</v>
      </c>
      <c r="J92" s="707">
        <f t="shared" si="3"/>
        <v>0</v>
      </c>
      <c r="K92" s="70"/>
    </row>
    <row r="93" spans="1:11" ht="25.5" customHeight="1">
      <c r="A93" s="2">
        <v>575776</v>
      </c>
      <c r="B93" s="2" t="s">
        <v>56</v>
      </c>
      <c r="C93" s="2">
        <v>2</v>
      </c>
      <c r="D93" s="2" t="s">
        <v>3618</v>
      </c>
      <c r="E93" s="33">
        <v>5</v>
      </c>
      <c r="F93" s="33"/>
      <c r="G93" s="522"/>
      <c r="H93" s="707"/>
      <c r="I93" s="707">
        <f t="shared" si="2"/>
        <v>0</v>
      </c>
      <c r="J93" s="707">
        <f t="shared" si="3"/>
        <v>0</v>
      </c>
      <c r="K93" s="55"/>
    </row>
    <row r="94" spans="1:11" ht="25.5" customHeight="1">
      <c r="A94" s="33">
        <v>625918</v>
      </c>
      <c r="B94" s="33" t="s">
        <v>19</v>
      </c>
      <c r="C94" s="33">
        <v>1</v>
      </c>
      <c r="D94" s="2" t="s">
        <v>274</v>
      </c>
      <c r="E94" s="33">
        <v>3</v>
      </c>
      <c r="F94" s="33"/>
      <c r="G94" s="522"/>
      <c r="H94" s="707"/>
      <c r="I94" s="707">
        <f t="shared" si="2"/>
        <v>0</v>
      </c>
      <c r="J94" s="707">
        <f t="shared" si="3"/>
        <v>0</v>
      </c>
      <c r="K94" s="70"/>
    </row>
    <row r="95" spans="1:11" ht="25.5" customHeight="1">
      <c r="A95" s="11">
        <v>670862</v>
      </c>
      <c r="B95" s="34" t="s">
        <v>21</v>
      </c>
      <c r="C95" s="11">
        <v>12</v>
      </c>
      <c r="D95" s="33" t="s">
        <v>3053</v>
      </c>
      <c r="E95" s="33">
        <v>3</v>
      </c>
      <c r="F95" s="33"/>
      <c r="G95" s="522"/>
      <c r="H95" s="707"/>
      <c r="I95" s="707">
        <f t="shared" si="2"/>
        <v>0</v>
      </c>
      <c r="J95" s="707">
        <f t="shared" si="3"/>
        <v>0</v>
      </c>
      <c r="K95" s="70"/>
    </row>
    <row r="96" spans="1:11" ht="25.5" customHeight="1">
      <c r="A96" s="33">
        <v>698791</v>
      </c>
      <c r="B96" s="33" t="s">
        <v>2072</v>
      </c>
      <c r="C96" s="33">
        <v>8</v>
      </c>
      <c r="D96" s="33" t="s">
        <v>2026</v>
      </c>
      <c r="E96" s="33">
        <v>4</v>
      </c>
      <c r="F96" s="33"/>
      <c r="G96" s="522"/>
      <c r="H96" s="707"/>
      <c r="I96" s="707">
        <f t="shared" si="2"/>
        <v>0</v>
      </c>
      <c r="J96" s="707">
        <f t="shared" si="3"/>
        <v>0</v>
      </c>
      <c r="K96" s="70"/>
    </row>
    <row r="97" spans="1:11" ht="25.5" customHeight="1">
      <c r="A97" s="59">
        <v>699151</v>
      </c>
      <c r="B97" s="59" t="s">
        <v>130</v>
      </c>
      <c r="C97" s="59">
        <v>1</v>
      </c>
      <c r="D97" s="33" t="s">
        <v>3053</v>
      </c>
      <c r="E97" s="354">
        <v>5</v>
      </c>
      <c r="F97" s="354"/>
      <c r="G97" s="688"/>
      <c r="H97" s="707"/>
      <c r="I97" s="707">
        <f t="shared" si="2"/>
        <v>0</v>
      </c>
      <c r="J97" s="707">
        <f t="shared" si="3"/>
        <v>0</v>
      </c>
      <c r="K97" s="70"/>
    </row>
    <row r="98" spans="1:11" ht="25.5" customHeight="1">
      <c r="A98" s="11">
        <v>714098</v>
      </c>
      <c r="B98" s="11" t="s">
        <v>137</v>
      </c>
      <c r="C98" s="11">
        <v>88</v>
      </c>
      <c r="D98" s="131" t="s">
        <v>2802</v>
      </c>
      <c r="E98" s="15">
        <v>3</v>
      </c>
      <c r="F98" s="15"/>
      <c r="G98" s="684"/>
      <c r="H98" s="707"/>
      <c r="I98" s="707">
        <f t="shared" si="2"/>
        <v>0</v>
      </c>
      <c r="J98" s="707">
        <f t="shared" si="3"/>
        <v>0</v>
      </c>
      <c r="K98" s="70"/>
    </row>
    <row r="99" spans="1:11" ht="25.5" customHeight="1">
      <c r="A99" s="74">
        <v>720152</v>
      </c>
      <c r="B99" s="74" t="s">
        <v>538</v>
      </c>
      <c r="C99" s="74">
        <v>1</v>
      </c>
      <c r="D99" s="33" t="s">
        <v>2111</v>
      </c>
      <c r="E99" s="33">
        <v>2</v>
      </c>
      <c r="F99" s="33"/>
      <c r="G99" s="522"/>
      <c r="H99" s="707"/>
      <c r="I99" s="707">
        <f t="shared" si="2"/>
        <v>0</v>
      </c>
      <c r="J99" s="707">
        <f t="shared" si="3"/>
        <v>0</v>
      </c>
      <c r="K99" s="70"/>
    </row>
    <row r="100" spans="1:11" ht="25.5" customHeight="1">
      <c r="A100" s="33">
        <v>728550</v>
      </c>
      <c r="B100" s="33" t="s">
        <v>10</v>
      </c>
      <c r="C100" s="33">
        <v>5</v>
      </c>
      <c r="D100" s="33" t="s">
        <v>2540</v>
      </c>
      <c r="E100" s="33">
        <v>2</v>
      </c>
      <c r="F100" s="33"/>
      <c r="G100" s="522"/>
      <c r="H100" s="707">
        <v>20</v>
      </c>
      <c r="I100" s="707">
        <f t="shared" si="2"/>
        <v>23</v>
      </c>
      <c r="J100" s="707">
        <f t="shared" si="3"/>
        <v>26</v>
      </c>
      <c r="K100" s="70"/>
    </row>
    <row r="101" spans="1:11" ht="25.5" customHeight="1">
      <c r="A101" s="33">
        <v>731351</v>
      </c>
      <c r="B101" s="33" t="s">
        <v>402</v>
      </c>
      <c r="C101" s="33">
        <v>3</v>
      </c>
      <c r="D101" s="2" t="s">
        <v>274</v>
      </c>
      <c r="E101" s="33">
        <v>2</v>
      </c>
      <c r="F101" s="33"/>
      <c r="G101" s="522"/>
      <c r="H101" s="707">
        <v>100</v>
      </c>
      <c r="I101" s="707">
        <f t="shared" si="2"/>
        <v>114.99999999999999</v>
      </c>
      <c r="J101" s="707">
        <f t="shared" si="3"/>
        <v>130</v>
      </c>
      <c r="K101" s="70"/>
    </row>
    <row r="102" spans="1:11" ht="25.5" customHeight="1">
      <c r="A102" s="17">
        <v>731351</v>
      </c>
      <c r="B102" s="17" t="s">
        <v>1030</v>
      </c>
      <c r="C102" s="17">
        <v>2</v>
      </c>
      <c r="D102" s="131" t="s">
        <v>3451</v>
      </c>
      <c r="E102" s="15">
        <v>3</v>
      </c>
      <c r="F102" s="15"/>
      <c r="G102" s="684"/>
      <c r="H102" s="707"/>
      <c r="I102" s="707">
        <f t="shared" si="2"/>
        <v>0</v>
      </c>
      <c r="J102" s="707">
        <f t="shared" si="3"/>
        <v>0</v>
      </c>
      <c r="K102" s="70"/>
    </row>
    <row r="103" spans="1:11" ht="25.5" customHeight="1">
      <c r="A103" s="33">
        <v>761336</v>
      </c>
      <c r="B103" s="33" t="s">
        <v>485</v>
      </c>
      <c r="C103" s="33">
        <v>8</v>
      </c>
      <c r="D103" s="33" t="s">
        <v>1494</v>
      </c>
      <c r="E103" s="33">
        <v>2</v>
      </c>
      <c r="F103" s="33"/>
      <c r="G103" s="522"/>
      <c r="H103" s="707">
        <v>30</v>
      </c>
      <c r="I103" s="707">
        <f t="shared" si="2"/>
        <v>34.5</v>
      </c>
      <c r="J103" s="707">
        <f t="shared" si="3"/>
        <v>39</v>
      </c>
      <c r="K103" s="70"/>
    </row>
    <row r="104" spans="1:11" ht="25.5" customHeight="1">
      <c r="A104" s="33">
        <v>793936</v>
      </c>
      <c r="B104" s="33" t="s">
        <v>19</v>
      </c>
      <c r="C104" s="33">
        <v>9</v>
      </c>
      <c r="D104" s="33" t="s">
        <v>2363</v>
      </c>
      <c r="E104" s="33">
        <v>3</v>
      </c>
      <c r="F104" s="33"/>
      <c r="G104" s="522"/>
      <c r="H104" s="707">
        <v>2</v>
      </c>
      <c r="I104" s="707">
        <f t="shared" si="2"/>
        <v>2.2999999999999998</v>
      </c>
      <c r="J104" s="707">
        <f t="shared" si="3"/>
        <v>2.6</v>
      </c>
      <c r="K104" s="70"/>
    </row>
    <row r="105" spans="1:11" ht="25.5" customHeight="1">
      <c r="A105" s="33">
        <v>807916</v>
      </c>
      <c r="B105" s="33" t="s">
        <v>2618</v>
      </c>
      <c r="C105" s="33">
        <v>1</v>
      </c>
      <c r="D105" s="33" t="s">
        <v>2540</v>
      </c>
      <c r="E105" s="33">
        <v>2</v>
      </c>
      <c r="F105" s="33"/>
      <c r="G105" s="522"/>
      <c r="H105" s="707"/>
      <c r="I105" s="707">
        <f t="shared" si="2"/>
        <v>0</v>
      </c>
      <c r="J105" s="707">
        <f t="shared" si="3"/>
        <v>0</v>
      </c>
      <c r="K105" s="70"/>
    </row>
    <row r="106" spans="1:11" ht="25.5" customHeight="1">
      <c r="A106" s="33">
        <v>844342</v>
      </c>
      <c r="B106" s="33" t="s">
        <v>43</v>
      </c>
      <c r="C106" s="33">
        <v>3</v>
      </c>
      <c r="D106" s="33" t="s">
        <v>1141</v>
      </c>
      <c r="E106" s="33">
        <v>1</v>
      </c>
      <c r="F106" s="33"/>
      <c r="G106" s="522"/>
      <c r="H106" s="707"/>
      <c r="I106" s="707">
        <f t="shared" si="2"/>
        <v>0</v>
      </c>
      <c r="J106" s="707">
        <f t="shared" si="3"/>
        <v>0</v>
      </c>
      <c r="K106" s="70"/>
    </row>
    <row r="107" spans="1:11" ht="25.5" customHeight="1">
      <c r="A107" s="59">
        <v>879871</v>
      </c>
      <c r="B107" s="59" t="s">
        <v>2682</v>
      </c>
      <c r="C107" s="59">
        <v>9</v>
      </c>
      <c r="D107" s="33" t="s">
        <v>3027</v>
      </c>
      <c r="E107" s="33">
        <v>1</v>
      </c>
      <c r="F107" s="33"/>
      <c r="G107" s="522"/>
      <c r="H107" s="707"/>
      <c r="I107" s="707">
        <f t="shared" si="2"/>
        <v>0</v>
      </c>
      <c r="J107" s="707">
        <f t="shared" si="3"/>
        <v>0</v>
      </c>
      <c r="K107" s="70"/>
    </row>
    <row r="108" spans="1:11" ht="25.5" customHeight="1">
      <c r="A108" s="3">
        <v>1013862</v>
      </c>
      <c r="B108" s="3" t="s">
        <v>14</v>
      </c>
      <c r="C108" s="3">
        <v>10</v>
      </c>
      <c r="D108" s="58" t="s">
        <v>2802</v>
      </c>
      <c r="E108" s="33">
        <v>2</v>
      </c>
      <c r="F108" s="33"/>
      <c r="G108" s="522"/>
      <c r="H108" s="707"/>
      <c r="I108" s="707">
        <f t="shared" si="2"/>
        <v>0</v>
      </c>
      <c r="J108" s="707">
        <f t="shared" si="3"/>
        <v>0</v>
      </c>
      <c r="K108" s="70"/>
    </row>
    <row r="109" spans="1:11" ht="25.5" customHeight="1">
      <c r="A109" s="33">
        <v>1127700</v>
      </c>
      <c r="B109" s="33" t="s">
        <v>19</v>
      </c>
      <c r="C109" s="33">
        <v>15</v>
      </c>
      <c r="D109" s="33" t="s">
        <v>910</v>
      </c>
      <c r="E109" s="33">
        <v>2</v>
      </c>
      <c r="F109" s="33"/>
      <c r="G109" s="522"/>
      <c r="H109" s="707">
        <v>5</v>
      </c>
      <c r="I109" s="707">
        <f t="shared" si="2"/>
        <v>5.75</v>
      </c>
      <c r="J109" s="707">
        <f t="shared" si="3"/>
        <v>6.5</v>
      </c>
      <c r="K109" s="70"/>
    </row>
    <row r="110" spans="1:11" ht="25.5" customHeight="1">
      <c r="A110" s="33">
        <v>1127722</v>
      </c>
      <c r="B110" s="33" t="s">
        <v>19</v>
      </c>
      <c r="C110" s="33">
        <v>2</v>
      </c>
      <c r="D110" s="2" t="s">
        <v>274</v>
      </c>
      <c r="E110" s="33">
        <v>3</v>
      </c>
      <c r="F110" s="33"/>
      <c r="G110" s="522"/>
      <c r="H110" s="707">
        <v>0.5</v>
      </c>
      <c r="I110" s="707">
        <f t="shared" si="2"/>
        <v>0.57499999999999996</v>
      </c>
      <c r="J110" s="707">
        <f t="shared" si="3"/>
        <v>0.65</v>
      </c>
      <c r="K110" s="70"/>
    </row>
    <row r="111" spans="1:11" ht="25.5" customHeight="1">
      <c r="A111" s="33">
        <v>2602106</v>
      </c>
      <c r="B111" s="33" t="s">
        <v>1030</v>
      </c>
      <c r="C111" s="33">
        <v>16</v>
      </c>
      <c r="D111" s="33" t="s">
        <v>2026</v>
      </c>
      <c r="E111" s="33">
        <v>4</v>
      </c>
      <c r="F111" s="33"/>
      <c r="G111" s="522"/>
      <c r="H111" s="707"/>
      <c r="I111" s="707">
        <f t="shared" si="2"/>
        <v>0</v>
      </c>
      <c r="J111" s="707">
        <f t="shared" si="3"/>
        <v>0</v>
      </c>
      <c r="K111" s="70"/>
    </row>
    <row r="112" spans="1:11" ht="25.5" customHeight="1">
      <c r="A112" s="11">
        <v>2603041</v>
      </c>
      <c r="B112" s="11" t="s">
        <v>23</v>
      </c>
      <c r="C112" s="11">
        <v>97</v>
      </c>
      <c r="D112" s="131" t="s">
        <v>2802</v>
      </c>
      <c r="E112" s="15">
        <v>3</v>
      </c>
      <c r="F112" s="15"/>
      <c r="G112" s="684"/>
      <c r="H112" s="707">
        <v>4</v>
      </c>
      <c r="I112" s="707">
        <f t="shared" si="2"/>
        <v>4.5999999999999996</v>
      </c>
      <c r="J112" s="707">
        <f t="shared" si="3"/>
        <v>5.2</v>
      </c>
      <c r="K112" s="70"/>
    </row>
    <row r="113" spans="1:11" ht="25.5" customHeight="1">
      <c r="A113" s="74">
        <v>2603057</v>
      </c>
      <c r="B113" s="74" t="s">
        <v>1321</v>
      </c>
      <c r="C113" s="74">
        <v>37</v>
      </c>
      <c r="D113" s="33" t="s">
        <v>1201</v>
      </c>
      <c r="E113" s="33">
        <v>5</v>
      </c>
      <c r="F113" s="33"/>
      <c r="G113" s="522"/>
      <c r="H113" s="707">
        <v>5</v>
      </c>
      <c r="I113" s="707">
        <f t="shared" si="2"/>
        <v>5.75</v>
      </c>
      <c r="J113" s="707">
        <f t="shared" si="3"/>
        <v>6.5</v>
      </c>
      <c r="K113" s="70"/>
    </row>
    <row r="114" spans="1:11" ht="25.5" customHeight="1">
      <c r="A114" s="33">
        <v>2603057</v>
      </c>
      <c r="B114" s="33" t="s">
        <v>23</v>
      </c>
      <c r="C114" s="33">
        <v>3</v>
      </c>
      <c r="D114" s="33" t="s">
        <v>1372</v>
      </c>
      <c r="E114" s="33">
        <v>4</v>
      </c>
      <c r="F114" s="33"/>
      <c r="G114" s="522"/>
      <c r="H114" s="707">
        <v>5</v>
      </c>
      <c r="I114" s="707">
        <f t="shared" si="2"/>
        <v>5.75</v>
      </c>
      <c r="J114" s="707">
        <f t="shared" si="3"/>
        <v>6.5</v>
      </c>
      <c r="K114" s="70"/>
    </row>
    <row r="115" spans="1:11" ht="25.5" customHeight="1">
      <c r="A115" s="11">
        <v>2603057</v>
      </c>
      <c r="B115" s="11" t="s">
        <v>23</v>
      </c>
      <c r="C115" s="11">
        <v>120</v>
      </c>
      <c r="D115" s="131" t="s">
        <v>2716</v>
      </c>
      <c r="E115" s="15">
        <v>3</v>
      </c>
      <c r="F115" s="15"/>
      <c r="G115" s="684"/>
      <c r="H115" s="707">
        <v>5</v>
      </c>
      <c r="I115" s="707">
        <f t="shared" si="2"/>
        <v>5.75</v>
      </c>
      <c r="J115" s="707">
        <f t="shared" si="3"/>
        <v>6.5</v>
      </c>
      <c r="K115" s="70"/>
    </row>
    <row r="116" spans="1:11" ht="25.5" customHeight="1">
      <c r="A116" s="11">
        <v>2603278</v>
      </c>
      <c r="B116" s="11" t="s">
        <v>2841</v>
      </c>
      <c r="C116" s="11">
        <v>142</v>
      </c>
      <c r="D116" s="131" t="s">
        <v>2802</v>
      </c>
      <c r="E116" s="15">
        <v>3</v>
      </c>
      <c r="F116" s="15"/>
      <c r="G116" s="684"/>
      <c r="H116" s="707"/>
      <c r="I116" s="707">
        <f t="shared" si="2"/>
        <v>0</v>
      </c>
      <c r="J116" s="707">
        <f t="shared" si="3"/>
        <v>0</v>
      </c>
      <c r="K116" s="70"/>
    </row>
    <row r="117" spans="1:11" ht="25.5" customHeight="1">
      <c r="A117" s="74">
        <v>2605243</v>
      </c>
      <c r="B117" s="74" t="s">
        <v>1481</v>
      </c>
      <c r="C117" s="74">
        <v>3</v>
      </c>
      <c r="D117" s="33" t="s">
        <v>2026</v>
      </c>
      <c r="E117" s="33">
        <v>5</v>
      </c>
      <c r="F117" s="33"/>
      <c r="G117" s="522"/>
      <c r="H117" s="707">
        <v>600</v>
      </c>
      <c r="I117" s="707">
        <f t="shared" si="2"/>
        <v>690</v>
      </c>
      <c r="J117" s="707">
        <f t="shared" si="3"/>
        <v>780</v>
      </c>
      <c r="K117" s="70"/>
    </row>
    <row r="118" spans="1:11" ht="25.5" customHeight="1">
      <c r="A118" s="74">
        <v>2609135</v>
      </c>
      <c r="B118" s="74" t="s">
        <v>2274</v>
      </c>
      <c r="C118" s="33">
        <v>1</v>
      </c>
      <c r="D118" s="33" t="s">
        <v>2191</v>
      </c>
      <c r="E118" s="33">
        <v>5</v>
      </c>
      <c r="F118" s="33"/>
      <c r="G118" s="522"/>
      <c r="H118" s="707"/>
      <c r="I118" s="707">
        <f t="shared" si="2"/>
        <v>0</v>
      </c>
      <c r="J118" s="707">
        <f t="shared" si="3"/>
        <v>0</v>
      </c>
      <c r="K118" s="70" t="s">
        <v>51</v>
      </c>
    </row>
    <row r="119" spans="1:11" ht="25.5" customHeight="1">
      <c r="A119" s="33">
        <v>2609173</v>
      </c>
      <c r="B119" s="33" t="s">
        <v>10</v>
      </c>
      <c r="C119" s="33">
        <v>1</v>
      </c>
      <c r="D119" s="33" t="s">
        <v>2363</v>
      </c>
      <c r="E119" s="33">
        <v>4</v>
      </c>
      <c r="F119" s="33"/>
      <c r="G119" s="522"/>
      <c r="H119" s="707">
        <v>1700</v>
      </c>
      <c r="I119" s="707">
        <f t="shared" si="2"/>
        <v>1954.9999999999998</v>
      </c>
      <c r="J119" s="707">
        <f t="shared" si="3"/>
        <v>2210</v>
      </c>
      <c r="K119" s="70"/>
    </row>
    <row r="120" spans="1:11" ht="25.5" customHeight="1">
      <c r="A120" s="74">
        <v>2609708</v>
      </c>
      <c r="B120" s="74" t="s">
        <v>1030</v>
      </c>
      <c r="C120" s="74">
        <v>13</v>
      </c>
      <c r="D120" s="33" t="s">
        <v>1201</v>
      </c>
      <c r="E120" s="33">
        <v>5</v>
      </c>
      <c r="F120" s="33"/>
      <c r="G120" s="522"/>
      <c r="H120" s="707">
        <v>20</v>
      </c>
      <c r="I120" s="707">
        <f t="shared" si="2"/>
        <v>23</v>
      </c>
      <c r="J120" s="707">
        <f t="shared" si="3"/>
        <v>26</v>
      </c>
      <c r="K120" s="70"/>
    </row>
    <row r="121" spans="1:11" ht="25.5" customHeight="1">
      <c r="A121" s="74">
        <v>2609833</v>
      </c>
      <c r="B121" s="75" t="s">
        <v>1315</v>
      </c>
      <c r="C121" s="74">
        <v>55</v>
      </c>
      <c r="D121" s="33" t="s">
        <v>1201</v>
      </c>
      <c r="E121" s="33">
        <v>5</v>
      </c>
      <c r="F121" s="33"/>
      <c r="G121" s="522"/>
      <c r="H121" s="707"/>
      <c r="I121" s="707">
        <f t="shared" si="2"/>
        <v>0</v>
      </c>
      <c r="J121" s="707">
        <f t="shared" si="3"/>
        <v>0</v>
      </c>
      <c r="K121" s="70"/>
    </row>
    <row r="122" spans="1:11" ht="25.5" customHeight="1">
      <c r="A122" s="33">
        <v>2609833</v>
      </c>
      <c r="B122" s="75" t="s">
        <v>1315</v>
      </c>
      <c r="C122" s="33">
        <v>3</v>
      </c>
      <c r="D122" s="33" t="s">
        <v>1372</v>
      </c>
      <c r="E122" s="33">
        <v>4</v>
      </c>
      <c r="F122" s="33"/>
      <c r="G122" s="522"/>
      <c r="H122" s="707"/>
      <c r="I122" s="707">
        <f t="shared" si="2"/>
        <v>0</v>
      </c>
      <c r="J122" s="707">
        <f t="shared" si="3"/>
        <v>0</v>
      </c>
      <c r="K122" s="70"/>
    </row>
    <row r="123" spans="1:11" ht="25.5" customHeight="1">
      <c r="A123" s="74">
        <v>2610484</v>
      </c>
      <c r="B123" s="74" t="s">
        <v>137</v>
      </c>
      <c r="C123" s="74">
        <v>322</v>
      </c>
      <c r="D123" s="33" t="s">
        <v>2026</v>
      </c>
      <c r="E123" s="33">
        <v>5</v>
      </c>
      <c r="F123" s="33"/>
      <c r="G123" s="522"/>
      <c r="H123" s="707">
        <v>2</v>
      </c>
      <c r="I123" s="707">
        <f t="shared" si="2"/>
        <v>2.2999999999999998</v>
      </c>
      <c r="J123" s="707">
        <f t="shared" si="3"/>
        <v>2.6</v>
      </c>
      <c r="K123" s="70"/>
    </row>
    <row r="124" spans="1:11" ht="25.5" customHeight="1">
      <c r="A124" s="33">
        <v>2612262</v>
      </c>
      <c r="B124" s="66" t="s">
        <v>1319</v>
      </c>
      <c r="C124" s="66">
        <v>12</v>
      </c>
      <c r="D124" s="66" t="s">
        <v>1201</v>
      </c>
      <c r="E124" s="66">
        <v>5</v>
      </c>
      <c r="F124" s="66"/>
      <c r="G124" s="689"/>
      <c r="H124" s="707"/>
      <c r="I124" s="707">
        <f t="shared" si="2"/>
        <v>0</v>
      </c>
      <c r="J124" s="707">
        <f t="shared" si="3"/>
        <v>0</v>
      </c>
      <c r="K124" s="70"/>
    </row>
    <row r="125" spans="1:11" ht="25.5" customHeight="1">
      <c r="A125" s="33">
        <v>2612767</v>
      </c>
      <c r="B125" s="33" t="s">
        <v>27</v>
      </c>
      <c r="C125" s="33">
        <v>5</v>
      </c>
      <c r="D125" s="33" t="s">
        <v>1325</v>
      </c>
      <c r="E125" s="33">
        <v>2</v>
      </c>
      <c r="F125" s="33"/>
      <c r="G125" s="522"/>
      <c r="H125" s="707"/>
      <c r="I125" s="707">
        <f t="shared" si="2"/>
        <v>0</v>
      </c>
      <c r="J125" s="707">
        <f t="shared" si="3"/>
        <v>0</v>
      </c>
      <c r="K125" s="70"/>
    </row>
    <row r="126" spans="1:11" ht="25.5" customHeight="1">
      <c r="A126" s="33">
        <v>2762307</v>
      </c>
      <c r="B126" s="33" t="s">
        <v>3278</v>
      </c>
      <c r="C126" s="33">
        <v>1</v>
      </c>
      <c r="D126" s="33" t="s">
        <v>3279</v>
      </c>
      <c r="E126" s="33">
        <v>3</v>
      </c>
      <c r="F126" s="33"/>
      <c r="G126" s="522"/>
      <c r="H126" s="707"/>
      <c r="I126" s="707">
        <f t="shared" si="2"/>
        <v>0</v>
      </c>
      <c r="J126" s="707">
        <f t="shared" si="3"/>
        <v>0</v>
      </c>
      <c r="K126" s="70"/>
    </row>
    <row r="127" spans="1:11" ht="25.5" customHeight="1">
      <c r="A127" s="11">
        <v>3022383</v>
      </c>
      <c r="B127" s="34" t="s">
        <v>83</v>
      </c>
      <c r="C127" s="11">
        <v>3</v>
      </c>
      <c r="D127" s="33" t="s">
        <v>3053</v>
      </c>
      <c r="E127" s="33">
        <v>3</v>
      </c>
      <c r="F127" s="33"/>
      <c r="G127" s="522"/>
      <c r="H127" s="707">
        <v>150</v>
      </c>
      <c r="I127" s="707">
        <f t="shared" si="2"/>
        <v>172.5</v>
      </c>
      <c r="J127" s="707">
        <f t="shared" si="3"/>
        <v>195</v>
      </c>
      <c r="K127" s="70"/>
    </row>
    <row r="128" spans="1:11" ht="25.5" customHeight="1">
      <c r="A128" s="11">
        <v>3022983</v>
      </c>
      <c r="B128" s="34" t="s">
        <v>3091</v>
      </c>
      <c r="C128" s="11">
        <v>3</v>
      </c>
      <c r="D128" s="33" t="s">
        <v>3053</v>
      </c>
      <c r="E128" s="33">
        <v>3</v>
      </c>
      <c r="F128" s="33"/>
      <c r="G128" s="522"/>
      <c r="H128" s="707"/>
      <c r="I128" s="707">
        <f t="shared" si="2"/>
        <v>0</v>
      </c>
      <c r="J128" s="707">
        <f t="shared" si="3"/>
        <v>0</v>
      </c>
      <c r="K128" s="70"/>
    </row>
    <row r="129" spans="1:11" ht="25.5" customHeight="1">
      <c r="A129" s="59">
        <v>3026652</v>
      </c>
      <c r="B129" s="59" t="s">
        <v>83</v>
      </c>
      <c r="C129" s="59">
        <v>6</v>
      </c>
      <c r="D129" s="71" t="s">
        <v>2947</v>
      </c>
      <c r="E129" s="354">
        <v>5</v>
      </c>
      <c r="F129" s="354"/>
      <c r="G129" s="688"/>
      <c r="H129" s="707">
        <v>450</v>
      </c>
      <c r="I129" s="707">
        <f t="shared" si="2"/>
        <v>517.5</v>
      </c>
      <c r="J129" s="707">
        <f t="shared" si="3"/>
        <v>585</v>
      </c>
      <c r="K129" s="70"/>
    </row>
    <row r="130" spans="1:11" ht="25.5" customHeight="1">
      <c r="A130" s="33">
        <v>3029268</v>
      </c>
      <c r="B130" s="33" t="s">
        <v>3385</v>
      </c>
      <c r="C130" s="33">
        <v>2</v>
      </c>
      <c r="D130" s="33" t="s">
        <v>3348</v>
      </c>
      <c r="E130" s="33">
        <v>4</v>
      </c>
      <c r="F130" s="33"/>
      <c r="G130" s="522"/>
      <c r="H130" s="707"/>
      <c r="I130" s="707">
        <f t="shared" ref="I130:I193" si="4">H130 * 1.15</f>
        <v>0</v>
      </c>
      <c r="J130" s="707">
        <f t="shared" ref="J130:J193" si="5">H130 * 1.3</f>
        <v>0</v>
      </c>
      <c r="K130" s="70"/>
    </row>
    <row r="131" spans="1:11" ht="25.5" customHeight="1">
      <c r="A131" s="33">
        <v>3033315</v>
      </c>
      <c r="B131" s="33" t="s">
        <v>34</v>
      </c>
      <c r="C131" s="33">
        <v>1</v>
      </c>
      <c r="D131" s="33" t="s">
        <v>992</v>
      </c>
      <c r="E131" s="33">
        <v>4</v>
      </c>
      <c r="F131" s="33"/>
      <c r="G131" s="522"/>
      <c r="H131" s="707"/>
      <c r="I131" s="707">
        <f t="shared" si="4"/>
        <v>0</v>
      </c>
      <c r="J131" s="707">
        <f t="shared" si="5"/>
        <v>0</v>
      </c>
      <c r="K131" s="70"/>
    </row>
    <row r="132" spans="1:11" ht="25.5" customHeight="1">
      <c r="A132" s="33">
        <v>3033355</v>
      </c>
      <c r="B132" s="33" t="s">
        <v>97</v>
      </c>
      <c r="C132" s="33">
        <v>2</v>
      </c>
      <c r="D132" s="33" t="s">
        <v>1141</v>
      </c>
      <c r="E132" s="33">
        <v>2</v>
      </c>
      <c r="F132" s="33"/>
      <c r="G132" s="522"/>
      <c r="H132" s="707">
        <v>40</v>
      </c>
      <c r="I132" s="707">
        <f t="shared" si="4"/>
        <v>46</v>
      </c>
      <c r="J132" s="707">
        <f t="shared" si="5"/>
        <v>52</v>
      </c>
      <c r="K132" s="70"/>
    </row>
    <row r="133" spans="1:11" ht="25.5" hidden="1" customHeight="1">
      <c r="A133" s="2" t="s">
        <v>54</v>
      </c>
      <c r="B133" s="2" t="s">
        <v>41</v>
      </c>
      <c r="C133" s="2">
        <v>0</v>
      </c>
      <c r="D133" s="2" t="s">
        <v>11</v>
      </c>
      <c r="E133" s="33">
        <v>1</v>
      </c>
      <c r="F133" s="33"/>
      <c r="G133" s="33"/>
      <c r="H133" s="56">
        <v>1</v>
      </c>
      <c r="I133" s="56">
        <f t="shared" si="4"/>
        <v>1.1499999999999999</v>
      </c>
      <c r="J133" s="56">
        <f t="shared" si="5"/>
        <v>1.3</v>
      </c>
      <c r="K133" s="70" t="s">
        <v>84</v>
      </c>
    </row>
    <row r="134" spans="1:11" ht="25.5" hidden="1" customHeight="1">
      <c r="A134" s="33" t="s">
        <v>57</v>
      </c>
      <c r="B134" s="2" t="s">
        <v>58</v>
      </c>
      <c r="C134" s="2">
        <v>0</v>
      </c>
      <c r="D134" s="2" t="s">
        <v>11</v>
      </c>
      <c r="E134" s="33">
        <v>1</v>
      </c>
      <c r="F134" s="33"/>
      <c r="G134" s="33"/>
      <c r="H134" s="56">
        <v>2</v>
      </c>
      <c r="I134" s="56">
        <f t="shared" si="4"/>
        <v>2.2999999999999998</v>
      </c>
      <c r="J134" s="56">
        <f t="shared" si="5"/>
        <v>2.6</v>
      </c>
      <c r="K134" s="70" t="s">
        <v>84</v>
      </c>
    </row>
    <row r="135" spans="1:11" ht="25.5" hidden="1" customHeight="1">
      <c r="A135" s="33" t="s">
        <v>82</v>
      </c>
      <c r="B135" s="33" t="s">
        <v>83</v>
      </c>
      <c r="C135" s="2">
        <v>0</v>
      </c>
      <c r="D135" s="2" t="s">
        <v>11</v>
      </c>
      <c r="E135" s="33">
        <v>1</v>
      </c>
      <c r="F135" s="33"/>
      <c r="G135" s="33"/>
      <c r="H135" s="57">
        <v>250</v>
      </c>
      <c r="I135" s="56">
        <f t="shared" si="4"/>
        <v>287.5</v>
      </c>
      <c r="J135" s="57">
        <f t="shared" si="5"/>
        <v>325</v>
      </c>
      <c r="K135" s="70" t="s">
        <v>84</v>
      </c>
    </row>
    <row r="136" spans="1:11" ht="25.5" hidden="1" customHeight="1">
      <c r="A136" s="33" t="s">
        <v>88</v>
      </c>
      <c r="B136" s="33" t="s">
        <v>27</v>
      </c>
      <c r="C136" s="2">
        <v>0</v>
      </c>
      <c r="D136" s="2" t="s">
        <v>11</v>
      </c>
      <c r="E136" s="33">
        <v>1</v>
      </c>
      <c r="F136" s="33"/>
      <c r="G136" s="33"/>
      <c r="H136" s="56">
        <v>3</v>
      </c>
      <c r="I136" s="56">
        <f t="shared" si="4"/>
        <v>3.4499999999999997</v>
      </c>
      <c r="J136" s="56">
        <f t="shared" si="5"/>
        <v>3.9000000000000004</v>
      </c>
      <c r="K136" s="70" t="s">
        <v>84</v>
      </c>
    </row>
    <row r="137" spans="1:11" ht="25.5" hidden="1" customHeight="1">
      <c r="A137" s="250" t="s">
        <v>90</v>
      </c>
      <c r="B137" s="33" t="s">
        <v>41</v>
      </c>
      <c r="C137" s="33">
        <v>0</v>
      </c>
      <c r="D137" s="2" t="s">
        <v>11</v>
      </c>
      <c r="E137" s="33">
        <v>1</v>
      </c>
      <c r="F137" s="33"/>
      <c r="G137" s="33"/>
      <c r="H137" s="56">
        <v>3</v>
      </c>
      <c r="I137" s="56">
        <f t="shared" si="4"/>
        <v>3.4499999999999997</v>
      </c>
      <c r="J137" s="56">
        <f t="shared" si="5"/>
        <v>3.9000000000000004</v>
      </c>
      <c r="K137" s="70" t="s">
        <v>84</v>
      </c>
    </row>
    <row r="138" spans="1:11" ht="25.5" hidden="1" customHeight="1">
      <c r="A138" s="250" t="s">
        <v>91</v>
      </c>
      <c r="B138" s="33" t="s">
        <v>27</v>
      </c>
      <c r="C138" s="33">
        <v>0</v>
      </c>
      <c r="D138" s="2" t="s">
        <v>11</v>
      </c>
      <c r="E138" s="33">
        <v>1</v>
      </c>
      <c r="F138" s="33"/>
      <c r="G138" s="33"/>
      <c r="H138" s="56"/>
      <c r="I138" s="56">
        <f t="shared" si="4"/>
        <v>0</v>
      </c>
      <c r="J138" s="56">
        <f t="shared" si="5"/>
        <v>0</v>
      </c>
      <c r="K138" s="70" t="s">
        <v>84</v>
      </c>
    </row>
    <row r="139" spans="1:11" ht="25.5" hidden="1" customHeight="1">
      <c r="A139" s="2" t="s">
        <v>113</v>
      </c>
      <c r="B139" s="2" t="s">
        <v>19</v>
      </c>
      <c r="C139" s="2">
        <v>0</v>
      </c>
      <c r="D139" s="2" t="s">
        <v>11</v>
      </c>
      <c r="E139" s="33">
        <v>2</v>
      </c>
      <c r="F139" s="33"/>
      <c r="G139" s="33"/>
      <c r="H139" s="56">
        <v>5</v>
      </c>
      <c r="I139" s="56">
        <f t="shared" si="4"/>
        <v>5.75</v>
      </c>
      <c r="J139" s="56">
        <f t="shared" si="5"/>
        <v>6.5</v>
      </c>
      <c r="K139" s="70" t="s">
        <v>84</v>
      </c>
    </row>
    <row r="140" spans="1:11" ht="25.5" hidden="1" customHeight="1">
      <c r="A140" s="2" t="s">
        <v>118</v>
      </c>
      <c r="B140" s="2" t="s">
        <v>10</v>
      </c>
      <c r="C140" s="2">
        <v>0</v>
      </c>
      <c r="D140" s="2" t="s">
        <v>11</v>
      </c>
      <c r="E140" s="33">
        <v>2</v>
      </c>
      <c r="F140" s="33"/>
      <c r="G140" s="33"/>
      <c r="H140" s="56">
        <v>2</v>
      </c>
      <c r="I140" s="56">
        <f t="shared" si="4"/>
        <v>2.2999999999999998</v>
      </c>
      <c r="J140" s="56">
        <f t="shared" si="5"/>
        <v>2.6</v>
      </c>
      <c r="K140" s="70" t="s">
        <v>84</v>
      </c>
    </row>
    <row r="141" spans="1:11" ht="25.5" hidden="1" customHeight="1">
      <c r="A141" s="2" t="s">
        <v>119</v>
      </c>
      <c r="B141" s="2" t="s">
        <v>21</v>
      </c>
      <c r="C141" s="2">
        <v>0</v>
      </c>
      <c r="D141" s="2" t="s">
        <v>11</v>
      </c>
      <c r="E141" s="33">
        <v>2</v>
      </c>
      <c r="F141" s="33"/>
      <c r="G141" s="33"/>
      <c r="H141" s="56"/>
      <c r="I141" s="56">
        <f t="shared" si="4"/>
        <v>0</v>
      </c>
      <c r="J141" s="56">
        <f t="shared" si="5"/>
        <v>0</v>
      </c>
      <c r="K141" s="70" t="s">
        <v>84</v>
      </c>
    </row>
    <row r="142" spans="1:11" ht="25.5" hidden="1" customHeight="1">
      <c r="A142" s="2" t="s">
        <v>120</v>
      </c>
      <c r="B142" s="2" t="s">
        <v>10</v>
      </c>
      <c r="C142" s="2">
        <v>0</v>
      </c>
      <c r="D142" s="2" t="s">
        <v>11</v>
      </c>
      <c r="E142" s="33">
        <v>2</v>
      </c>
      <c r="F142" s="33"/>
      <c r="G142" s="33"/>
      <c r="H142" s="56"/>
      <c r="I142" s="56">
        <f t="shared" si="4"/>
        <v>0</v>
      </c>
      <c r="J142" s="56">
        <f t="shared" si="5"/>
        <v>0</v>
      </c>
      <c r="K142" s="70" t="s">
        <v>84</v>
      </c>
    </row>
    <row r="143" spans="1:11" ht="25.5" hidden="1" customHeight="1">
      <c r="A143" s="33" t="s">
        <v>127</v>
      </c>
      <c r="B143" s="33" t="s">
        <v>10</v>
      </c>
      <c r="C143" s="2">
        <v>0</v>
      </c>
      <c r="D143" s="2" t="s">
        <v>11</v>
      </c>
      <c r="E143" s="33">
        <v>2</v>
      </c>
      <c r="F143" s="33"/>
      <c r="G143" s="33"/>
      <c r="H143" s="56">
        <v>10</v>
      </c>
      <c r="I143" s="56">
        <f t="shared" si="4"/>
        <v>11.5</v>
      </c>
      <c r="J143" s="56">
        <f t="shared" si="5"/>
        <v>13</v>
      </c>
      <c r="K143" s="70" t="s">
        <v>84</v>
      </c>
    </row>
    <row r="144" spans="1:11" ht="25.5" hidden="1" customHeight="1">
      <c r="A144" s="33" t="s">
        <v>131</v>
      </c>
      <c r="B144" s="33" t="s">
        <v>10</v>
      </c>
      <c r="C144" s="33">
        <v>0</v>
      </c>
      <c r="D144" s="2" t="s">
        <v>11</v>
      </c>
      <c r="E144" s="33">
        <v>2</v>
      </c>
      <c r="F144" s="33"/>
      <c r="G144" s="33"/>
      <c r="H144" s="56"/>
      <c r="I144" s="56">
        <f t="shared" si="4"/>
        <v>0</v>
      </c>
      <c r="J144" s="56">
        <f t="shared" si="5"/>
        <v>0</v>
      </c>
      <c r="K144" s="70" t="s">
        <v>84</v>
      </c>
    </row>
    <row r="145" spans="1:14" ht="25.5" hidden="1" customHeight="1">
      <c r="A145" s="2" t="s">
        <v>138</v>
      </c>
      <c r="B145" s="2" t="s">
        <v>139</v>
      </c>
      <c r="C145" s="2">
        <v>0</v>
      </c>
      <c r="D145" s="2" t="s">
        <v>11</v>
      </c>
      <c r="E145" s="33">
        <v>3</v>
      </c>
      <c r="F145" s="33"/>
      <c r="G145" s="33"/>
      <c r="H145" s="56">
        <v>100</v>
      </c>
      <c r="I145" s="56">
        <f t="shared" si="4"/>
        <v>114.99999999999999</v>
      </c>
      <c r="J145" s="56">
        <f t="shared" si="5"/>
        <v>130</v>
      </c>
      <c r="K145" s="70" t="s">
        <v>84</v>
      </c>
    </row>
    <row r="146" spans="1:14" ht="25.5" hidden="1" customHeight="1">
      <c r="A146" s="2" t="s">
        <v>148</v>
      </c>
      <c r="B146" s="2" t="s">
        <v>50</v>
      </c>
      <c r="C146" s="2">
        <v>0</v>
      </c>
      <c r="D146" s="2" t="s">
        <v>11</v>
      </c>
      <c r="E146" s="33">
        <v>3</v>
      </c>
      <c r="F146" s="33"/>
      <c r="G146" s="33"/>
      <c r="H146" s="56"/>
      <c r="I146" s="56">
        <f t="shared" si="4"/>
        <v>0</v>
      </c>
      <c r="J146" s="56">
        <f t="shared" si="5"/>
        <v>0</v>
      </c>
      <c r="K146" s="70" t="s">
        <v>84</v>
      </c>
    </row>
    <row r="147" spans="1:14" ht="25.5" hidden="1" customHeight="1">
      <c r="A147" s="2" t="s">
        <v>168</v>
      </c>
      <c r="B147" s="2" t="s">
        <v>27</v>
      </c>
      <c r="C147" s="2">
        <v>0</v>
      </c>
      <c r="D147" s="2" t="s">
        <v>11</v>
      </c>
      <c r="E147" s="33">
        <v>3</v>
      </c>
      <c r="F147" s="33"/>
      <c r="G147" s="33"/>
      <c r="H147" s="56"/>
      <c r="I147" s="56">
        <f t="shared" si="4"/>
        <v>0</v>
      </c>
      <c r="J147" s="56">
        <f t="shared" si="5"/>
        <v>0</v>
      </c>
      <c r="K147" s="70" t="s">
        <v>84</v>
      </c>
    </row>
    <row r="148" spans="1:14" ht="25.5" hidden="1" customHeight="1">
      <c r="A148" s="2" t="s">
        <v>167</v>
      </c>
      <c r="B148" s="2" t="s">
        <v>21</v>
      </c>
      <c r="C148" s="2">
        <v>0</v>
      </c>
      <c r="D148" s="2" t="s">
        <v>11</v>
      </c>
      <c r="E148" s="33">
        <v>3</v>
      </c>
      <c r="F148" s="33"/>
      <c r="G148" s="33"/>
      <c r="H148" s="56"/>
      <c r="I148" s="56">
        <f t="shared" si="4"/>
        <v>0</v>
      </c>
      <c r="J148" s="56">
        <f t="shared" si="5"/>
        <v>0</v>
      </c>
      <c r="K148" s="70" t="s">
        <v>84</v>
      </c>
    </row>
    <row r="149" spans="1:14" ht="25.5" hidden="1" customHeight="1">
      <c r="A149" s="249" t="s">
        <v>189</v>
      </c>
      <c r="B149" s="2" t="s">
        <v>27</v>
      </c>
      <c r="C149" s="2">
        <v>0</v>
      </c>
      <c r="D149" s="2" t="s">
        <v>188</v>
      </c>
      <c r="E149" s="33">
        <v>4</v>
      </c>
      <c r="F149" s="33"/>
      <c r="G149" s="33"/>
      <c r="H149" s="56">
        <v>2</v>
      </c>
      <c r="I149" s="56">
        <f t="shared" si="4"/>
        <v>2.2999999999999998</v>
      </c>
      <c r="J149" s="56">
        <f t="shared" si="5"/>
        <v>2.6</v>
      </c>
      <c r="K149" s="70" t="s">
        <v>84</v>
      </c>
    </row>
    <row r="150" spans="1:14" ht="25.5" hidden="1" customHeight="1">
      <c r="A150" s="2" t="s">
        <v>193</v>
      </c>
      <c r="B150" s="2" t="s">
        <v>10</v>
      </c>
      <c r="C150" s="2">
        <v>0</v>
      </c>
      <c r="D150" s="2" t="s">
        <v>188</v>
      </c>
      <c r="E150" s="33">
        <v>4</v>
      </c>
      <c r="F150" s="33"/>
      <c r="G150" s="33"/>
      <c r="H150" s="56"/>
      <c r="I150" s="56">
        <f t="shared" si="4"/>
        <v>0</v>
      </c>
      <c r="J150" s="56">
        <f t="shared" si="5"/>
        <v>0</v>
      </c>
      <c r="K150" s="70" t="s">
        <v>84</v>
      </c>
    </row>
    <row r="151" spans="1:14" ht="25.5" hidden="1" customHeight="1">
      <c r="A151" s="33" t="s">
        <v>200</v>
      </c>
      <c r="B151" s="2" t="s">
        <v>201</v>
      </c>
      <c r="C151" s="2">
        <v>0</v>
      </c>
      <c r="D151" s="2" t="s">
        <v>188</v>
      </c>
      <c r="E151" s="33">
        <v>4</v>
      </c>
      <c r="F151" s="33"/>
      <c r="G151" s="33"/>
      <c r="H151" s="56"/>
      <c r="I151" s="56">
        <f t="shared" si="4"/>
        <v>0</v>
      </c>
      <c r="J151" s="56">
        <f t="shared" si="5"/>
        <v>0</v>
      </c>
      <c r="K151" s="70" t="s">
        <v>84</v>
      </c>
    </row>
    <row r="152" spans="1:14" ht="25.5" hidden="1" customHeight="1">
      <c r="A152" s="2" t="s">
        <v>208</v>
      </c>
      <c r="B152" s="2" t="s">
        <v>50</v>
      </c>
      <c r="C152" s="2">
        <v>0</v>
      </c>
      <c r="D152" s="2" t="s">
        <v>188</v>
      </c>
      <c r="E152" s="33">
        <v>4</v>
      </c>
      <c r="F152" s="33"/>
      <c r="G152" s="33"/>
      <c r="H152" s="56"/>
      <c r="I152" s="56">
        <f t="shared" si="4"/>
        <v>0</v>
      </c>
      <c r="J152" s="56">
        <f t="shared" si="5"/>
        <v>0</v>
      </c>
      <c r="K152" s="70" t="s">
        <v>84</v>
      </c>
    </row>
    <row r="153" spans="1:14" ht="25.5" hidden="1" customHeight="1">
      <c r="A153" s="2" t="s">
        <v>210</v>
      </c>
      <c r="B153" s="2" t="s">
        <v>83</v>
      </c>
      <c r="C153" s="2">
        <v>0</v>
      </c>
      <c r="D153" s="2" t="s">
        <v>188</v>
      </c>
      <c r="E153" s="33">
        <v>4</v>
      </c>
      <c r="F153" s="33"/>
      <c r="G153" s="33"/>
      <c r="H153" s="56"/>
      <c r="I153" s="56">
        <f t="shared" si="4"/>
        <v>0</v>
      </c>
      <c r="J153" s="56">
        <f t="shared" si="5"/>
        <v>0</v>
      </c>
      <c r="K153" s="70" t="s">
        <v>84</v>
      </c>
      <c r="N153" s="52" t="s">
        <v>175</v>
      </c>
    </row>
    <row r="154" spans="1:14" ht="25.5" hidden="1" customHeight="1">
      <c r="A154" s="2" t="s">
        <v>211</v>
      </c>
      <c r="B154" s="2" t="s">
        <v>83</v>
      </c>
      <c r="C154" s="2">
        <v>0</v>
      </c>
      <c r="D154" s="2" t="s">
        <v>188</v>
      </c>
      <c r="E154" s="33">
        <v>4</v>
      </c>
      <c r="F154" s="33"/>
      <c r="G154" s="33"/>
      <c r="H154" s="56">
        <v>50</v>
      </c>
      <c r="I154" s="56">
        <f t="shared" si="4"/>
        <v>57.499999999999993</v>
      </c>
      <c r="J154" s="56">
        <f t="shared" si="5"/>
        <v>65</v>
      </c>
      <c r="K154" s="70" t="s">
        <v>84</v>
      </c>
    </row>
    <row r="155" spans="1:14" ht="25.5" hidden="1" customHeight="1">
      <c r="A155" s="2" t="s">
        <v>220</v>
      </c>
      <c r="B155" s="2" t="s">
        <v>221</v>
      </c>
      <c r="C155" s="2">
        <v>0</v>
      </c>
      <c r="D155" s="2" t="s">
        <v>188</v>
      </c>
      <c r="E155" s="33">
        <v>4</v>
      </c>
      <c r="F155" s="33"/>
      <c r="G155" s="33"/>
      <c r="H155" s="56">
        <v>200</v>
      </c>
      <c r="I155" s="56">
        <f t="shared" si="4"/>
        <v>229.99999999999997</v>
      </c>
      <c r="J155" s="56">
        <f t="shared" si="5"/>
        <v>260</v>
      </c>
      <c r="K155" s="70" t="s">
        <v>84</v>
      </c>
    </row>
    <row r="156" spans="1:14" ht="25.5" hidden="1" customHeight="1">
      <c r="A156" s="33" t="s">
        <v>229</v>
      </c>
      <c r="B156" s="33" t="s">
        <v>10</v>
      </c>
      <c r="C156" s="2">
        <v>0</v>
      </c>
      <c r="D156" s="2" t="s">
        <v>188</v>
      </c>
      <c r="E156" s="33">
        <v>4</v>
      </c>
      <c r="F156" s="33"/>
      <c r="G156" s="33"/>
      <c r="H156" s="56"/>
      <c r="I156" s="56">
        <f t="shared" si="4"/>
        <v>0</v>
      </c>
      <c r="J156" s="56">
        <f t="shared" si="5"/>
        <v>0</v>
      </c>
      <c r="K156" s="70" t="s">
        <v>84</v>
      </c>
    </row>
    <row r="157" spans="1:14" ht="25.5" hidden="1" customHeight="1">
      <c r="A157" s="33" t="s">
        <v>232</v>
      </c>
      <c r="B157" s="33" t="s">
        <v>19</v>
      </c>
      <c r="C157" s="33">
        <v>0</v>
      </c>
      <c r="D157" s="2" t="s">
        <v>188</v>
      </c>
      <c r="E157" s="33">
        <v>4</v>
      </c>
      <c r="F157" s="33"/>
      <c r="G157" s="33"/>
      <c r="H157" s="56"/>
      <c r="I157" s="56">
        <f t="shared" si="4"/>
        <v>0</v>
      </c>
      <c r="J157" s="56">
        <f t="shared" si="5"/>
        <v>0</v>
      </c>
      <c r="K157" s="70" t="s">
        <v>84</v>
      </c>
    </row>
    <row r="158" spans="1:14" ht="25.5" hidden="1" customHeight="1">
      <c r="A158" s="33" t="s">
        <v>233</v>
      </c>
      <c r="B158" s="33" t="s">
        <v>19</v>
      </c>
      <c r="C158" s="33">
        <v>0</v>
      </c>
      <c r="D158" s="2" t="s">
        <v>188</v>
      </c>
      <c r="E158" s="33">
        <v>4</v>
      </c>
      <c r="F158" s="33"/>
      <c r="G158" s="33"/>
      <c r="H158" s="56"/>
      <c r="I158" s="56">
        <f t="shared" si="4"/>
        <v>0</v>
      </c>
      <c r="J158" s="56">
        <f t="shared" si="5"/>
        <v>0</v>
      </c>
      <c r="K158" s="70" t="s">
        <v>84</v>
      </c>
    </row>
    <row r="159" spans="1:14" ht="25.5" hidden="1" customHeight="1">
      <c r="A159" s="33" t="s">
        <v>234</v>
      </c>
      <c r="B159" s="33" t="s">
        <v>27</v>
      </c>
      <c r="C159" s="33">
        <v>0</v>
      </c>
      <c r="D159" s="2" t="s">
        <v>188</v>
      </c>
      <c r="E159" s="33">
        <v>4</v>
      </c>
      <c r="F159" s="33"/>
      <c r="G159" s="33"/>
      <c r="H159" s="56"/>
      <c r="I159" s="56">
        <f t="shared" si="4"/>
        <v>0</v>
      </c>
      <c r="J159" s="56">
        <f t="shared" si="5"/>
        <v>0</v>
      </c>
      <c r="K159" s="70" t="s">
        <v>84</v>
      </c>
    </row>
    <row r="160" spans="1:14" ht="25.5" hidden="1" customHeight="1">
      <c r="A160" s="33" t="s">
        <v>242</v>
      </c>
      <c r="B160" s="33" t="s">
        <v>243</v>
      </c>
      <c r="C160" s="2">
        <v>0</v>
      </c>
      <c r="D160" s="2" t="s">
        <v>188</v>
      </c>
      <c r="E160" s="33">
        <v>5</v>
      </c>
      <c r="F160" s="33"/>
      <c r="G160" s="33"/>
      <c r="H160" s="56"/>
      <c r="I160" s="56">
        <f t="shared" si="4"/>
        <v>0</v>
      </c>
      <c r="J160" s="56">
        <f t="shared" si="5"/>
        <v>0</v>
      </c>
      <c r="K160" s="70" t="s">
        <v>84</v>
      </c>
    </row>
    <row r="161" spans="1:11" ht="25.5" hidden="1" customHeight="1">
      <c r="A161" s="33" t="s">
        <v>244</v>
      </c>
      <c r="B161" s="33" t="s">
        <v>245</v>
      </c>
      <c r="C161" s="2">
        <v>0</v>
      </c>
      <c r="D161" s="2" t="s">
        <v>188</v>
      </c>
      <c r="E161" s="33">
        <v>5</v>
      </c>
      <c r="F161" s="33"/>
      <c r="G161" s="33"/>
      <c r="H161" s="56"/>
      <c r="I161" s="56">
        <f t="shared" si="4"/>
        <v>0</v>
      </c>
      <c r="J161" s="56">
        <f t="shared" si="5"/>
        <v>0</v>
      </c>
      <c r="K161" s="70" t="s">
        <v>84</v>
      </c>
    </row>
    <row r="162" spans="1:11" ht="25.5" hidden="1" customHeight="1">
      <c r="A162" s="33" t="s">
        <v>246</v>
      </c>
      <c r="B162" s="33" t="s">
        <v>247</v>
      </c>
      <c r="C162" s="33">
        <v>0</v>
      </c>
      <c r="D162" s="2" t="s">
        <v>188</v>
      </c>
      <c r="E162" s="33">
        <v>5</v>
      </c>
      <c r="F162" s="33"/>
      <c r="G162" s="33"/>
      <c r="H162" s="56"/>
      <c r="I162" s="56">
        <f t="shared" si="4"/>
        <v>0</v>
      </c>
      <c r="J162" s="56">
        <f t="shared" si="5"/>
        <v>0</v>
      </c>
      <c r="K162" s="70" t="s">
        <v>84</v>
      </c>
    </row>
    <row r="163" spans="1:11" ht="25.5" hidden="1" customHeight="1">
      <c r="A163" s="33" t="s">
        <v>248</v>
      </c>
      <c r="B163" s="33" t="s">
        <v>41</v>
      </c>
      <c r="C163" s="33">
        <v>0</v>
      </c>
      <c r="D163" s="2" t="s">
        <v>188</v>
      </c>
      <c r="E163" s="33">
        <v>5</v>
      </c>
      <c r="F163" s="33"/>
      <c r="G163" s="33"/>
      <c r="H163" s="56"/>
      <c r="I163" s="56">
        <f t="shared" si="4"/>
        <v>0</v>
      </c>
      <c r="J163" s="56">
        <f t="shared" si="5"/>
        <v>0</v>
      </c>
      <c r="K163" s="70" t="s">
        <v>84</v>
      </c>
    </row>
    <row r="164" spans="1:11" ht="25.5" hidden="1" customHeight="1">
      <c r="A164" s="33" t="s">
        <v>251</v>
      </c>
      <c r="B164" s="33" t="s">
        <v>19</v>
      </c>
      <c r="C164" s="33">
        <v>0</v>
      </c>
      <c r="D164" s="2" t="s">
        <v>188</v>
      </c>
      <c r="E164" s="33">
        <v>5</v>
      </c>
      <c r="F164" s="33"/>
      <c r="G164" s="33"/>
      <c r="H164" s="56"/>
      <c r="I164" s="56">
        <f t="shared" si="4"/>
        <v>0</v>
      </c>
      <c r="J164" s="56">
        <f t="shared" si="5"/>
        <v>0</v>
      </c>
      <c r="K164" s="70" t="s">
        <v>84</v>
      </c>
    </row>
    <row r="165" spans="1:11" ht="25.5" hidden="1" customHeight="1">
      <c r="A165" s="250" t="s">
        <v>257</v>
      </c>
      <c r="B165" s="33" t="s">
        <v>27</v>
      </c>
      <c r="C165" s="33">
        <v>0</v>
      </c>
      <c r="D165" s="33" t="s">
        <v>188</v>
      </c>
      <c r="E165" s="33">
        <v>5</v>
      </c>
      <c r="F165" s="33"/>
      <c r="G165" s="33"/>
      <c r="H165" s="56"/>
      <c r="I165" s="56">
        <f t="shared" si="4"/>
        <v>0</v>
      </c>
      <c r="J165" s="56">
        <f t="shared" si="5"/>
        <v>0</v>
      </c>
      <c r="K165" s="70" t="s">
        <v>84</v>
      </c>
    </row>
    <row r="166" spans="1:11" ht="25.5" hidden="1" customHeight="1">
      <c r="A166" s="33" t="s">
        <v>258</v>
      </c>
      <c r="B166" s="33" t="s">
        <v>147</v>
      </c>
      <c r="C166" s="33">
        <v>0</v>
      </c>
      <c r="D166" s="33" t="s">
        <v>188</v>
      </c>
      <c r="E166" s="33">
        <v>5</v>
      </c>
      <c r="F166" s="33"/>
      <c r="G166" s="33"/>
      <c r="H166" s="56">
        <v>100</v>
      </c>
      <c r="I166" s="56">
        <f t="shared" si="4"/>
        <v>114.99999999999999</v>
      </c>
      <c r="J166" s="56">
        <f t="shared" si="5"/>
        <v>130</v>
      </c>
      <c r="K166" s="70" t="s">
        <v>84</v>
      </c>
    </row>
    <row r="167" spans="1:11" ht="25.5" hidden="1" customHeight="1">
      <c r="A167" s="33" t="s">
        <v>259</v>
      </c>
      <c r="B167" s="33" t="s">
        <v>260</v>
      </c>
      <c r="C167" s="33">
        <v>0</v>
      </c>
      <c r="D167" s="2" t="s">
        <v>188</v>
      </c>
      <c r="E167" s="33">
        <v>5</v>
      </c>
      <c r="F167" s="33"/>
      <c r="G167" s="33"/>
      <c r="H167" s="56"/>
      <c r="I167" s="56">
        <f t="shared" si="4"/>
        <v>0</v>
      </c>
      <c r="J167" s="56">
        <f t="shared" si="5"/>
        <v>0</v>
      </c>
      <c r="K167" s="70" t="s">
        <v>84</v>
      </c>
    </row>
    <row r="168" spans="1:11" ht="25.5" hidden="1" customHeight="1">
      <c r="A168" s="33" t="s">
        <v>264</v>
      </c>
      <c r="B168" s="55" t="s">
        <v>265</v>
      </c>
      <c r="C168" s="33">
        <v>0</v>
      </c>
      <c r="D168" s="2" t="s">
        <v>188</v>
      </c>
      <c r="E168" s="33">
        <v>5</v>
      </c>
      <c r="F168" s="33"/>
      <c r="G168" s="33"/>
      <c r="H168" s="56"/>
      <c r="I168" s="56">
        <f t="shared" si="4"/>
        <v>0</v>
      </c>
      <c r="J168" s="56">
        <f t="shared" si="5"/>
        <v>0</v>
      </c>
      <c r="K168" s="70" t="s">
        <v>84</v>
      </c>
    </row>
    <row r="169" spans="1:11" ht="25.5" hidden="1" customHeight="1">
      <c r="A169" s="33" t="s">
        <v>266</v>
      </c>
      <c r="B169" s="55" t="s">
        <v>267</v>
      </c>
      <c r="C169" s="33">
        <v>0</v>
      </c>
      <c r="D169" s="2" t="s">
        <v>188</v>
      </c>
      <c r="E169" s="33">
        <v>5</v>
      </c>
      <c r="F169" s="33"/>
      <c r="G169" s="33"/>
      <c r="H169" s="56"/>
      <c r="I169" s="56">
        <f t="shared" si="4"/>
        <v>0</v>
      </c>
      <c r="J169" s="56">
        <f t="shared" si="5"/>
        <v>0</v>
      </c>
      <c r="K169" s="70" t="s">
        <v>84</v>
      </c>
    </row>
    <row r="170" spans="1:11" ht="25.5" hidden="1" customHeight="1">
      <c r="A170" s="33" t="s">
        <v>268</v>
      </c>
      <c r="B170" s="55" t="s">
        <v>269</v>
      </c>
      <c r="C170" s="33">
        <v>0</v>
      </c>
      <c r="D170" s="2" t="s">
        <v>188</v>
      </c>
      <c r="E170" s="33">
        <v>5</v>
      </c>
      <c r="F170" s="33"/>
      <c r="G170" s="33"/>
      <c r="H170" s="56"/>
      <c r="I170" s="56">
        <f t="shared" si="4"/>
        <v>0</v>
      </c>
      <c r="J170" s="56">
        <f t="shared" si="5"/>
        <v>0</v>
      </c>
      <c r="K170" s="70" t="s">
        <v>84</v>
      </c>
    </row>
    <row r="171" spans="1:11" ht="25.5" hidden="1" customHeight="1">
      <c r="A171" s="33" t="s">
        <v>271</v>
      </c>
      <c r="B171" s="55" t="s">
        <v>272</v>
      </c>
      <c r="C171" s="33">
        <v>0</v>
      </c>
      <c r="D171" s="2" t="s">
        <v>188</v>
      </c>
      <c r="E171" s="33">
        <v>5</v>
      </c>
      <c r="F171" s="33"/>
      <c r="G171" s="33"/>
      <c r="H171" s="56"/>
      <c r="I171" s="56">
        <f t="shared" si="4"/>
        <v>0</v>
      </c>
      <c r="J171" s="56">
        <f t="shared" si="5"/>
        <v>0</v>
      </c>
      <c r="K171" s="70" t="s">
        <v>84</v>
      </c>
    </row>
    <row r="172" spans="1:11" ht="25.5" hidden="1" customHeight="1">
      <c r="A172" s="2" t="s">
        <v>273</v>
      </c>
      <c r="B172" s="2" t="s">
        <v>41</v>
      </c>
      <c r="C172" s="2">
        <v>0</v>
      </c>
      <c r="D172" s="2" t="s">
        <v>274</v>
      </c>
      <c r="E172" s="33">
        <v>1</v>
      </c>
      <c r="F172" s="33"/>
      <c r="G172" s="33"/>
      <c r="H172" s="56">
        <v>1</v>
      </c>
      <c r="I172" s="56">
        <f t="shared" si="4"/>
        <v>1.1499999999999999</v>
      </c>
      <c r="J172" s="56">
        <f t="shared" si="5"/>
        <v>1.3</v>
      </c>
      <c r="K172" s="70" t="s">
        <v>84</v>
      </c>
    </row>
    <row r="173" spans="1:11" ht="33.75" hidden="1" customHeight="1">
      <c r="A173" s="2" t="s">
        <v>291</v>
      </c>
      <c r="B173" s="2" t="s">
        <v>14</v>
      </c>
      <c r="C173" s="2">
        <v>0</v>
      </c>
      <c r="D173" s="2" t="s">
        <v>274</v>
      </c>
      <c r="E173" s="33">
        <v>1</v>
      </c>
      <c r="F173" s="33"/>
      <c r="G173" s="33"/>
      <c r="H173" s="56">
        <v>1</v>
      </c>
      <c r="I173" s="56">
        <f t="shared" si="4"/>
        <v>1.1499999999999999</v>
      </c>
      <c r="J173" s="56">
        <f t="shared" si="5"/>
        <v>1.3</v>
      </c>
      <c r="K173" s="70" t="s">
        <v>84</v>
      </c>
    </row>
    <row r="174" spans="1:11" ht="25.5" hidden="1" customHeight="1">
      <c r="A174" s="91" t="s">
        <v>298</v>
      </c>
      <c r="B174" s="91" t="s">
        <v>10</v>
      </c>
      <c r="C174" s="2">
        <v>0</v>
      </c>
      <c r="D174" s="2" t="s">
        <v>274</v>
      </c>
      <c r="E174" s="79">
        <v>1</v>
      </c>
      <c r="F174" s="79"/>
      <c r="G174" s="79"/>
      <c r="H174" s="60"/>
      <c r="I174" s="60">
        <f t="shared" si="4"/>
        <v>0</v>
      </c>
      <c r="J174" s="60">
        <f t="shared" si="5"/>
        <v>0</v>
      </c>
      <c r="K174" s="70" t="s">
        <v>84</v>
      </c>
    </row>
    <row r="175" spans="1:11" ht="25.5" hidden="1" customHeight="1">
      <c r="A175" s="2" t="s">
        <v>302</v>
      </c>
      <c r="B175" s="2" t="s">
        <v>27</v>
      </c>
      <c r="C175" s="2">
        <v>0</v>
      </c>
      <c r="D175" s="2" t="s">
        <v>274</v>
      </c>
      <c r="E175" s="33">
        <v>1</v>
      </c>
      <c r="F175" s="33"/>
      <c r="G175" s="33"/>
      <c r="H175" s="56"/>
      <c r="I175" s="56">
        <f t="shared" si="4"/>
        <v>0</v>
      </c>
      <c r="J175" s="56">
        <f t="shared" si="5"/>
        <v>0</v>
      </c>
      <c r="K175" s="70" t="s">
        <v>84</v>
      </c>
    </row>
    <row r="176" spans="1:11" ht="25.5" hidden="1" customHeight="1">
      <c r="A176" s="2" t="s">
        <v>303</v>
      </c>
      <c r="B176" s="2" t="s">
        <v>10</v>
      </c>
      <c r="C176" s="2">
        <v>0</v>
      </c>
      <c r="D176" s="2" t="s">
        <v>274</v>
      </c>
      <c r="E176" s="33">
        <v>1</v>
      </c>
      <c r="F176" s="33"/>
      <c r="G176" s="33"/>
      <c r="H176" s="56"/>
      <c r="I176" s="56">
        <f t="shared" si="4"/>
        <v>0</v>
      </c>
      <c r="J176" s="56">
        <f t="shared" si="5"/>
        <v>0</v>
      </c>
      <c r="K176" s="70" t="s">
        <v>84</v>
      </c>
    </row>
    <row r="177" spans="1:11" ht="25.5" hidden="1" customHeight="1">
      <c r="A177" s="2" t="s">
        <v>304</v>
      </c>
      <c r="B177" s="2" t="s">
        <v>81</v>
      </c>
      <c r="C177" s="2">
        <v>0</v>
      </c>
      <c r="D177" s="2" t="s">
        <v>274</v>
      </c>
      <c r="E177" s="33">
        <v>1</v>
      </c>
      <c r="F177" s="33"/>
      <c r="G177" s="33"/>
      <c r="H177" s="56"/>
      <c r="I177" s="56">
        <f t="shared" si="4"/>
        <v>0</v>
      </c>
      <c r="J177" s="56">
        <f t="shared" si="5"/>
        <v>0</v>
      </c>
      <c r="K177" s="70" t="s">
        <v>84</v>
      </c>
    </row>
    <row r="178" spans="1:11" ht="25.5" hidden="1" customHeight="1">
      <c r="A178" s="2" t="s">
        <v>308</v>
      </c>
      <c r="B178" s="2" t="s">
        <v>10</v>
      </c>
      <c r="C178" s="2">
        <v>0</v>
      </c>
      <c r="D178" s="2" t="s">
        <v>274</v>
      </c>
      <c r="E178" s="33">
        <v>1</v>
      </c>
      <c r="F178" s="33"/>
      <c r="G178" s="33"/>
      <c r="H178" s="56">
        <v>1.5</v>
      </c>
      <c r="I178" s="56">
        <f t="shared" si="4"/>
        <v>1.7249999999999999</v>
      </c>
      <c r="J178" s="56">
        <f t="shared" si="5"/>
        <v>1.9500000000000002</v>
      </c>
      <c r="K178" s="70" t="s">
        <v>84</v>
      </c>
    </row>
    <row r="179" spans="1:11" ht="25.5" hidden="1" customHeight="1">
      <c r="A179" s="33" t="s">
        <v>311</v>
      </c>
      <c r="B179" s="33" t="s">
        <v>10</v>
      </c>
      <c r="C179" s="33">
        <v>0</v>
      </c>
      <c r="D179" s="2" t="s">
        <v>274</v>
      </c>
      <c r="E179" s="33">
        <v>1</v>
      </c>
      <c r="F179" s="33"/>
      <c r="G179" s="33"/>
      <c r="H179" s="56"/>
      <c r="I179" s="56">
        <f t="shared" si="4"/>
        <v>0</v>
      </c>
      <c r="J179" s="56">
        <f t="shared" si="5"/>
        <v>0</v>
      </c>
      <c r="K179" s="70" t="s">
        <v>84</v>
      </c>
    </row>
    <row r="180" spans="1:11" ht="25.5" hidden="1" customHeight="1">
      <c r="A180" s="2" t="s">
        <v>323</v>
      </c>
      <c r="B180" s="2" t="s">
        <v>94</v>
      </c>
      <c r="C180" s="2">
        <v>0</v>
      </c>
      <c r="D180" s="2" t="s">
        <v>274</v>
      </c>
      <c r="E180" s="33">
        <v>1</v>
      </c>
      <c r="F180" s="33"/>
      <c r="G180" s="33"/>
      <c r="H180" s="56">
        <v>4</v>
      </c>
      <c r="I180" s="56">
        <f t="shared" si="4"/>
        <v>4.5999999999999996</v>
      </c>
      <c r="J180" s="56">
        <f t="shared" si="5"/>
        <v>5.2</v>
      </c>
      <c r="K180" s="70" t="s">
        <v>84</v>
      </c>
    </row>
    <row r="181" spans="1:11" ht="25.5" hidden="1" customHeight="1">
      <c r="A181" s="2" t="s">
        <v>189</v>
      </c>
      <c r="B181" s="2" t="s">
        <v>27</v>
      </c>
      <c r="C181" s="2">
        <v>0</v>
      </c>
      <c r="D181" s="2" t="s">
        <v>274</v>
      </c>
      <c r="E181" s="33">
        <v>1</v>
      </c>
      <c r="F181" s="33"/>
      <c r="G181" s="33"/>
      <c r="H181" s="56">
        <v>2</v>
      </c>
      <c r="I181" s="56">
        <f t="shared" si="4"/>
        <v>2.2999999999999998</v>
      </c>
      <c r="J181" s="56">
        <f t="shared" si="5"/>
        <v>2.6</v>
      </c>
      <c r="K181" s="70" t="s">
        <v>84</v>
      </c>
    </row>
    <row r="182" spans="1:11" ht="25.5" hidden="1" customHeight="1">
      <c r="A182" s="2" t="s">
        <v>333</v>
      </c>
      <c r="B182" s="2" t="s">
        <v>10</v>
      </c>
      <c r="C182" s="2">
        <v>0</v>
      </c>
      <c r="D182" s="2" t="s">
        <v>274</v>
      </c>
      <c r="E182" s="33">
        <v>1</v>
      </c>
      <c r="F182" s="33"/>
      <c r="G182" s="33"/>
      <c r="H182" s="56">
        <v>2</v>
      </c>
      <c r="I182" s="56">
        <f t="shared" si="4"/>
        <v>2.2999999999999998</v>
      </c>
      <c r="J182" s="56">
        <f t="shared" si="5"/>
        <v>2.6</v>
      </c>
      <c r="K182" s="70" t="s">
        <v>84</v>
      </c>
    </row>
    <row r="183" spans="1:11" ht="25.5" hidden="1" customHeight="1">
      <c r="A183" s="2" t="s">
        <v>334</v>
      </c>
      <c r="B183" s="2" t="s">
        <v>10</v>
      </c>
      <c r="C183" s="2">
        <v>0</v>
      </c>
      <c r="D183" s="2" t="s">
        <v>274</v>
      </c>
      <c r="E183" s="33">
        <v>1</v>
      </c>
      <c r="F183" s="33"/>
      <c r="G183" s="33"/>
      <c r="H183" s="56">
        <v>2</v>
      </c>
      <c r="I183" s="56">
        <f t="shared" si="4"/>
        <v>2.2999999999999998</v>
      </c>
      <c r="J183" s="56">
        <f t="shared" si="5"/>
        <v>2.6</v>
      </c>
      <c r="K183" s="70" t="s">
        <v>84</v>
      </c>
    </row>
    <row r="184" spans="1:11" ht="25.5" hidden="1" customHeight="1">
      <c r="A184" s="2" t="s">
        <v>320</v>
      </c>
      <c r="B184" s="2" t="s">
        <v>50</v>
      </c>
      <c r="C184" s="2">
        <v>0</v>
      </c>
      <c r="D184" s="2" t="s">
        <v>274</v>
      </c>
      <c r="E184" s="33">
        <v>1</v>
      </c>
      <c r="F184" s="33"/>
      <c r="G184" s="33"/>
      <c r="H184" s="56">
        <v>3</v>
      </c>
      <c r="I184" s="56">
        <f t="shared" si="4"/>
        <v>3.4499999999999997</v>
      </c>
      <c r="J184" s="56">
        <f t="shared" si="5"/>
        <v>3.9000000000000004</v>
      </c>
      <c r="K184" s="70" t="s">
        <v>84</v>
      </c>
    </row>
    <row r="185" spans="1:11" ht="25.5" hidden="1" customHeight="1">
      <c r="A185" s="2" t="s">
        <v>339</v>
      </c>
      <c r="B185" s="2" t="s">
        <v>340</v>
      </c>
      <c r="C185" s="2">
        <v>0</v>
      </c>
      <c r="D185" s="2" t="s">
        <v>274</v>
      </c>
      <c r="E185" s="33">
        <v>1</v>
      </c>
      <c r="F185" s="33"/>
      <c r="G185" s="33"/>
      <c r="H185" s="56">
        <v>3</v>
      </c>
      <c r="I185" s="56">
        <f t="shared" si="4"/>
        <v>3.4499999999999997</v>
      </c>
      <c r="J185" s="56">
        <f t="shared" si="5"/>
        <v>3.9000000000000004</v>
      </c>
      <c r="K185" s="70" t="s">
        <v>84</v>
      </c>
    </row>
    <row r="186" spans="1:11" ht="25.5" hidden="1" customHeight="1">
      <c r="A186" s="2" t="s">
        <v>341</v>
      </c>
      <c r="B186" s="2" t="s">
        <v>27</v>
      </c>
      <c r="C186" s="2">
        <v>0</v>
      </c>
      <c r="D186" s="2" t="s">
        <v>274</v>
      </c>
      <c r="E186" s="33">
        <v>1</v>
      </c>
      <c r="F186" s="33"/>
      <c r="G186" s="33"/>
      <c r="H186" s="56">
        <v>5</v>
      </c>
      <c r="I186" s="56">
        <f t="shared" si="4"/>
        <v>5.75</v>
      </c>
      <c r="J186" s="56">
        <f t="shared" si="5"/>
        <v>6.5</v>
      </c>
      <c r="K186" s="70" t="s">
        <v>84</v>
      </c>
    </row>
    <row r="187" spans="1:11" ht="25.5" hidden="1" customHeight="1">
      <c r="A187" s="33" t="s">
        <v>354</v>
      </c>
      <c r="B187" s="33" t="s">
        <v>19</v>
      </c>
      <c r="C187" s="2">
        <v>0</v>
      </c>
      <c r="D187" s="2" t="s">
        <v>274</v>
      </c>
      <c r="E187" s="33">
        <v>1</v>
      </c>
      <c r="F187" s="33"/>
      <c r="G187" s="33"/>
      <c r="H187" s="56"/>
      <c r="I187" s="56">
        <f t="shared" si="4"/>
        <v>0</v>
      </c>
      <c r="J187" s="56">
        <f t="shared" si="5"/>
        <v>0</v>
      </c>
      <c r="K187" s="70" t="s">
        <v>84</v>
      </c>
    </row>
    <row r="188" spans="1:11" ht="25.5" hidden="1" customHeight="1">
      <c r="A188" s="33" t="s">
        <v>355</v>
      </c>
      <c r="B188" s="33" t="s">
        <v>356</v>
      </c>
      <c r="C188" s="2">
        <v>0</v>
      </c>
      <c r="D188" s="2" t="s">
        <v>274</v>
      </c>
      <c r="E188" s="33">
        <v>1</v>
      </c>
      <c r="F188" s="33"/>
      <c r="G188" s="33"/>
      <c r="H188" s="56"/>
      <c r="I188" s="56">
        <f t="shared" si="4"/>
        <v>0</v>
      </c>
      <c r="J188" s="56">
        <f t="shared" si="5"/>
        <v>0</v>
      </c>
      <c r="K188" s="70" t="s">
        <v>84</v>
      </c>
    </row>
    <row r="189" spans="1:11" ht="25.5" hidden="1" customHeight="1">
      <c r="A189" s="2" t="s">
        <v>386</v>
      </c>
      <c r="B189" s="2" t="s">
        <v>10</v>
      </c>
      <c r="C189" s="2">
        <v>0</v>
      </c>
      <c r="D189" s="2" t="s">
        <v>274</v>
      </c>
      <c r="E189" s="33">
        <v>2</v>
      </c>
      <c r="F189" s="33"/>
      <c r="G189" s="33"/>
      <c r="H189" s="56"/>
      <c r="I189" s="56">
        <f t="shared" si="4"/>
        <v>0</v>
      </c>
      <c r="J189" s="56">
        <f t="shared" si="5"/>
        <v>0</v>
      </c>
      <c r="K189" s="70" t="s">
        <v>84</v>
      </c>
    </row>
    <row r="190" spans="1:11" ht="25.5" hidden="1" customHeight="1">
      <c r="A190" s="250" t="s">
        <v>189</v>
      </c>
      <c r="B190" s="33" t="s">
        <v>27</v>
      </c>
      <c r="C190" s="33">
        <v>0</v>
      </c>
      <c r="D190" s="2" t="s">
        <v>274</v>
      </c>
      <c r="E190" s="33">
        <v>2</v>
      </c>
      <c r="F190" s="33"/>
      <c r="G190" s="33"/>
      <c r="H190" s="56"/>
      <c r="I190" s="56">
        <f t="shared" si="4"/>
        <v>0</v>
      </c>
      <c r="J190" s="56">
        <f t="shared" si="5"/>
        <v>0</v>
      </c>
      <c r="K190" s="70" t="s">
        <v>84</v>
      </c>
    </row>
    <row r="191" spans="1:11" ht="25.5" hidden="1" customHeight="1">
      <c r="A191" s="2" t="s">
        <v>397</v>
      </c>
      <c r="B191" s="2" t="s">
        <v>10</v>
      </c>
      <c r="C191" s="2">
        <v>0</v>
      </c>
      <c r="D191" s="2" t="s">
        <v>274</v>
      </c>
      <c r="E191" s="33">
        <v>2</v>
      </c>
      <c r="F191" s="33"/>
      <c r="G191" s="33"/>
      <c r="H191" s="56"/>
      <c r="I191" s="56">
        <f t="shared" si="4"/>
        <v>0</v>
      </c>
      <c r="J191" s="56">
        <f t="shared" si="5"/>
        <v>0</v>
      </c>
      <c r="K191" s="70" t="s">
        <v>84</v>
      </c>
    </row>
    <row r="192" spans="1:11" ht="25.5" hidden="1" customHeight="1">
      <c r="A192" s="2" t="s">
        <v>429</v>
      </c>
      <c r="B192" s="2" t="s">
        <v>21</v>
      </c>
      <c r="C192" s="2">
        <v>0</v>
      </c>
      <c r="D192" s="2" t="s">
        <v>274</v>
      </c>
      <c r="E192" s="33">
        <v>3</v>
      </c>
      <c r="F192" s="33"/>
      <c r="G192" s="33"/>
      <c r="H192" s="56"/>
      <c r="I192" s="56">
        <f t="shared" si="4"/>
        <v>0</v>
      </c>
      <c r="J192" s="56">
        <f t="shared" si="5"/>
        <v>0</v>
      </c>
      <c r="K192" s="70" t="s">
        <v>84</v>
      </c>
    </row>
    <row r="193" spans="1:11" ht="25.5" hidden="1" customHeight="1">
      <c r="A193" s="2" t="s">
        <v>446</v>
      </c>
      <c r="B193" s="2" t="s">
        <v>19</v>
      </c>
      <c r="C193" s="2">
        <v>0</v>
      </c>
      <c r="D193" s="2" t="s">
        <v>274</v>
      </c>
      <c r="E193" s="33">
        <v>3</v>
      </c>
      <c r="F193" s="33"/>
      <c r="G193" s="33"/>
      <c r="H193" s="56"/>
      <c r="I193" s="56">
        <f t="shared" si="4"/>
        <v>0</v>
      </c>
      <c r="J193" s="56">
        <f t="shared" si="5"/>
        <v>0</v>
      </c>
      <c r="K193" s="70" t="s">
        <v>84</v>
      </c>
    </row>
    <row r="194" spans="1:11" ht="14.4" hidden="1">
      <c r="A194" s="2" t="s">
        <v>448</v>
      </c>
      <c r="B194" s="2" t="s">
        <v>19</v>
      </c>
      <c r="C194" s="2">
        <v>0</v>
      </c>
      <c r="D194" s="2" t="s">
        <v>274</v>
      </c>
      <c r="E194" s="33">
        <v>3</v>
      </c>
      <c r="F194" s="33"/>
      <c r="G194" s="33"/>
      <c r="H194" s="56">
        <v>50</v>
      </c>
      <c r="I194" s="56">
        <f t="shared" ref="I194:I257" si="6">H194 * 1.15</f>
        <v>57.499999999999993</v>
      </c>
      <c r="J194" s="56">
        <f t="shared" ref="J194:J257" si="7">H194 * 1.3</f>
        <v>65</v>
      </c>
      <c r="K194" s="70" t="s">
        <v>84</v>
      </c>
    </row>
    <row r="195" spans="1:11" ht="14.4" hidden="1">
      <c r="A195" s="33" t="s">
        <v>456</v>
      </c>
      <c r="B195" s="33" t="s">
        <v>19</v>
      </c>
      <c r="C195" s="2">
        <v>0</v>
      </c>
      <c r="D195" s="2" t="s">
        <v>274</v>
      </c>
      <c r="E195" s="33">
        <v>3</v>
      </c>
      <c r="F195" s="33"/>
      <c r="G195" s="33"/>
      <c r="H195" s="56"/>
      <c r="I195" s="56">
        <f t="shared" si="6"/>
        <v>0</v>
      </c>
      <c r="J195" s="56">
        <f t="shared" si="7"/>
        <v>0</v>
      </c>
      <c r="K195" s="70" t="s">
        <v>84</v>
      </c>
    </row>
    <row r="196" spans="1:11" ht="25.5" hidden="1" customHeight="1">
      <c r="A196" s="33" t="s">
        <v>457</v>
      </c>
      <c r="B196" s="33" t="s">
        <v>458</v>
      </c>
      <c r="C196" s="33">
        <v>0</v>
      </c>
      <c r="D196" s="2" t="s">
        <v>274</v>
      </c>
      <c r="E196" s="33">
        <v>3</v>
      </c>
      <c r="F196" s="33"/>
      <c r="G196" s="33"/>
      <c r="H196" s="56"/>
      <c r="I196" s="56">
        <f t="shared" si="6"/>
        <v>0</v>
      </c>
      <c r="J196" s="56">
        <f t="shared" si="7"/>
        <v>0</v>
      </c>
      <c r="K196" s="70" t="s">
        <v>84</v>
      </c>
    </row>
    <row r="197" spans="1:11" ht="25.5" hidden="1" customHeight="1">
      <c r="A197" s="33" t="s">
        <v>456</v>
      </c>
      <c r="B197" s="33" t="s">
        <v>19</v>
      </c>
      <c r="C197" s="33">
        <v>0</v>
      </c>
      <c r="D197" s="2" t="s">
        <v>274</v>
      </c>
      <c r="E197" s="33">
        <v>3</v>
      </c>
      <c r="F197" s="33"/>
      <c r="G197" s="33"/>
      <c r="H197" s="56"/>
      <c r="I197" s="56">
        <f t="shared" si="6"/>
        <v>0</v>
      </c>
      <c r="J197" s="56">
        <f t="shared" si="7"/>
        <v>0</v>
      </c>
      <c r="K197" s="70" t="s">
        <v>84</v>
      </c>
    </row>
    <row r="198" spans="1:11" ht="25.5" hidden="1" customHeight="1">
      <c r="A198" s="33" t="s">
        <v>463</v>
      </c>
      <c r="B198" s="33" t="s">
        <v>19</v>
      </c>
      <c r="C198" s="2">
        <v>0</v>
      </c>
      <c r="D198" s="2" t="s">
        <v>274</v>
      </c>
      <c r="E198" s="33">
        <v>3</v>
      </c>
      <c r="F198" s="33"/>
      <c r="G198" s="33"/>
      <c r="H198" s="56">
        <v>20</v>
      </c>
      <c r="I198" s="56">
        <f t="shared" si="6"/>
        <v>23</v>
      </c>
      <c r="J198" s="56">
        <f t="shared" si="7"/>
        <v>26</v>
      </c>
      <c r="K198" s="70" t="s">
        <v>84</v>
      </c>
    </row>
    <row r="199" spans="1:11" ht="25.5" hidden="1" customHeight="1">
      <c r="A199" s="33" t="s">
        <v>448</v>
      </c>
      <c r="B199" s="33" t="s">
        <v>19</v>
      </c>
      <c r="C199" s="2">
        <v>0</v>
      </c>
      <c r="D199" s="2" t="s">
        <v>274</v>
      </c>
      <c r="E199" s="33">
        <v>3</v>
      </c>
      <c r="F199" s="33"/>
      <c r="G199" s="33"/>
      <c r="H199" s="56">
        <v>50</v>
      </c>
      <c r="I199" s="56">
        <f t="shared" si="6"/>
        <v>57.499999999999993</v>
      </c>
      <c r="J199" s="56">
        <f t="shared" si="7"/>
        <v>65</v>
      </c>
      <c r="K199" s="70" t="s">
        <v>84</v>
      </c>
    </row>
    <row r="200" spans="1:11" ht="25.5" hidden="1" customHeight="1">
      <c r="A200" s="33" t="s">
        <v>470</v>
      </c>
      <c r="B200" s="33" t="s">
        <v>75</v>
      </c>
      <c r="C200" s="33">
        <v>0</v>
      </c>
      <c r="D200" s="2" t="s">
        <v>274</v>
      </c>
      <c r="E200" s="33">
        <v>3</v>
      </c>
      <c r="F200" s="33"/>
      <c r="G200" s="33"/>
      <c r="H200" s="56"/>
      <c r="I200" s="56">
        <f t="shared" si="6"/>
        <v>0</v>
      </c>
      <c r="J200" s="56">
        <f t="shared" si="7"/>
        <v>0</v>
      </c>
      <c r="K200" s="70" t="s">
        <v>84</v>
      </c>
    </row>
    <row r="201" spans="1:11" ht="25.5" hidden="1" customHeight="1">
      <c r="A201" s="2" t="s">
        <v>473</v>
      </c>
      <c r="B201" s="2" t="s">
        <v>21</v>
      </c>
      <c r="C201" s="2">
        <v>0</v>
      </c>
      <c r="D201" s="2" t="s">
        <v>274</v>
      </c>
      <c r="E201" s="33">
        <v>3</v>
      </c>
      <c r="F201" s="33"/>
      <c r="G201" s="33"/>
      <c r="H201" s="56"/>
      <c r="I201" s="56">
        <f t="shared" si="6"/>
        <v>0</v>
      </c>
      <c r="J201" s="56">
        <f t="shared" si="7"/>
        <v>0</v>
      </c>
      <c r="K201" s="70" t="s">
        <v>84</v>
      </c>
    </row>
    <row r="202" spans="1:11" ht="25.5" hidden="1" customHeight="1">
      <c r="A202" s="33">
        <v>55871</v>
      </c>
      <c r="B202" s="33" t="s">
        <v>474</v>
      </c>
      <c r="C202" s="33">
        <v>0</v>
      </c>
      <c r="D202" s="2" t="s">
        <v>274</v>
      </c>
      <c r="E202" s="33">
        <v>3</v>
      </c>
      <c r="F202" s="33"/>
      <c r="G202" s="33"/>
      <c r="H202" s="56">
        <v>120</v>
      </c>
      <c r="I202" s="56">
        <f t="shared" si="6"/>
        <v>138</v>
      </c>
      <c r="J202" s="56">
        <f t="shared" si="7"/>
        <v>156</v>
      </c>
      <c r="K202" s="70" t="s">
        <v>84</v>
      </c>
    </row>
    <row r="203" spans="1:11" ht="25.5" hidden="1" customHeight="1">
      <c r="A203" s="2" t="s">
        <v>477</v>
      </c>
      <c r="B203" s="2" t="s">
        <v>83</v>
      </c>
      <c r="C203" s="2">
        <v>0</v>
      </c>
      <c r="D203" s="2" t="s">
        <v>274</v>
      </c>
      <c r="E203" s="33">
        <v>3</v>
      </c>
      <c r="F203" s="33"/>
      <c r="G203" s="33"/>
      <c r="H203" s="56"/>
      <c r="I203" s="56">
        <f t="shared" si="6"/>
        <v>0</v>
      </c>
      <c r="J203" s="56">
        <f t="shared" si="7"/>
        <v>0</v>
      </c>
      <c r="K203" s="70" t="s">
        <v>84</v>
      </c>
    </row>
    <row r="204" spans="1:11" ht="25.5" hidden="1" customHeight="1">
      <c r="A204" s="2" t="s">
        <v>479</v>
      </c>
      <c r="B204" s="2" t="s">
        <v>313</v>
      </c>
      <c r="C204" s="2">
        <v>0</v>
      </c>
      <c r="D204" s="2" t="s">
        <v>274</v>
      </c>
      <c r="E204" s="33">
        <v>3</v>
      </c>
      <c r="F204" s="33"/>
      <c r="G204" s="33"/>
      <c r="H204" s="56"/>
      <c r="I204" s="56">
        <f t="shared" si="6"/>
        <v>0</v>
      </c>
      <c r="J204" s="56">
        <f t="shared" si="7"/>
        <v>0</v>
      </c>
      <c r="K204" s="70" t="s">
        <v>84</v>
      </c>
    </row>
    <row r="205" spans="1:11" ht="25.5" hidden="1" customHeight="1">
      <c r="A205" s="2" t="s">
        <v>499</v>
      </c>
      <c r="B205" s="2" t="s">
        <v>21</v>
      </c>
      <c r="C205" s="2">
        <v>0</v>
      </c>
      <c r="D205" s="2" t="s">
        <v>274</v>
      </c>
      <c r="E205" s="33">
        <v>3</v>
      </c>
      <c r="F205" s="33"/>
      <c r="G205" s="33"/>
      <c r="H205" s="56"/>
      <c r="I205" s="56">
        <f t="shared" si="6"/>
        <v>0</v>
      </c>
      <c r="J205" s="56">
        <f t="shared" si="7"/>
        <v>0</v>
      </c>
      <c r="K205" s="70" t="s">
        <v>84</v>
      </c>
    </row>
    <row r="206" spans="1:11" ht="25.5" hidden="1" customHeight="1">
      <c r="A206" s="2" t="s">
        <v>503</v>
      </c>
      <c r="B206" s="2" t="s">
        <v>41</v>
      </c>
      <c r="C206" s="2">
        <v>0</v>
      </c>
      <c r="D206" s="2" t="s">
        <v>274</v>
      </c>
      <c r="E206" s="33">
        <v>3</v>
      </c>
      <c r="F206" s="33"/>
      <c r="G206" s="33"/>
      <c r="H206" s="56"/>
      <c r="I206" s="56">
        <f t="shared" si="6"/>
        <v>0</v>
      </c>
      <c r="J206" s="56">
        <f t="shared" si="7"/>
        <v>0</v>
      </c>
      <c r="K206" s="70" t="s">
        <v>84</v>
      </c>
    </row>
    <row r="207" spans="1:11" ht="25.5" hidden="1" customHeight="1">
      <c r="A207" s="196" t="s">
        <v>508</v>
      </c>
      <c r="B207" s="95" t="s">
        <v>509</v>
      </c>
      <c r="C207" s="95">
        <v>0</v>
      </c>
      <c r="D207" s="2" t="s">
        <v>274</v>
      </c>
      <c r="E207" s="95">
        <v>3</v>
      </c>
      <c r="F207" s="95"/>
      <c r="G207" s="95"/>
      <c r="H207" s="94">
        <v>70</v>
      </c>
      <c r="I207" s="94">
        <f t="shared" si="6"/>
        <v>80.5</v>
      </c>
      <c r="J207" s="94">
        <f t="shared" si="7"/>
        <v>91</v>
      </c>
      <c r="K207" s="70" t="s">
        <v>84</v>
      </c>
    </row>
    <row r="208" spans="1:11" ht="25.5" hidden="1" customHeight="1">
      <c r="A208" s="2" t="s">
        <v>503</v>
      </c>
      <c r="B208" s="2" t="s">
        <v>41</v>
      </c>
      <c r="C208" s="2">
        <v>0</v>
      </c>
      <c r="D208" s="2" t="s">
        <v>274</v>
      </c>
      <c r="E208" s="33">
        <v>3</v>
      </c>
      <c r="F208" s="33"/>
      <c r="G208" s="33"/>
      <c r="H208" s="56"/>
      <c r="I208" s="56">
        <f t="shared" si="6"/>
        <v>0</v>
      </c>
      <c r="J208" s="56">
        <f t="shared" si="7"/>
        <v>0</v>
      </c>
      <c r="K208" s="70" t="s">
        <v>84</v>
      </c>
    </row>
    <row r="209" spans="1:11" ht="25.5" hidden="1" customHeight="1">
      <c r="A209" s="2" t="s">
        <v>516</v>
      </c>
      <c r="B209" s="2" t="s">
        <v>27</v>
      </c>
      <c r="C209" s="2">
        <v>0</v>
      </c>
      <c r="D209" s="2" t="s">
        <v>274</v>
      </c>
      <c r="E209" s="33">
        <v>3</v>
      </c>
      <c r="F209" s="33"/>
      <c r="G209" s="33"/>
      <c r="H209" s="56"/>
      <c r="I209" s="56">
        <f t="shared" si="6"/>
        <v>0</v>
      </c>
      <c r="J209" s="56">
        <f t="shared" si="7"/>
        <v>0</v>
      </c>
      <c r="K209" s="70" t="s">
        <v>84</v>
      </c>
    </row>
    <row r="210" spans="1:11" ht="25.5" hidden="1" customHeight="1">
      <c r="A210" s="2" t="s">
        <v>518</v>
      </c>
      <c r="B210" s="2" t="s">
        <v>10</v>
      </c>
      <c r="C210" s="2">
        <v>0</v>
      </c>
      <c r="D210" s="2" t="s">
        <v>274</v>
      </c>
      <c r="E210" s="33">
        <v>3</v>
      </c>
      <c r="F210" s="33"/>
      <c r="G210" s="33"/>
      <c r="H210" s="56">
        <v>2</v>
      </c>
      <c r="I210" s="56">
        <f t="shared" si="6"/>
        <v>2.2999999999999998</v>
      </c>
      <c r="J210" s="56">
        <f t="shared" si="7"/>
        <v>2.6</v>
      </c>
      <c r="K210" s="70" t="s">
        <v>84</v>
      </c>
    </row>
    <row r="211" spans="1:11" ht="25.5" hidden="1" customHeight="1">
      <c r="A211" s="33" t="s">
        <v>520</v>
      </c>
      <c r="B211" s="33" t="s">
        <v>521</v>
      </c>
      <c r="C211" s="33">
        <v>0</v>
      </c>
      <c r="D211" s="2" t="s">
        <v>274</v>
      </c>
      <c r="E211" s="33">
        <v>3</v>
      </c>
      <c r="F211" s="33"/>
      <c r="G211" s="33"/>
      <c r="H211" s="56"/>
      <c r="I211" s="56">
        <f t="shared" si="6"/>
        <v>0</v>
      </c>
      <c r="J211" s="56">
        <f t="shared" si="7"/>
        <v>0</v>
      </c>
      <c r="K211" s="70" t="s">
        <v>84</v>
      </c>
    </row>
    <row r="212" spans="1:11" ht="25.5" hidden="1" customHeight="1">
      <c r="A212" s="2" t="s">
        <v>507</v>
      </c>
      <c r="B212" s="2" t="s">
        <v>21</v>
      </c>
      <c r="C212" s="2">
        <v>0</v>
      </c>
      <c r="D212" s="2" t="s">
        <v>274</v>
      </c>
      <c r="E212" s="33">
        <v>3</v>
      </c>
      <c r="F212" s="33"/>
      <c r="G212" s="33"/>
      <c r="H212" s="56"/>
      <c r="I212" s="56">
        <f t="shared" si="6"/>
        <v>0</v>
      </c>
      <c r="J212" s="56">
        <f t="shared" si="7"/>
        <v>0</v>
      </c>
      <c r="K212" s="70" t="s">
        <v>84</v>
      </c>
    </row>
    <row r="213" spans="1:11" ht="25.5" hidden="1" customHeight="1">
      <c r="A213" s="33" t="s">
        <v>532</v>
      </c>
      <c r="B213" s="33" t="s">
        <v>27</v>
      </c>
      <c r="C213" s="33">
        <v>0</v>
      </c>
      <c r="D213" s="2" t="s">
        <v>274</v>
      </c>
      <c r="E213" s="33">
        <v>3</v>
      </c>
      <c r="F213" s="33"/>
      <c r="G213" s="33"/>
      <c r="H213" s="56"/>
      <c r="I213" s="56">
        <f t="shared" si="6"/>
        <v>0</v>
      </c>
      <c r="J213" s="56">
        <f t="shared" si="7"/>
        <v>0</v>
      </c>
      <c r="K213" s="70" t="s">
        <v>84</v>
      </c>
    </row>
    <row r="214" spans="1:11" ht="25.5" customHeight="1">
      <c r="A214" s="33">
        <v>3033355</v>
      </c>
      <c r="B214" s="33" t="s">
        <v>34</v>
      </c>
      <c r="C214" s="33">
        <v>17</v>
      </c>
      <c r="D214" s="33" t="s">
        <v>1494</v>
      </c>
      <c r="E214" s="33">
        <v>2</v>
      </c>
      <c r="F214" s="33"/>
      <c r="G214" s="522"/>
      <c r="H214" s="707"/>
      <c r="I214" s="707">
        <f t="shared" si="6"/>
        <v>0</v>
      </c>
      <c r="J214" s="707">
        <f t="shared" si="7"/>
        <v>0</v>
      </c>
      <c r="K214" s="70"/>
    </row>
    <row r="215" spans="1:11" ht="25.5" hidden="1" customHeight="1">
      <c r="A215" s="33">
        <v>4631</v>
      </c>
      <c r="B215" s="33" t="s">
        <v>371</v>
      </c>
      <c r="C215" s="2">
        <v>0</v>
      </c>
      <c r="D215" s="2" t="s">
        <v>274</v>
      </c>
      <c r="E215" s="33">
        <v>3</v>
      </c>
      <c r="F215" s="33"/>
      <c r="G215" s="33"/>
      <c r="H215" s="56"/>
      <c r="I215" s="56">
        <f t="shared" si="6"/>
        <v>0</v>
      </c>
      <c r="J215" s="56">
        <f t="shared" si="7"/>
        <v>0</v>
      </c>
      <c r="K215" s="70" t="s">
        <v>84</v>
      </c>
    </row>
    <row r="216" spans="1:11" ht="25.5" hidden="1" customHeight="1">
      <c r="A216" s="33" t="s">
        <v>541</v>
      </c>
      <c r="B216" s="33" t="s">
        <v>25</v>
      </c>
      <c r="C216" s="33">
        <v>0</v>
      </c>
      <c r="D216" s="2" t="s">
        <v>536</v>
      </c>
      <c r="E216" s="33">
        <v>4</v>
      </c>
      <c r="F216" s="33"/>
      <c r="G216" s="33"/>
      <c r="H216" s="56"/>
      <c r="I216" s="56">
        <f t="shared" si="6"/>
        <v>0</v>
      </c>
      <c r="J216" s="56">
        <f t="shared" si="7"/>
        <v>0</v>
      </c>
      <c r="K216" s="70" t="s">
        <v>84</v>
      </c>
    </row>
    <row r="217" spans="1:11" ht="25.5" hidden="1" customHeight="1">
      <c r="A217" s="33" t="s">
        <v>546</v>
      </c>
      <c r="B217" s="33" t="s">
        <v>481</v>
      </c>
      <c r="C217" s="2">
        <v>0</v>
      </c>
      <c r="D217" s="2" t="s">
        <v>536</v>
      </c>
      <c r="E217" s="33">
        <v>4</v>
      </c>
      <c r="F217" s="33"/>
      <c r="G217" s="33"/>
      <c r="H217" s="56">
        <v>10</v>
      </c>
      <c r="I217" s="56">
        <f t="shared" si="6"/>
        <v>11.5</v>
      </c>
      <c r="J217" s="56">
        <f t="shared" si="7"/>
        <v>13</v>
      </c>
      <c r="K217" s="70" t="s">
        <v>84</v>
      </c>
    </row>
    <row r="218" spans="1:11" ht="25.5" hidden="1" customHeight="1">
      <c r="A218" s="33" t="s">
        <v>554</v>
      </c>
      <c r="B218" s="33" t="s">
        <v>555</v>
      </c>
      <c r="C218" s="33">
        <v>0</v>
      </c>
      <c r="D218" s="2" t="s">
        <v>536</v>
      </c>
      <c r="E218" s="33">
        <v>5</v>
      </c>
      <c r="F218" s="33"/>
      <c r="G218" s="33"/>
      <c r="H218" s="56">
        <v>1700</v>
      </c>
      <c r="I218" s="56">
        <f t="shared" si="6"/>
        <v>1954.9999999999998</v>
      </c>
      <c r="J218" s="56">
        <f t="shared" si="7"/>
        <v>2210</v>
      </c>
      <c r="K218" s="70" t="s">
        <v>84</v>
      </c>
    </row>
    <row r="219" spans="1:11" ht="25.5" hidden="1" customHeight="1">
      <c r="A219" s="2" t="s">
        <v>560</v>
      </c>
      <c r="B219" s="2" t="s">
        <v>245</v>
      </c>
      <c r="C219" s="2">
        <v>0</v>
      </c>
      <c r="D219" s="2" t="s">
        <v>536</v>
      </c>
      <c r="E219" s="33">
        <v>4</v>
      </c>
      <c r="F219" s="33"/>
      <c r="G219" s="33"/>
      <c r="H219" s="56">
        <v>100</v>
      </c>
      <c r="I219" s="56">
        <f t="shared" si="6"/>
        <v>114.99999999999999</v>
      </c>
      <c r="J219" s="56">
        <f t="shared" si="7"/>
        <v>130</v>
      </c>
      <c r="K219" s="70" t="s">
        <v>84</v>
      </c>
    </row>
    <row r="220" spans="1:11" ht="25.5" hidden="1" customHeight="1">
      <c r="A220" s="2" t="s">
        <v>561</v>
      </c>
      <c r="B220" s="2" t="s">
        <v>245</v>
      </c>
      <c r="C220" s="2">
        <v>0</v>
      </c>
      <c r="D220" s="2" t="s">
        <v>536</v>
      </c>
      <c r="E220" s="33">
        <v>4</v>
      </c>
      <c r="F220" s="33"/>
      <c r="G220" s="33"/>
      <c r="H220" s="56"/>
      <c r="I220" s="56">
        <f t="shared" si="6"/>
        <v>0</v>
      </c>
      <c r="J220" s="56">
        <f t="shared" si="7"/>
        <v>0</v>
      </c>
      <c r="K220" s="70" t="s">
        <v>84</v>
      </c>
    </row>
    <row r="221" spans="1:11" ht="25.5" hidden="1" customHeight="1">
      <c r="A221" s="2" t="s">
        <v>562</v>
      </c>
      <c r="B221" s="2" t="s">
        <v>245</v>
      </c>
      <c r="C221" s="2">
        <v>0</v>
      </c>
      <c r="D221" s="2" t="s">
        <v>536</v>
      </c>
      <c r="E221" s="33">
        <v>4</v>
      </c>
      <c r="F221" s="33"/>
      <c r="G221" s="33"/>
      <c r="H221" s="56"/>
      <c r="I221" s="56">
        <f t="shared" si="6"/>
        <v>0</v>
      </c>
      <c r="J221" s="56">
        <f t="shared" si="7"/>
        <v>0</v>
      </c>
      <c r="K221" s="70" t="s">
        <v>84</v>
      </c>
    </row>
    <row r="222" spans="1:11" ht="25.5" hidden="1" customHeight="1">
      <c r="A222" s="2" t="s">
        <v>564</v>
      </c>
      <c r="B222" s="2" t="s">
        <v>115</v>
      </c>
      <c r="C222" s="2">
        <v>0</v>
      </c>
      <c r="D222" s="2" t="s">
        <v>536</v>
      </c>
      <c r="E222" s="33">
        <v>5</v>
      </c>
      <c r="F222" s="33"/>
      <c r="G222" s="33"/>
      <c r="H222" s="56">
        <v>200</v>
      </c>
      <c r="I222" s="56">
        <f t="shared" si="6"/>
        <v>229.99999999999997</v>
      </c>
      <c r="J222" s="56">
        <f t="shared" si="7"/>
        <v>260</v>
      </c>
      <c r="K222" s="70" t="s">
        <v>84</v>
      </c>
    </row>
    <row r="223" spans="1:11" ht="25.5" hidden="1" customHeight="1">
      <c r="A223" s="2" t="s">
        <v>566</v>
      </c>
      <c r="B223" s="2" t="s">
        <v>245</v>
      </c>
      <c r="C223" s="2">
        <v>0</v>
      </c>
      <c r="D223" s="2" t="s">
        <v>536</v>
      </c>
      <c r="E223" s="33">
        <v>4</v>
      </c>
      <c r="F223" s="33"/>
      <c r="G223" s="33"/>
      <c r="H223" s="56">
        <v>150</v>
      </c>
      <c r="I223" s="56">
        <f t="shared" si="6"/>
        <v>172.5</v>
      </c>
      <c r="J223" s="56">
        <f t="shared" si="7"/>
        <v>195</v>
      </c>
      <c r="K223" s="70" t="s">
        <v>84</v>
      </c>
    </row>
    <row r="224" spans="1:11" ht="25.5" hidden="1" customHeight="1">
      <c r="A224" s="65">
        <v>7554265</v>
      </c>
      <c r="B224" s="68" t="s">
        <v>34</v>
      </c>
      <c r="C224" s="2">
        <v>0</v>
      </c>
      <c r="D224" s="2" t="s">
        <v>536</v>
      </c>
      <c r="E224" s="33">
        <v>4</v>
      </c>
      <c r="F224" s="33"/>
      <c r="G224" s="33"/>
      <c r="H224" s="56">
        <v>45</v>
      </c>
      <c r="I224" s="56">
        <f t="shared" si="6"/>
        <v>51.749999999999993</v>
      </c>
      <c r="J224" s="56">
        <f t="shared" si="7"/>
        <v>58.5</v>
      </c>
      <c r="K224" s="70" t="s">
        <v>84</v>
      </c>
    </row>
    <row r="225" spans="1:11" ht="25.5" hidden="1" customHeight="1">
      <c r="A225" s="2" t="s">
        <v>567</v>
      </c>
      <c r="B225" s="2" t="s">
        <v>313</v>
      </c>
      <c r="C225" s="2">
        <v>0</v>
      </c>
      <c r="D225" s="2" t="s">
        <v>536</v>
      </c>
      <c r="E225" s="33">
        <v>5</v>
      </c>
      <c r="F225" s="33"/>
      <c r="G225" s="33"/>
      <c r="H225" s="56"/>
      <c r="I225" s="56">
        <f t="shared" si="6"/>
        <v>0</v>
      </c>
      <c r="J225" s="56">
        <f t="shared" si="7"/>
        <v>0</v>
      </c>
      <c r="K225" s="70" t="s">
        <v>84</v>
      </c>
    </row>
    <row r="226" spans="1:11" ht="25.5" hidden="1" customHeight="1">
      <c r="A226" s="2" t="s">
        <v>583</v>
      </c>
      <c r="B226" s="2" t="s">
        <v>50</v>
      </c>
      <c r="C226" s="2">
        <v>0</v>
      </c>
      <c r="D226" s="2" t="s">
        <v>536</v>
      </c>
      <c r="E226" s="33">
        <v>5</v>
      </c>
      <c r="F226" s="33"/>
      <c r="G226" s="33"/>
      <c r="H226" s="56">
        <v>35</v>
      </c>
      <c r="I226" s="56">
        <f t="shared" si="6"/>
        <v>40.25</v>
      </c>
      <c r="J226" s="56">
        <f t="shared" si="7"/>
        <v>45.5</v>
      </c>
      <c r="K226" s="70" t="s">
        <v>84</v>
      </c>
    </row>
    <row r="227" spans="1:11" ht="25.5" hidden="1" customHeight="1">
      <c r="A227" s="251" t="s">
        <v>587</v>
      </c>
      <c r="B227" s="68" t="s">
        <v>21</v>
      </c>
      <c r="C227" s="65">
        <v>0</v>
      </c>
      <c r="D227" s="2" t="s">
        <v>536</v>
      </c>
      <c r="E227" s="33">
        <v>5</v>
      </c>
      <c r="F227" s="33"/>
      <c r="G227" s="33"/>
      <c r="H227" s="56"/>
      <c r="I227" s="56">
        <f t="shared" si="6"/>
        <v>0</v>
      </c>
      <c r="J227" s="56">
        <f t="shared" si="7"/>
        <v>0</v>
      </c>
      <c r="K227" s="70" t="s">
        <v>84</v>
      </c>
    </row>
    <row r="228" spans="1:11" ht="25.5" hidden="1" customHeight="1">
      <c r="A228" s="65" t="s">
        <v>588</v>
      </c>
      <c r="B228" s="68" t="s">
        <v>267</v>
      </c>
      <c r="C228" s="65">
        <v>0</v>
      </c>
      <c r="D228" s="2" t="s">
        <v>536</v>
      </c>
      <c r="E228" s="33">
        <v>5</v>
      </c>
      <c r="F228" s="33"/>
      <c r="G228" s="33"/>
      <c r="H228" s="56"/>
      <c r="I228" s="56">
        <f t="shared" si="6"/>
        <v>0</v>
      </c>
      <c r="J228" s="56">
        <f t="shared" si="7"/>
        <v>0</v>
      </c>
      <c r="K228" s="70" t="s">
        <v>84</v>
      </c>
    </row>
    <row r="229" spans="1:11" ht="25.5" hidden="1" customHeight="1">
      <c r="A229" s="65" t="s">
        <v>591</v>
      </c>
      <c r="B229" s="68" t="s">
        <v>41</v>
      </c>
      <c r="C229" s="65">
        <v>0</v>
      </c>
      <c r="D229" s="2" t="s">
        <v>536</v>
      </c>
      <c r="E229" s="33">
        <v>5</v>
      </c>
      <c r="F229" s="33"/>
      <c r="G229" s="33"/>
      <c r="H229" s="56"/>
      <c r="I229" s="56">
        <f t="shared" si="6"/>
        <v>0</v>
      </c>
      <c r="J229" s="56">
        <f t="shared" si="7"/>
        <v>0</v>
      </c>
      <c r="K229" s="70" t="s">
        <v>84</v>
      </c>
    </row>
    <row r="230" spans="1:11" ht="25.5" hidden="1" customHeight="1">
      <c r="A230" s="65" t="s">
        <v>592</v>
      </c>
      <c r="B230" s="68" t="s">
        <v>41</v>
      </c>
      <c r="C230" s="65">
        <v>0</v>
      </c>
      <c r="D230" s="2" t="s">
        <v>536</v>
      </c>
      <c r="E230" s="33">
        <v>5</v>
      </c>
      <c r="F230" s="33"/>
      <c r="G230" s="33"/>
      <c r="H230" s="56"/>
      <c r="I230" s="56">
        <f t="shared" si="6"/>
        <v>0</v>
      </c>
      <c r="J230" s="56">
        <f t="shared" si="7"/>
        <v>0</v>
      </c>
      <c r="K230" s="70" t="s">
        <v>84</v>
      </c>
    </row>
    <row r="231" spans="1:11" ht="25.5" hidden="1" customHeight="1">
      <c r="A231" s="2" t="s">
        <v>595</v>
      </c>
      <c r="B231" s="2" t="s">
        <v>596</v>
      </c>
      <c r="C231" s="2">
        <v>0</v>
      </c>
      <c r="D231" s="2" t="s">
        <v>593</v>
      </c>
      <c r="E231" s="33">
        <v>1</v>
      </c>
      <c r="F231" s="33"/>
      <c r="G231" s="33"/>
      <c r="H231" s="56">
        <v>500</v>
      </c>
      <c r="I231" s="56">
        <f t="shared" si="6"/>
        <v>575</v>
      </c>
      <c r="J231" s="56">
        <f t="shared" si="7"/>
        <v>650</v>
      </c>
      <c r="K231" s="70" t="s">
        <v>84</v>
      </c>
    </row>
    <row r="232" spans="1:11" ht="25.5" hidden="1" customHeight="1">
      <c r="A232" s="74" t="s">
        <v>597</v>
      </c>
      <c r="B232" s="74" t="s">
        <v>267</v>
      </c>
      <c r="C232" s="74">
        <v>0</v>
      </c>
      <c r="D232" s="2" t="s">
        <v>536</v>
      </c>
      <c r="E232" s="33">
        <v>5</v>
      </c>
      <c r="F232" s="33"/>
      <c r="G232" s="33"/>
      <c r="H232" s="56"/>
      <c r="I232" s="56">
        <f t="shared" si="6"/>
        <v>0</v>
      </c>
      <c r="J232" s="56">
        <f t="shared" si="7"/>
        <v>0</v>
      </c>
      <c r="K232" s="70" t="s">
        <v>84</v>
      </c>
    </row>
    <row r="233" spans="1:11" ht="25.5" hidden="1" customHeight="1">
      <c r="A233" s="2" t="s">
        <v>602</v>
      </c>
      <c r="B233" s="2" t="s">
        <v>27</v>
      </c>
      <c r="C233" s="2">
        <v>0</v>
      </c>
      <c r="D233" s="2" t="s">
        <v>593</v>
      </c>
      <c r="E233" s="33">
        <v>1</v>
      </c>
      <c r="F233" s="33"/>
      <c r="G233" s="33"/>
      <c r="H233" s="56"/>
      <c r="I233" s="56">
        <f t="shared" si="6"/>
        <v>0</v>
      </c>
      <c r="J233" s="56">
        <f t="shared" si="7"/>
        <v>0</v>
      </c>
      <c r="K233" s="70" t="s">
        <v>84</v>
      </c>
    </row>
    <row r="234" spans="1:11" ht="25.5" hidden="1" customHeight="1">
      <c r="A234" s="2" t="s">
        <v>608</v>
      </c>
      <c r="B234" s="2" t="s">
        <v>10</v>
      </c>
      <c r="C234" s="2">
        <v>0</v>
      </c>
      <c r="D234" s="2" t="s">
        <v>593</v>
      </c>
      <c r="E234" s="33">
        <v>1</v>
      </c>
      <c r="F234" s="33"/>
      <c r="G234" s="33"/>
      <c r="H234" s="56"/>
      <c r="I234" s="56">
        <f t="shared" si="6"/>
        <v>0</v>
      </c>
      <c r="J234" s="56">
        <f t="shared" si="7"/>
        <v>0</v>
      </c>
      <c r="K234" s="70" t="s">
        <v>84</v>
      </c>
    </row>
    <row r="235" spans="1:11" ht="25.5" hidden="1" customHeight="1">
      <c r="A235" s="2" t="s">
        <v>556</v>
      </c>
      <c r="B235" s="2" t="s">
        <v>10</v>
      </c>
      <c r="C235" s="2">
        <v>0</v>
      </c>
      <c r="D235" s="2" t="s">
        <v>593</v>
      </c>
      <c r="E235" s="33">
        <v>1</v>
      </c>
      <c r="F235" s="33"/>
      <c r="G235" s="33"/>
      <c r="H235" s="56">
        <v>1.5</v>
      </c>
      <c r="I235" s="56">
        <f t="shared" si="6"/>
        <v>1.7249999999999999</v>
      </c>
      <c r="J235" s="56">
        <f t="shared" si="7"/>
        <v>1.9500000000000002</v>
      </c>
      <c r="K235" s="70" t="s">
        <v>84</v>
      </c>
    </row>
    <row r="236" spans="1:11" ht="25.5" hidden="1" customHeight="1">
      <c r="A236" s="2" t="s">
        <v>616</v>
      </c>
      <c r="B236" s="2" t="s">
        <v>10</v>
      </c>
      <c r="C236" s="2">
        <v>0</v>
      </c>
      <c r="D236" s="2" t="s">
        <v>593</v>
      </c>
      <c r="E236" s="33">
        <v>1</v>
      </c>
      <c r="F236" s="33"/>
      <c r="G236" s="33"/>
      <c r="H236" s="56"/>
      <c r="I236" s="56">
        <f t="shared" si="6"/>
        <v>0</v>
      </c>
      <c r="J236" s="56">
        <f t="shared" si="7"/>
        <v>0</v>
      </c>
      <c r="K236" s="70" t="s">
        <v>84</v>
      </c>
    </row>
    <row r="237" spans="1:11" ht="25.5" hidden="1" customHeight="1">
      <c r="A237" s="33" t="s">
        <v>619</v>
      </c>
      <c r="B237" s="33" t="s">
        <v>25</v>
      </c>
      <c r="C237" s="33">
        <v>0</v>
      </c>
      <c r="D237" s="2" t="s">
        <v>593</v>
      </c>
      <c r="E237" s="33">
        <v>1</v>
      </c>
      <c r="F237" s="33"/>
      <c r="G237" s="33"/>
      <c r="H237" s="56"/>
      <c r="I237" s="56">
        <f t="shared" si="6"/>
        <v>0</v>
      </c>
      <c r="J237" s="56">
        <f t="shared" si="7"/>
        <v>0</v>
      </c>
      <c r="K237" s="70" t="s">
        <v>84</v>
      </c>
    </row>
    <row r="238" spans="1:11" ht="25.5" hidden="1" customHeight="1">
      <c r="A238" s="2" t="s">
        <v>624</v>
      </c>
      <c r="B238" s="2" t="s">
        <v>50</v>
      </c>
      <c r="C238" s="2">
        <v>0</v>
      </c>
      <c r="D238" s="2" t="s">
        <v>593</v>
      </c>
      <c r="E238" s="33">
        <v>1</v>
      </c>
      <c r="F238" s="33"/>
      <c r="G238" s="33"/>
      <c r="H238" s="56">
        <v>2</v>
      </c>
      <c r="I238" s="56">
        <f t="shared" si="6"/>
        <v>2.2999999999999998</v>
      </c>
      <c r="J238" s="56">
        <f t="shared" si="7"/>
        <v>2.6</v>
      </c>
      <c r="K238" s="70" t="s">
        <v>84</v>
      </c>
    </row>
    <row r="239" spans="1:11" ht="25.5" hidden="1" customHeight="1">
      <c r="A239" s="33" t="s">
        <v>629</v>
      </c>
      <c r="B239" s="33" t="s">
        <v>130</v>
      </c>
      <c r="C239" s="2">
        <v>0</v>
      </c>
      <c r="D239" s="2" t="s">
        <v>593</v>
      </c>
      <c r="E239" s="33">
        <v>1</v>
      </c>
      <c r="F239" s="33"/>
      <c r="G239" s="33"/>
      <c r="H239" s="57">
        <v>105</v>
      </c>
      <c r="I239" s="56">
        <f t="shared" si="6"/>
        <v>120.74999999999999</v>
      </c>
      <c r="J239" s="57">
        <f t="shared" si="7"/>
        <v>136.5</v>
      </c>
      <c r="K239" s="70" t="s">
        <v>84</v>
      </c>
    </row>
    <row r="240" spans="1:11" ht="25.5" hidden="1" customHeight="1">
      <c r="A240" s="2" t="s">
        <v>648</v>
      </c>
      <c r="B240" s="2" t="s">
        <v>27</v>
      </c>
      <c r="C240" s="2">
        <v>0</v>
      </c>
      <c r="D240" s="2" t="s">
        <v>593</v>
      </c>
      <c r="E240" s="33">
        <v>1</v>
      </c>
      <c r="F240" s="33"/>
      <c r="G240" s="33"/>
      <c r="H240" s="56">
        <v>2</v>
      </c>
      <c r="I240" s="56">
        <f t="shared" si="6"/>
        <v>2.2999999999999998</v>
      </c>
      <c r="J240" s="56">
        <f t="shared" si="7"/>
        <v>2.6</v>
      </c>
      <c r="K240" s="70" t="s">
        <v>84</v>
      </c>
    </row>
    <row r="241" spans="1:11" ht="25.5" hidden="1" customHeight="1">
      <c r="A241" s="2" t="s">
        <v>656</v>
      </c>
      <c r="B241" s="2" t="s">
        <v>10</v>
      </c>
      <c r="C241" s="2">
        <v>0</v>
      </c>
      <c r="D241" s="2" t="s">
        <v>593</v>
      </c>
      <c r="E241" s="33">
        <v>1</v>
      </c>
      <c r="F241" s="33"/>
      <c r="G241" s="33"/>
      <c r="H241" s="56">
        <v>10</v>
      </c>
      <c r="I241" s="56">
        <f t="shared" si="6"/>
        <v>11.5</v>
      </c>
      <c r="J241" s="56">
        <f t="shared" si="7"/>
        <v>13</v>
      </c>
      <c r="K241" s="70" t="s">
        <v>84</v>
      </c>
    </row>
    <row r="242" spans="1:11" ht="25.5" hidden="1" customHeight="1">
      <c r="A242" s="2" t="s">
        <v>657</v>
      </c>
      <c r="B242" s="2" t="s">
        <v>658</v>
      </c>
      <c r="C242" s="2">
        <v>0</v>
      </c>
      <c r="D242" s="2" t="s">
        <v>593</v>
      </c>
      <c r="E242" s="33">
        <v>1</v>
      </c>
      <c r="F242" s="33"/>
      <c r="G242" s="33"/>
      <c r="H242" s="56">
        <v>3</v>
      </c>
      <c r="I242" s="56">
        <f t="shared" si="6"/>
        <v>3.4499999999999997</v>
      </c>
      <c r="J242" s="56">
        <f t="shared" si="7"/>
        <v>3.9000000000000004</v>
      </c>
      <c r="K242" s="70" t="s">
        <v>84</v>
      </c>
    </row>
    <row r="243" spans="1:11" ht="25.5" hidden="1" customHeight="1">
      <c r="A243" s="2" t="s">
        <v>339</v>
      </c>
      <c r="B243" s="2" t="s">
        <v>10</v>
      </c>
      <c r="C243" s="2">
        <v>0</v>
      </c>
      <c r="D243" s="2" t="s">
        <v>593</v>
      </c>
      <c r="E243" s="33">
        <v>1</v>
      </c>
      <c r="F243" s="33"/>
      <c r="G243" s="33"/>
      <c r="H243" s="56">
        <v>3</v>
      </c>
      <c r="I243" s="56">
        <f t="shared" si="6"/>
        <v>3.4499999999999997</v>
      </c>
      <c r="J243" s="56">
        <f t="shared" si="7"/>
        <v>3.9000000000000004</v>
      </c>
      <c r="K243" s="70" t="s">
        <v>84</v>
      </c>
    </row>
    <row r="244" spans="1:11" ht="25.5" hidden="1" customHeight="1">
      <c r="A244" s="33" t="s">
        <v>659</v>
      </c>
      <c r="B244" s="33" t="s">
        <v>23</v>
      </c>
      <c r="C244" s="2">
        <v>0</v>
      </c>
      <c r="D244" s="2" t="s">
        <v>593</v>
      </c>
      <c r="E244" s="33">
        <v>1</v>
      </c>
      <c r="F244" s="33"/>
      <c r="G244" s="33"/>
      <c r="H244" s="56">
        <v>2</v>
      </c>
      <c r="I244" s="56">
        <f t="shared" si="6"/>
        <v>2.2999999999999998</v>
      </c>
      <c r="J244" s="56">
        <f t="shared" si="7"/>
        <v>2.6</v>
      </c>
      <c r="K244" s="70" t="s">
        <v>84</v>
      </c>
    </row>
    <row r="245" spans="1:11" ht="25.5" hidden="1" customHeight="1">
      <c r="A245" s="195" t="s">
        <v>663</v>
      </c>
      <c r="B245" s="2" t="s">
        <v>10</v>
      </c>
      <c r="C245" s="2">
        <v>0</v>
      </c>
      <c r="D245" s="2" t="s">
        <v>593</v>
      </c>
      <c r="E245" s="33">
        <v>1</v>
      </c>
      <c r="F245" s="33"/>
      <c r="G245" s="33"/>
      <c r="H245" s="56">
        <v>10</v>
      </c>
      <c r="I245" s="56">
        <f t="shared" si="6"/>
        <v>11.5</v>
      </c>
      <c r="J245" s="56">
        <f t="shared" si="7"/>
        <v>13</v>
      </c>
      <c r="K245" s="70" t="s">
        <v>84</v>
      </c>
    </row>
    <row r="246" spans="1:11" ht="25.5" hidden="1" customHeight="1">
      <c r="A246" s="91" t="s">
        <v>668</v>
      </c>
      <c r="B246" s="91" t="s">
        <v>10</v>
      </c>
      <c r="C246" s="2">
        <v>0</v>
      </c>
      <c r="D246" s="91" t="s">
        <v>593</v>
      </c>
      <c r="E246" s="79">
        <v>1</v>
      </c>
      <c r="F246" s="79"/>
      <c r="G246" s="79"/>
      <c r="H246" s="60"/>
      <c r="I246" s="60">
        <f t="shared" si="6"/>
        <v>0</v>
      </c>
      <c r="J246" s="60">
        <f t="shared" si="7"/>
        <v>0</v>
      </c>
      <c r="K246" s="70" t="s">
        <v>84</v>
      </c>
    </row>
    <row r="247" spans="1:11" ht="25.5" hidden="1" customHeight="1">
      <c r="A247" s="33" t="s">
        <v>673</v>
      </c>
      <c r="B247" s="33" t="s">
        <v>34</v>
      </c>
      <c r="C247" s="33">
        <v>0</v>
      </c>
      <c r="D247" s="2" t="s">
        <v>593</v>
      </c>
      <c r="E247" s="33">
        <v>1</v>
      </c>
      <c r="F247" s="33"/>
      <c r="G247" s="33"/>
      <c r="H247" s="56"/>
      <c r="I247" s="56">
        <f t="shared" si="6"/>
        <v>0</v>
      </c>
      <c r="J247" s="56">
        <f t="shared" si="7"/>
        <v>0</v>
      </c>
      <c r="K247" s="70" t="s">
        <v>84</v>
      </c>
    </row>
    <row r="248" spans="1:11" ht="25.5" hidden="1" customHeight="1">
      <c r="A248" s="31" t="s">
        <v>675</v>
      </c>
      <c r="B248" s="33" t="s">
        <v>21</v>
      </c>
      <c r="C248" s="31">
        <v>0</v>
      </c>
      <c r="D248" s="2" t="s">
        <v>593</v>
      </c>
      <c r="E248" s="33">
        <v>1</v>
      </c>
      <c r="F248" s="33"/>
      <c r="G248" s="33"/>
      <c r="H248" s="57"/>
      <c r="I248" s="56">
        <f t="shared" si="6"/>
        <v>0</v>
      </c>
      <c r="J248" s="57">
        <f t="shared" si="7"/>
        <v>0</v>
      </c>
      <c r="K248" s="70" t="s">
        <v>84</v>
      </c>
    </row>
    <row r="249" spans="1:11" ht="25.5" hidden="1" customHeight="1">
      <c r="A249" s="33" t="s">
        <v>676</v>
      </c>
      <c r="B249" s="33" t="s">
        <v>19</v>
      </c>
      <c r="C249" s="33">
        <v>0</v>
      </c>
      <c r="D249" s="2" t="s">
        <v>593</v>
      </c>
      <c r="E249" s="33">
        <v>1</v>
      </c>
      <c r="F249" s="33"/>
      <c r="G249" s="33"/>
      <c r="H249" s="57"/>
      <c r="I249" s="56">
        <f t="shared" si="6"/>
        <v>0</v>
      </c>
      <c r="J249" s="57">
        <f t="shared" si="7"/>
        <v>0</v>
      </c>
      <c r="K249" s="70" t="s">
        <v>84</v>
      </c>
    </row>
    <row r="250" spans="1:11" ht="25.5" hidden="1" customHeight="1">
      <c r="A250" s="33" t="s">
        <v>683</v>
      </c>
      <c r="B250" s="33" t="s">
        <v>21</v>
      </c>
      <c r="C250" s="33">
        <v>0</v>
      </c>
      <c r="D250" s="2" t="s">
        <v>593</v>
      </c>
      <c r="E250" s="33">
        <v>1</v>
      </c>
      <c r="F250" s="33"/>
      <c r="G250" s="33"/>
      <c r="H250" s="57"/>
      <c r="I250" s="56">
        <f t="shared" si="6"/>
        <v>0</v>
      </c>
      <c r="J250" s="57">
        <f t="shared" si="7"/>
        <v>0</v>
      </c>
      <c r="K250" s="70" t="s">
        <v>84</v>
      </c>
    </row>
    <row r="251" spans="1:11" ht="25.5" hidden="1" customHeight="1">
      <c r="A251" s="91" t="s">
        <v>668</v>
      </c>
      <c r="B251" s="91" t="s">
        <v>50</v>
      </c>
      <c r="C251" s="2">
        <v>0</v>
      </c>
      <c r="D251" s="91" t="s">
        <v>593</v>
      </c>
      <c r="E251" s="79">
        <v>2</v>
      </c>
      <c r="F251" s="79"/>
      <c r="G251" s="79"/>
      <c r="H251" s="60">
        <v>4</v>
      </c>
      <c r="I251" s="60">
        <f t="shared" si="6"/>
        <v>4.5999999999999996</v>
      </c>
      <c r="J251" s="60">
        <f t="shared" si="7"/>
        <v>5.2</v>
      </c>
      <c r="K251" s="70" t="s">
        <v>84</v>
      </c>
    </row>
    <row r="252" spans="1:11" ht="25.5" hidden="1" customHeight="1">
      <c r="A252" s="33" t="s">
        <v>686</v>
      </c>
      <c r="B252" s="33" t="s">
        <v>21</v>
      </c>
      <c r="C252" s="2">
        <v>0</v>
      </c>
      <c r="D252" s="2" t="s">
        <v>593</v>
      </c>
      <c r="E252" s="33">
        <v>1</v>
      </c>
      <c r="F252" s="33"/>
      <c r="G252" s="33"/>
      <c r="H252" s="56"/>
      <c r="I252" s="56">
        <f t="shared" si="6"/>
        <v>0</v>
      </c>
      <c r="J252" s="56">
        <f t="shared" si="7"/>
        <v>0</v>
      </c>
      <c r="K252" s="70" t="s">
        <v>84</v>
      </c>
    </row>
    <row r="253" spans="1:11" ht="25.5" hidden="1" customHeight="1">
      <c r="A253" s="33" t="s">
        <v>691</v>
      </c>
      <c r="B253" s="33" t="s">
        <v>692</v>
      </c>
      <c r="C253" s="33">
        <v>0</v>
      </c>
      <c r="D253" s="2" t="s">
        <v>593</v>
      </c>
      <c r="E253" s="33">
        <v>2</v>
      </c>
      <c r="F253" s="33"/>
      <c r="G253" s="33"/>
      <c r="H253" s="56">
        <v>150</v>
      </c>
      <c r="I253" s="56">
        <f t="shared" si="6"/>
        <v>172.5</v>
      </c>
      <c r="J253" s="56">
        <f t="shared" si="7"/>
        <v>195</v>
      </c>
      <c r="K253" s="70" t="s">
        <v>84</v>
      </c>
    </row>
    <row r="254" spans="1:11" ht="25.5" hidden="1" customHeight="1">
      <c r="A254" s="33" t="s">
        <v>700</v>
      </c>
      <c r="B254" s="33" t="s">
        <v>10</v>
      </c>
      <c r="C254" s="33">
        <v>0</v>
      </c>
      <c r="D254" s="2" t="s">
        <v>593</v>
      </c>
      <c r="E254" s="33">
        <v>2</v>
      </c>
      <c r="F254" s="33"/>
      <c r="G254" s="33"/>
      <c r="H254" s="56"/>
      <c r="I254" s="56">
        <f t="shared" si="6"/>
        <v>0</v>
      </c>
      <c r="J254" s="56">
        <f t="shared" si="7"/>
        <v>0</v>
      </c>
      <c r="K254" s="70" t="s">
        <v>84</v>
      </c>
    </row>
    <row r="255" spans="1:11" ht="25.5" hidden="1" customHeight="1">
      <c r="A255" s="2" t="s">
        <v>701</v>
      </c>
      <c r="B255" s="2" t="s">
        <v>50</v>
      </c>
      <c r="C255" s="2">
        <v>0</v>
      </c>
      <c r="D255" s="2" t="s">
        <v>593</v>
      </c>
      <c r="E255" s="33">
        <v>2</v>
      </c>
      <c r="F255" s="33"/>
      <c r="G255" s="33"/>
      <c r="H255" s="56"/>
      <c r="I255" s="56">
        <f t="shared" si="6"/>
        <v>0</v>
      </c>
      <c r="J255" s="56">
        <f t="shared" si="7"/>
        <v>0</v>
      </c>
      <c r="K255" s="70" t="s">
        <v>84</v>
      </c>
    </row>
    <row r="256" spans="1:11" ht="25.5" hidden="1" customHeight="1">
      <c r="A256" s="2" t="s">
        <v>703</v>
      </c>
      <c r="B256" s="74" t="s">
        <v>147</v>
      </c>
      <c r="C256" s="33">
        <v>0</v>
      </c>
      <c r="D256" s="2" t="s">
        <v>593</v>
      </c>
      <c r="E256" s="33">
        <v>2</v>
      </c>
      <c r="F256" s="33"/>
      <c r="G256" s="33"/>
      <c r="H256" s="56"/>
      <c r="I256" s="56">
        <f t="shared" si="6"/>
        <v>0</v>
      </c>
      <c r="J256" s="56">
        <f t="shared" si="7"/>
        <v>0</v>
      </c>
      <c r="K256" s="70" t="s">
        <v>84</v>
      </c>
    </row>
    <row r="257" spans="1:11" ht="25.5" hidden="1" customHeight="1">
      <c r="A257" s="33" t="s">
        <v>698</v>
      </c>
      <c r="B257" s="33" t="s">
        <v>707</v>
      </c>
      <c r="C257" s="33">
        <v>0</v>
      </c>
      <c r="D257" s="2" t="s">
        <v>593</v>
      </c>
      <c r="E257" s="33">
        <v>2</v>
      </c>
      <c r="F257" s="33"/>
      <c r="G257" s="33"/>
      <c r="H257" s="56"/>
      <c r="I257" s="56">
        <f t="shared" si="6"/>
        <v>0</v>
      </c>
      <c r="J257" s="56">
        <f t="shared" si="7"/>
        <v>0</v>
      </c>
      <c r="K257" s="70" t="s">
        <v>84</v>
      </c>
    </row>
    <row r="258" spans="1:11" ht="25.5" hidden="1" customHeight="1">
      <c r="A258" s="2" t="s">
        <v>712</v>
      </c>
      <c r="B258" s="2" t="s">
        <v>389</v>
      </c>
      <c r="C258" s="2">
        <v>0</v>
      </c>
      <c r="D258" s="2" t="s">
        <v>593</v>
      </c>
      <c r="E258" s="33">
        <v>3</v>
      </c>
      <c r="F258" s="33"/>
      <c r="G258" s="33"/>
      <c r="H258" s="56"/>
      <c r="I258" s="56">
        <f t="shared" ref="I258:I321" si="8">H258 * 1.15</f>
        <v>0</v>
      </c>
      <c r="J258" s="56">
        <f t="shared" ref="J258:J321" si="9">H258 * 1.3</f>
        <v>0</v>
      </c>
      <c r="K258" s="70" t="s">
        <v>84</v>
      </c>
    </row>
    <row r="259" spans="1:11" ht="25.5" hidden="1" customHeight="1">
      <c r="A259" s="2" t="s">
        <v>723</v>
      </c>
      <c r="B259" s="2" t="s">
        <v>21</v>
      </c>
      <c r="C259" s="2">
        <v>0</v>
      </c>
      <c r="D259" s="2" t="s">
        <v>593</v>
      </c>
      <c r="E259" s="33">
        <v>3</v>
      </c>
      <c r="F259" s="33"/>
      <c r="G259" s="33"/>
      <c r="H259" s="56">
        <v>10</v>
      </c>
      <c r="I259" s="56">
        <f t="shared" si="8"/>
        <v>11.5</v>
      </c>
      <c r="J259" s="56">
        <f t="shared" si="9"/>
        <v>13</v>
      </c>
      <c r="K259" s="70" t="s">
        <v>84</v>
      </c>
    </row>
    <row r="260" spans="1:11" ht="25.5" hidden="1" customHeight="1">
      <c r="A260" s="2" t="s">
        <v>768</v>
      </c>
      <c r="B260" s="2" t="s">
        <v>19</v>
      </c>
      <c r="C260" s="2">
        <v>0</v>
      </c>
      <c r="D260" s="2" t="s">
        <v>593</v>
      </c>
      <c r="E260" s="33">
        <v>3</v>
      </c>
      <c r="F260" s="33"/>
      <c r="G260" s="33"/>
      <c r="H260" s="56"/>
      <c r="I260" s="56">
        <f t="shared" si="8"/>
        <v>0</v>
      </c>
      <c r="J260" s="56">
        <f t="shared" si="9"/>
        <v>0</v>
      </c>
      <c r="K260" s="70" t="s">
        <v>84</v>
      </c>
    </row>
    <row r="261" spans="1:11" ht="25.5" hidden="1" customHeight="1">
      <c r="A261" s="2" t="s">
        <v>783</v>
      </c>
      <c r="B261" s="2" t="s">
        <v>21</v>
      </c>
      <c r="C261" s="2">
        <v>0</v>
      </c>
      <c r="D261" s="2" t="s">
        <v>593</v>
      </c>
      <c r="E261" s="33">
        <v>3</v>
      </c>
      <c r="F261" s="33"/>
      <c r="G261" s="33"/>
      <c r="H261" s="56">
        <v>1</v>
      </c>
      <c r="I261" s="56">
        <f t="shared" si="8"/>
        <v>1.1499999999999999</v>
      </c>
      <c r="J261" s="56">
        <f t="shared" si="9"/>
        <v>1.3</v>
      </c>
      <c r="K261" s="70" t="s">
        <v>84</v>
      </c>
    </row>
    <row r="262" spans="1:11" ht="25.5" hidden="1" customHeight="1">
      <c r="A262" s="2" t="s">
        <v>810</v>
      </c>
      <c r="B262" s="2" t="s">
        <v>371</v>
      </c>
      <c r="C262" s="2">
        <v>0</v>
      </c>
      <c r="D262" s="2" t="s">
        <v>593</v>
      </c>
      <c r="E262" s="33">
        <v>3</v>
      </c>
      <c r="F262" s="33"/>
      <c r="G262" s="33"/>
      <c r="H262" s="56"/>
      <c r="I262" s="56">
        <f t="shared" si="8"/>
        <v>0</v>
      </c>
      <c r="J262" s="56">
        <f t="shared" si="9"/>
        <v>0</v>
      </c>
      <c r="K262" s="70" t="s">
        <v>84</v>
      </c>
    </row>
    <row r="263" spans="1:11" ht="25.5" hidden="1" customHeight="1">
      <c r="A263" s="2" t="s">
        <v>819</v>
      </c>
      <c r="B263" s="2" t="s">
        <v>21</v>
      </c>
      <c r="C263" s="2">
        <v>0</v>
      </c>
      <c r="D263" s="2" t="s">
        <v>593</v>
      </c>
      <c r="E263" s="33">
        <v>3</v>
      </c>
      <c r="F263" s="33"/>
      <c r="G263" s="33"/>
      <c r="H263" s="56">
        <v>1</v>
      </c>
      <c r="I263" s="56">
        <f t="shared" si="8"/>
        <v>1.1499999999999999</v>
      </c>
      <c r="J263" s="56">
        <f t="shared" si="9"/>
        <v>1.3</v>
      </c>
      <c r="K263" s="70" t="s">
        <v>84</v>
      </c>
    </row>
    <row r="264" spans="1:11" ht="25.5" hidden="1" customHeight="1">
      <c r="A264" s="2" t="s">
        <v>824</v>
      </c>
      <c r="B264" s="2" t="s">
        <v>19</v>
      </c>
      <c r="C264" s="2">
        <v>0</v>
      </c>
      <c r="D264" s="2" t="s">
        <v>593</v>
      </c>
      <c r="E264" s="33">
        <v>3</v>
      </c>
      <c r="F264" s="33"/>
      <c r="G264" s="33"/>
      <c r="H264" s="56">
        <v>5</v>
      </c>
      <c r="I264" s="56">
        <f t="shared" si="8"/>
        <v>5.75</v>
      </c>
      <c r="J264" s="56">
        <f t="shared" si="9"/>
        <v>6.5</v>
      </c>
      <c r="K264" s="70" t="s">
        <v>84</v>
      </c>
    </row>
    <row r="265" spans="1:11" ht="25.5" hidden="1" customHeight="1">
      <c r="A265" s="2" t="s">
        <v>851</v>
      </c>
      <c r="B265" s="2" t="s">
        <v>21</v>
      </c>
      <c r="C265" s="2">
        <v>0</v>
      </c>
      <c r="D265" s="2" t="s">
        <v>593</v>
      </c>
      <c r="E265" s="33">
        <v>3</v>
      </c>
      <c r="F265" s="33"/>
      <c r="G265" s="33"/>
      <c r="H265" s="56">
        <v>60</v>
      </c>
      <c r="I265" s="56">
        <f t="shared" si="8"/>
        <v>69</v>
      </c>
      <c r="J265" s="56">
        <f t="shared" si="9"/>
        <v>78</v>
      </c>
      <c r="K265" s="70" t="s">
        <v>84</v>
      </c>
    </row>
    <row r="266" spans="1:11" ht="25.5" hidden="1" customHeight="1">
      <c r="A266" s="349" t="s">
        <v>854</v>
      </c>
      <c r="B266" s="2" t="s">
        <v>855</v>
      </c>
      <c r="C266" s="2">
        <v>0</v>
      </c>
      <c r="D266" s="2" t="s">
        <v>593</v>
      </c>
      <c r="E266" s="33">
        <v>3</v>
      </c>
      <c r="F266" s="33"/>
      <c r="G266" s="33"/>
      <c r="H266" s="56">
        <v>80</v>
      </c>
      <c r="I266" s="56">
        <f t="shared" si="8"/>
        <v>92</v>
      </c>
      <c r="J266" s="56">
        <f t="shared" si="9"/>
        <v>104</v>
      </c>
      <c r="K266" s="70" t="s">
        <v>84</v>
      </c>
    </row>
    <row r="267" spans="1:11" ht="25.5" hidden="1" customHeight="1">
      <c r="A267" s="33" t="s">
        <v>862</v>
      </c>
      <c r="B267" s="33" t="s">
        <v>21</v>
      </c>
      <c r="C267" s="33">
        <v>0</v>
      </c>
      <c r="D267" s="2" t="s">
        <v>593</v>
      </c>
      <c r="E267" s="33">
        <v>3</v>
      </c>
      <c r="F267" s="33"/>
      <c r="G267" s="33"/>
      <c r="H267" s="56">
        <v>1</v>
      </c>
      <c r="I267" s="56">
        <f t="shared" si="8"/>
        <v>1.1499999999999999</v>
      </c>
      <c r="J267" s="56">
        <f t="shared" si="9"/>
        <v>1.3</v>
      </c>
      <c r="K267" s="70" t="s">
        <v>84</v>
      </c>
    </row>
    <row r="268" spans="1:11" ht="25.5" hidden="1" customHeight="1">
      <c r="A268" s="88" t="s">
        <v>864</v>
      </c>
      <c r="B268" s="88" t="s">
        <v>21</v>
      </c>
      <c r="C268" s="2">
        <v>0</v>
      </c>
      <c r="D268" s="89" t="s">
        <v>593</v>
      </c>
      <c r="E268" s="88">
        <v>3</v>
      </c>
      <c r="F268" s="88"/>
      <c r="G268" s="88"/>
      <c r="H268" s="87">
        <v>5</v>
      </c>
      <c r="I268" s="87">
        <f t="shared" si="8"/>
        <v>5.75</v>
      </c>
      <c r="J268" s="87">
        <f t="shared" si="9"/>
        <v>6.5</v>
      </c>
      <c r="K268" s="70" t="s">
        <v>84</v>
      </c>
    </row>
    <row r="269" spans="1:11" ht="25.5" hidden="1" customHeight="1">
      <c r="A269" s="2" t="s">
        <v>189</v>
      </c>
      <c r="B269" s="2" t="s">
        <v>27</v>
      </c>
      <c r="C269" s="2">
        <v>0</v>
      </c>
      <c r="D269" s="2" t="s">
        <v>593</v>
      </c>
      <c r="E269" s="33">
        <v>3</v>
      </c>
      <c r="F269" s="33"/>
      <c r="G269" s="33"/>
      <c r="H269" s="56">
        <v>2</v>
      </c>
      <c r="I269" s="56">
        <f t="shared" si="8"/>
        <v>2.2999999999999998</v>
      </c>
      <c r="J269" s="56">
        <f t="shared" si="9"/>
        <v>2.6</v>
      </c>
      <c r="K269" s="70" t="s">
        <v>84</v>
      </c>
    </row>
    <row r="270" spans="1:11" ht="25.5" hidden="1" customHeight="1">
      <c r="A270" s="71" t="s">
        <v>871</v>
      </c>
      <c r="B270" s="71" t="s">
        <v>41</v>
      </c>
      <c r="C270" s="71">
        <v>0</v>
      </c>
      <c r="D270" s="82" t="s">
        <v>593</v>
      </c>
      <c r="E270" s="71">
        <v>3</v>
      </c>
      <c r="F270" s="71"/>
      <c r="G270" s="71"/>
      <c r="H270" s="73"/>
      <c r="I270" s="73">
        <f t="shared" si="8"/>
        <v>0</v>
      </c>
      <c r="J270" s="73">
        <f t="shared" si="9"/>
        <v>0</v>
      </c>
      <c r="K270" s="70" t="s">
        <v>84</v>
      </c>
    </row>
    <row r="271" spans="1:11" ht="25.5" hidden="1" customHeight="1">
      <c r="A271" s="33" t="s">
        <v>872</v>
      </c>
      <c r="B271" s="33" t="s">
        <v>873</v>
      </c>
      <c r="C271" s="2">
        <v>0</v>
      </c>
      <c r="D271" s="2" t="s">
        <v>593</v>
      </c>
      <c r="E271" s="33">
        <v>3</v>
      </c>
      <c r="F271" s="33"/>
      <c r="G271" s="33"/>
      <c r="H271" s="57">
        <v>250</v>
      </c>
      <c r="I271" s="56">
        <f t="shared" si="8"/>
        <v>287.5</v>
      </c>
      <c r="J271" s="57">
        <f t="shared" si="9"/>
        <v>325</v>
      </c>
      <c r="K271" s="70" t="s">
        <v>84</v>
      </c>
    </row>
    <row r="272" spans="1:11" ht="25.5" hidden="1" customHeight="1">
      <c r="A272" s="2" t="s">
        <v>650</v>
      </c>
      <c r="B272" s="2" t="s">
        <v>19</v>
      </c>
      <c r="C272" s="2">
        <v>0</v>
      </c>
      <c r="D272" s="2" t="s">
        <v>593</v>
      </c>
      <c r="E272" s="33">
        <v>3</v>
      </c>
      <c r="F272" s="33"/>
      <c r="G272" s="33"/>
      <c r="H272" s="56">
        <v>15</v>
      </c>
      <c r="I272" s="56">
        <f t="shared" si="8"/>
        <v>17.25</v>
      </c>
      <c r="J272" s="56">
        <f t="shared" si="9"/>
        <v>19.5</v>
      </c>
      <c r="K272" s="70" t="s">
        <v>84</v>
      </c>
    </row>
    <row r="273" spans="1:11" ht="25.5" hidden="1" customHeight="1">
      <c r="A273" s="33" t="s">
        <v>876</v>
      </c>
      <c r="B273" s="33" t="s">
        <v>267</v>
      </c>
      <c r="C273" s="33">
        <v>0</v>
      </c>
      <c r="D273" s="2" t="s">
        <v>593</v>
      </c>
      <c r="E273" s="33">
        <v>3</v>
      </c>
      <c r="F273" s="33"/>
      <c r="G273" s="33"/>
      <c r="H273" s="56">
        <v>15</v>
      </c>
      <c r="I273" s="56">
        <f t="shared" si="8"/>
        <v>17.25</v>
      </c>
      <c r="J273" s="56">
        <f t="shared" si="9"/>
        <v>19.5</v>
      </c>
      <c r="K273" s="70" t="s">
        <v>84</v>
      </c>
    </row>
    <row r="274" spans="1:11" ht="25.5" hidden="1" customHeight="1">
      <c r="A274" s="33" t="s">
        <v>880</v>
      </c>
      <c r="B274" s="33" t="s">
        <v>371</v>
      </c>
      <c r="C274" s="2">
        <v>0</v>
      </c>
      <c r="D274" s="2" t="s">
        <v>593</v>
      </c>
      <c r="E274" s="33">
        <v>3</v>
      </c>
      <c r="F274" s="33"/>
      <c r="G274" s="33"/>
      <c r="H274" s="56"/>
      <c r="I274" s="56">
        <f t="shared" si="8"/>
        <v>0</v>
      </c>
      <c r="J274" s="56">
        <f t="shared" si="9"/>
        <v>0</v>
      </c>
      <c r="K274" s="70" t="s">
        <v>84</v>
      </c>
    </row>
    <row r="275" spans="1:11" ht="25.5" hidden="1" customHeight="1">
      <c r="A275" s="33" t="s">
        <v>881</v>
      </c>
      <c r="B275" s="33" t="s">
        <v>19</v>
      </c>
      <c r="C275" s="2">
        <v>0</v>
      </c>
      <c r="D275" s="2" t="s">
        <v>593</v>
      </c>
      <c r="E275" s="33">
        <v>3</v>
      </c>
      <c r="F275" s="33"/>
      <c r="G275" s="33"/>
      <c r="H275" s="57">
        <v>0.5</v>
      </c>
      <c r="I275" s="56">
        <f t="shared" si="8"/>
        <v>0.57499999999999996</v>
      </c>
      <c r="J275" s="57">
        <f t="shared" si="9"/>
        <v>0.65</v>
      </c>
      <c r="K275" s="70" t="s">
        <v>84</v>
      </c>
    </row>
    <row r="276" spans="1:11" ht="25.5" hidden="1" customHeight="1">
      <c r="A276" s="33" t="s">
        <v>686</v>
      </c>
      <c r="B276" s="33" t="s">
        <v>21</v>
      </c>
      <c r="C276" s="2">
        <v>0</v>
      </c>
      <c r="D276" s="2" t="s">
        <v>593</v>
      </c>
      <c r="E276" s="33">
        <v>3</v>
      </c>
      <c r="F276" s="33"/>
      <c r="G276" s="33"/>
      <c r="H276" s="56"/>
      <c r="I276" s="56">
        <f t="shared" si="8"/>
        <v>0</v>
      </c>
      <c r="J276" s="56">
        <f t="shared" si="9"/>
        <v>0</v>
      </c>
      <c r="K276" s="70" t="s">
        <v>84</v>
      </c>
    </row>
    <row r="277" spans="1:11" ht="25.5" hidden="1" customHeight="1">
      <c r="A277" s="33" t="s">
        <v>882</v>
      </c>
      <c r="B277" s="33" t="s">
        <v>10</v>
      </c>
      <c r="C277" s="2">
        <v>0</v>
      </c>
      <c r="D277" s="2" t="s">
        <v>593</v>
      </c>
      <c r="E277" s="33">
        <v>3</v>
      </c>
      <c r="F277" s="33"/>
      <c r="G277" s="33"/>
      <c r="H277" s="56"/>
      <c r="I277" s="56">
        <f t="shared" si="8"/>
        <v>0</v>
      </c>
      <c r="J277" s="56">
        <f t="shared" si="9"/>
        <v>0</v>
      </c>
      <c r="K277" s="70" t="s">
        <v>84</v>
      </c>
    </row>
    <row r="278" spans="1:11" ht="25.5" hidden="1" customHeight="1">
      <c r="A278" s="33" t="s">
        <v>89</v>
      </c>
      <c r="B278" s="33" t="s">
        <v>56</v>
      </c>
      <c r="C278" s="2">
        <v>0</v>
      </c>
      <c r="D278" s="2" t="s">
        <v>593</v>
      </c>
      <c r="E278" s="33">
        <v>3</v>
      </c>
      <c r="F278" s="33"/>
      <c r="G278" s="33"/>
      <c r="H278" s="56">
        <v>1.5</v>
      </c>
      <c r="I278" s="56">
        <f t="shared" si="8"/>
        <v>1.7249999999999999</v>
      </c>
      <c r="J278" s="56">
        <f t="shared" si="9"/>
        <v>1.9500000000000002</v>
      </c>
      <c r="K278" s="70" t="s">
        <v>84</v>
      </c>
    </row>
    <row r="279" spans="1:11" ht="25.5" hidden="1" customHeight="1">
      <c r="A279" s="2" t="s">
        <v>898</v>
      </c>
      <c r="B279" s="2" t="s">
        <v>50</v>
      </c>
      <c r="C279" s="2">
        <v>0</v>
      </c>
      <c r="D279" s="2" t="s">
        <v>888</v>
      </c>
      <c r="E279" s="33">
        <v>5</v>
      </c>
      <c r="F279" s="33"/>
      <c r="G279" s="33"/>
      <c r="H279" s="56">
        <v>2</v>
      </c>
      <c r="I279" s="56">
        <f t="shared" si="8"/>
        <v>2.2999999999999998</v>
      </c>
      <c r="J279" s="56">
        <f t="shared" si="9"/>
        <v>2.6</v>
      </c>
      <c r="K279" s="70" t="s">
        <v>84</v>
      </c>
    </row>
    <row r="280" spans="1:11" ht="25.5" hidden="1" customHeight="1">
      <c r="A280" s="33" t="s">
        <v>616</v>
      </c>
      <c r="B280" s="33" t="s">
        <v>10</v>
      </c>
      <c r="C280" s="2">
        <v>0</v>
      </c>
      <c r="D280" s="2" t="s">
        <v>888</v>
      </c>
      <c r="E280" s="33">
        <v>5</v>
      </c>
      <c r="F280" s="33"/>
      <c r="G280" s="33"/>
      <c r="H280" s="56"/>
      <c r="I280" s="56">
        <f t="shared" si="8"/>
        <v>0</v>
      </c>
      <c r="J280" s="56">
        <f t="shared" si="9"/>
        <v>0</v>
      </c>
      <c r="K280" s="70" t="s">
        <v>84</v>
      </c>
    </row>
    <row r="281" spans="1:11" ht="25.5" hidden="1" customHeight="1">
      <c r="A281" s="33">
        <v>7586395</v>
      </c>
      <c r="B281" s="33" t="s">
        <v>34</v>
      </c>
      <c r="C281" s="2">
        <v>0</v>
      </c>
      <c r="D281" s="2" t="s">
        <v>888</v>
      </c>
      <c r="E281" s="33">
        <v>5</v>
      </c>
      <c r="F281" s="33"/>
      <c r="G281" s="33"/>
      <c r="H281" s="56">
        <v>80</v>
      </c>
      <c r="I281" s="56">
        <f t="shared" si="8"/>
        <v>92</v>
      </c>
      <c r="J281" s="56">
        <f t="shared" si="9"/>
        <v>104</v>
      </c>
      <c r="K281" s="70" t="s">
        <v>84</v>
      </c>
    </row>
    <row r="282" spans="1:11" ht="25.5" hidden="1" customHeight="1">
      <c r="A282" s="33" t="s">
        <v>911</v>
      </c>
      <c r="B282" s="33" t="s">
        <v>83</v>
      </c>
      <c r="C282" s="2">
        <v>0</v>
      </c>
      <c r="D282" s="2" t="s">
        <v>888</v>
      </c>
      <c r="E282" s="33">
        <v>5</v>
      </c>
      <c r="F282" s="33"/>
      <c r="G282" s="33"/>
      <c r="H282" s="56"/>
      <c r="I282" s="56">
        <f t="shared" si="8"/>
        <v>0</v>
      </c>
      <c r="J282" s="56">
        <f t="shared" si="9"/>
        <v>0</v>
      </c>
      <c r="K282" s="70" t="s">
        <v>84</v>
      </c>
    </row>
    <row r="283" spans="1:11" ht="25.5" hidden="1" customHeight="1">
      <c r="A283" s="2" t="s">
        <v>912</v>
      </c>
      <c r="B283" s="2" t="s">
        <v>10</v>
      </c>
      <c r="C283" s="2">
        <v>0</v>
      </c>
      <c r="D283" s="2" t="s">
        <v>888</v>
      </c>
      <c r="E283" s="33">
        <v>5</v>
      </c>
      <c r="F283" s="33"/>
      <c r="G283" s="33"/>
      <c r="H283" s="56"/>
      <c r="I283" s="56">
        <f t="shared" si="8"/>
        <v>0</v>
      </c>
      <c r="J283" s="56">
        <f t="shared" si="9"/>
        <v>0</v>
      </c>
      <c r="K283" s="70" t="s">
        <v>84</v>
      </c>
    </row>
    <row r="284" spans="1:11" ht="25.5" hidden="1" customHeight="1">
      <c r="A284" s="33">
        <v>7553574</v>
      </c>
      <c r="B284" s="33" t="s">
        <v>34</v>
      </c>
      <c r="C284" s="2">
        <v>0</v>
      </c>
      <c r="D284" s="2" t="s">
        <v>888</v>
      </c>
      <c r="E284" s="33">
        <v>5</v>
      </c>
      <c r="F284" s="33"/>
      <c r="G284" s="33"/>
      <c r="H284" s="56">
        <v>150</v>
      </c>
      <c r="I284" s="56">
        <f t="shared" si="8"/>
        <v>172.5</v>
      </c>
      <c r="J284" s="56">
        <f t="shared" si="9"/>
        <v>195</v>
      </c>
      <c r="K284" s="70" t="s">
        <v>84</v>
      </c>
    </row>
    <row r="285" spans="1:11" ht="25.5" hidden="1" customHeight="1">
      <c r="A285" s="33" t="s">
        <v>693</v>
      </c>
      <c r="B285" s="33" t="s">
        <v>27</v>
      </c>
      <c r="C285" s="2">
        <v>0</v>
      </c>
      <c r="D285" s="33" t="s">
        <v>910</v>
      </c>
      <c r="E285" s="33">
        <v>1</v>
      </c>
      <c r="F285" s="33"/>
      <c r="G285" s="33"/>
      <c r="H285" s="70">
        <v>1</v>
      </c>
      <c r="I285" s="70">
        <f t="shared" si="8"/>
        <v>1.1499999999999999</v>
      </c>
      <c r="J285" s="70">
        <f t="shared" si="9"/>
        <v>1.3</v>
      </c>
      <c r="K285" s="70" t="s">
        <v>84</v>
      </c>
    </row>
    <row r="286" spans="1:11" ht="25.5" hidden="1" customHeight="1">
      <c r="A286" s="33" t="s">
        <v>971</v>
      </c>
      <c r="B286" s="33" t="s">
        <v>972</v>
      </c>
      <c r="C286" s="2">
        <v>0</v>
      </c>
      <c r="D286" s="33" t="s">
        <v>910</v>
      </c>
      <c r="E286" s="33">
        <v>2</v>
      </c>
      <c r="F286" s="33"/>
      <c r="G286" s="33"/>
      <c r="H286" s="57">
        <v>20</v>
      </c>
      <c r="I286" s="56">
        <f t="shared" si="8"/>
        <v>23</v>
      </c>
      <c r="J286" s="57">
        <f t="shared" si="9"/>
        <v>26</v>
      </c>
      <c r="K286" s="70" t="s">
        <v>84</v>
      </c>
    </row>
    <row r="287" spans="1:11" ht="25.5" hidden="1" customHeight="1">
      <c r="A287" s="33" t="s">
        <v>886</v>
      </c>
      <c r="B287" s="33" t="s">
        <v>21</v>
      </c>
      <c r="C287" s="33">
        <v>0</v>
      </c>
      <c r="D287" s="33" t="s">
        <v>910</v>
      </c>
      <c r="E287" s="33">
        <v>2</v>
      </c>
      <c r="F287" s="33"/>
      <c r="G287" s="33"/>
      <c r="H287" s="56"/>
      <c r="I287" s="56">
        <f t="shared" si="8"/>
        <v>0</v>
      </c>
      <c r="J287" s="56">
        <f t="shared" si="9"/>
        <v>0</v>
      </c>
      <c r="K287" s="70" t="s">
        <v>84</v>
      </c>
    </row>
    <row r="288" spans="1:11" ht="25.5" hidden="1" customHeight="1">
      <c r="A288" s="33" t="s">
        <v>995</v>
      </c>
      <c r="B288" s="33" t="s">
        <v>21</v>
      </c>
      <c r="C288" s="2">
        <v>0</v>
      </c>
      <c r="D288" s="33" t="s">
        <v>910</v>
      </c>
      <c r="E288" s="33">
        <v>2</v>
      </c>
      <c r="F288" s="33"/>
      <c r="G288" s="33"/>
      <c r="H288" s="56"/>
      <c r="I288" s="56">
        <f t="shared" si="8"/>
        <v>0</v>
      </c>
      <c r="J288" s="56">
        <f t="shared" si="9"/>
        <v>0</v>
      </c>
      <c r="K288" s="70" t="s">
        <v>84</v>
      </c>
    </row>
    <row r="289" spans="1:11" ht="25.5" hidden="1" customHeight="1">
      <c r="A289" s="33" t="s">
        <v>901</v>
      </c>
      <c r="B289" s="33" t="s">
        <v>10</v>
      </c>
      <c r="C289" s="2">
        <v>0</v>
      </c>
      <c r="D289" s="33" t="s">
        <v>992</v>
      </c>
      <c r="E289" s="33">
        <v>3</v>
      </c>
      <c r="F289" s="33"/>
      <c r="G289" s="33"/>
      <c r="H289" s="56">
        <v>3</v>
      </c>
      <c r="I289" s="56">
        <f t="shared" si="8"/>
        <v>3.4499999999999997</v>
      </c>
      <c r="J289" s="56">
        <f t="shared" si="9"/>
        <v>3.9000000000000004</v>
      </c>
      <c r="K289" s="70" t="s">
        <v>84</v>
      </c>
    </row>
    <row r="290" spans="1:11" ht="25.5" hidden="1" customHeight="1">
      <c r="A290" s="33" t="s">
        <v>1051</v>
      </c>
      <c r="B290" s="33" t="s">
        <v>1052</v>
      </c>
      <c r="C290" s="2">
        <v>0</v>
      </c>
      <c r="D290" s="33" t="s">
        <v>992</v>
      </c>
      <c r="E290" s="33">
        <v>3</v>
      </c>
      <c r="F290" s="33"/>
      <c r="G290" s="33"/>
      <c r="H290" s="56">
        <v>950</v>
      </c>
      <c r="I290" s="56">
        <f t="shared" si="8"/>
        <v>1092.5</v>
      </c>
      <c r="J290" s="56">
        <f t="shared" si="9"/>
        <v>1235</v>
      </c>
      <c r="K290" s="70" t="s">
        <v>84</v>
      </c>
    </row>
    <row r="291" spans="1:11" ht="25.5" hidden="1" customHeight="1">
      <c r="A291" s="74" t="s">
        <v>1101</v>
      </c>
      <c r="B291" s="74" t="s">
        <v>27</v>
      </c>
      <c r="C291" s="74">
        <v>0</v>
      </c>
      <c r="D291" s="33" t="s">
        <v>992</v>
      </c>
      <c r="E291" s="33">
        <v>5</v>
      </c>
      <c r="F291" s="33"/>
      <c r="G291" s="33"/>
      <c r="H291" s="56">
        <v>1.5</v>
      </c>
      <c r="I291" s="56">
        <f t="shared" si="8"/>
        <v>1.7249999999999999</v>
      </c>
      <c r="J291" s="56">
        <f t="shared" si="9"/>
        <v>1.9500000000000002</v>
      </c>
      <c r="K291" s="70" t="s">
        <v>84</v>
      </c>
    </row>
    <row r="292" spans="1:11" ht="25.5" hidden="1" customHeight="1">
      <c r="A292" s="74" t="s">
        <v>302</v>
      </c>
      <c r="B292" s="74" t="s">
        <v>27</v>
      </c>
      <c r="C292" s="74">
        <v>0</v>
      </c>
      <c r="D292" s="33" t="s">
        <v>992</v>
      </c>
      <c r="E292" s="33">
        <v>5</v>
      </c>
      <c r="F292" s="33"/>
      <c r="G292" s="33"/>
      <c r="H292" s="56"/>
      <c r="I292" s="56">
        <f t="shared" si="8"/>
        <v>0</v>
      </c>
      <c r="J292" s="56">
        <f t="shared" si="9"/>
        <v>0</v>
      </c>
      <c r="K292" s="70" t="s">
        <v>84</v>
      </c>
    </row>
    <row r="293" spans="1:11" ht="25.5" hidden="1" customHeight="1">
      <c r="A293" s="74" t="s">
        <v>1124</v>
      </c>
      <c r="B293" s="74" t="s">
        <v>41</v>
      </c>
      <c r="C293" s="74">
        <v>0</v>
      </c>
      <c r="D293" s="33" t="s">
        <v>992</v>
      </c>
      <c r="E293" s="33">
        <v>5</v>
      </c>
      <c r="F293" s="33"/>
      <c r="G293" s="33"/>
      <c r="H293" s="56"/>
      <c r="I293" s="56">
        <f t="shared" si="8"/>
        <v>0</v>
      </c>
      <c r="J293" s="56">
        <f t="shared" si="9"/>
        <v>0</v>
      </c>
      <c r="K293" s="70" t="s">
        <v>84</v>
      </c>
    </row>
    <row r="294" spans="1:11" ht="25.5" hidden="1" customHeight="1">
      <c r="A294" s="74" t="s">
        <v>1138</v>
      </c>
      <c r="B294" s="74" t="s">
        <v>23</v>
      </c>
      <c r="C294" s="2">
        <v>0</v>
      </c>
      <c r="D294" s="33" t="s">
        <v>992</v>
      </c>
      <c r="E294" s="33">
        <v>5</v>
      </c>
      <c r="F294" s="33"/>
      <c r="G294" s="33"/>
      <c r="H294" s="56"/>
      <c r="I294" s="56">
        <f t="shared" si="8"/>
        <v>0</v>
      </c>
      <c r="J294" s="56">
        <f t="shared" si="9"/>
        <v>0</v>
      </c>
      <c r="K294" s="70" t="s">
        <v>84</v>
      </c>
    </row>
    <row r="295" spans="1:11" ht="25.5" hidden="1" customHeight="1">
      <c r="A295" s="201" t="s">
        <v>1139</v>
      </c>
      <c r="B295" s="74" t="s">
        <v>19</v>
      </c>
      <c r="C295" s="2">
        <v>0</v>
      </c>
      <c r="D295" s="33" t="s">
        <v>992</v>
      </c>
      <c r="E295" s="33">
        <v>5</v>
      </c>
      <c r="F295" s="33"/>
      <c r="G295" s="33"/>
      <c r="H295" s="57">
        <v>100</v>
      </c>
      <c r="I295" s="56">
        <f t="shared" si="8"/>
        <v>114.99999999999999</v>
      </c>
      <c r="J295" s="57">
        <f t="shared" si="9"/>
        <v>130</v>
      </c>
      <c r="K295" s="70" t="s">
        <v>84</v>
      </c>
    </row>
    <row r="296" spans="1:11" ht="25.5" hidden="1" customHeight="1">
      <c r="A296" s="33" t="s">
        <v>1167</v>
      </c>
      <c r="B296" s="33" t="s">
        <v>137</v>
      </c>
      <c r="C296" s="33">
        <v>0</v>
      </c>
      <c r="D296" s="33" t="s">
        <v>1141</v>
      </c>
      <c r="E296" s="33">
        <v>1</v>
      </c>
      <c r="F296" s="33"/>
      <c r="G296" s="33"/>
      <c r="H296" s="56">
        <v>2</v>
      </c>
      <c r="I296" s="56">
        <f t="shared" si="8"/>
        <v>2.2999999999999998</v>
      </c>
      <c r="J296" s="56">
        <f t="shared" si="9"/>
        <v>2.6</v>
      </c>
      <c r="K296" s="70" t="s">
        <v>84</v>
      </c>
    </row>
    <row r="297" spans="1:11" ht="25.5" hidden="1" customHeight="1">
      <c r="A297" s="33" t="s">
        <v>1177</v>
      </c>
      <c r="B297" s="33" t="s">
        <v>27</v>
      </c>
      <c r="C297" s="33">
        <v>0</v>
      </c>
      <c r="D297" s="33" t="s">
        <v>1141</v>
      </c>
      <c r="E297" s="33">
        <v>2</v>
      </c>
      <c r="F297" s="33"/>
      <c r="G297" s="33"/>
      <c r="H297" s="56">
        <v>1</v>
      </c>
      <c r="I297" s="56">
        <f t="shared" si="8"/>
        <v>1.1499999999999999</v>
      </c>
      <c r="J297" s="56">
        <f t="shared" si="9"/>
        <v>1.3</v>
      </c>
      <c r="K297" s="70" t="s">
        <v>84</v>
      </c>
    </row>
    <row r="298" spans="1:11" ht="25.5" hidden="1" customHeight="1">
      <c r="A298" s="33" t="s">
        <v>1209</v>
      </c>
      <c r="B298" s="33" t="s">
        <v>25</v>
      </c>
      <c r="C298" s="33">
        <v>0</v>
      </c>
      <c r="D298" s="33" t="s">
        <v>1201</v>
      </c>
      <c r="E298" s="33">
        <v>3</v>
      </c>
      <c r="F298" s="33"/>
      <c r="G298" s="33"/>
      <c r="H298" s="56"/>
      <c r="I298" s="56">
        <f t="shared" si="8"/>
        <v>0</v>
      </c>
      <c r="J298" s="56">
        <f t="shared" si="9"/>
        <v>0</v>
      </c>
      <c r="K298" s="70" t="s">
        <v>84</v>
      </c>
    </row>
    <row r="299" spans="1:11" ht="25.5" hidden="1" customHeight="1">
      <c r="A299" s="33" t="s">
        <v>1212</v>
      </c>
      <c r="B299" s="33" t="s">
        <v>19</v>
      </c>
      <c r="C299" s="33">
        <v>0</v>
      </c>
      <c r="D299" s="33" t="s">
        <v>1201</v>
      </c>
      <c r="E299" s="33">
        <v>3</v>
      </c>
      <c r="F299" s="33"/>
      <c r="G299" s="33"/>
      <c r="H299" s="56">
        <v>5</v>
      </c>
      <c r="I299" s="56">
        <f t="shared" si="8"/>
        <v>5.75</v>
      </c>
      <c r="J299" s="56">
        <f t="shared" si="9"/>
        <v>6.5</v>
      </c>
      <c r="K299" s="70" t="s">
        <v>84</v>
      </c>
    </row>
    <row r="300" spans="1:11" ht="25.5" hidden="1" customHeight="1">
      <c r="A300" s="74" t="s">
        <v>1308</v>
      </c>
      <c r="B300" s="74" t="s">
        <v>137</v>
      </c>
      <c r="C300" s="2">
        <v>0</v>
      </c>
      <c r="D300" s="33" t="s">
        <v>1309</v>
      </c>
      <c r="E300" s="33">
        <v>3</v>
      </c>
      <c r="F300" s="33"/>
      <c r="G300" s="33"/>
      <c r="H300" s="56"/>
      <c r="I300" s="56">
        <f t="shared" si="8"/>
        <v>0</v>
      </c>
      <c r="J300" s="56">
        <f t="shared" si="9"/>
        <v>0</v>
      </c>
      <c r="K300" s="70" t="s">
        <v>84</v>
      </c>
    </row>
    <row r="301" spans="1:11" ht="25.5" hidden="1" customHeight="1">
      <c r="A301" s="33" t="s">
        <v>211</v>
      </c>
      <c r="B301" s="33" t="s">
        <v>147</v>
      </c>
      <c r="C301" s="33">
        <v>0</v>
      </c>
      <c r="D301" s="33" t="s">
        <v>1201</v>
      </c>
      <c r="E301" s="33">
        <v>5</v>
      </c>
      <c r="F301" s="33"/>
      <c r="G301" s="33"/>
      <c r="H301" s="56"/>
      <c r="I301" s="56">
        <f t="shared" si="8"/>
        <v>0</v>
      </c>
      <c r="J301" s="56">
        <f t="shared" si="9"/>
        <v>0</v>
      </c>
      <c r="K301" s="70" t="s">
        <v>84</v>
      </c>
    </row>
    <row r="302" spans="1:11" ht="25.5" hidden="1" customHeight="1">
      <c r="A302" s="205" t="s">
        <v>1326</v>
      </c>
      <c r="B302" s="79" t="s">
        <v>34</v>
      </c>
      <c r="C302" s="2">
        <v>0</v>
      </c>
      <c r="D302" s="79" t="s">
        <v>1201</v>
      </c>
      <c r="E302" s="79">
        <v>4</v>
      </c>
      <c r="F302" s="79"/>
      <c r="G302" s="79"/>
      <c r="H302" s="60">
        <v>350</v>
      </c>
      <c r="I302" s="60">
        <f t="shared" si="8"/>
        <v>402.49999999999994</v>
      </c>
      <c r="J302" s="60">
        <f t="shared" si="9"/>
        <v>455</v>
      </c>
      <c r="K302" s="70" t="s">
        <v>84</v>
      </c>
    </row>
    <row r="303" spans="1:11" ht="25.5" hidden="1" customHeight="1">
      <c r="A303" s="33" t="s">
        <v>1398</v>
      </c>
      <c r="B303" s="33" t="s">
        <v>19</v>
      </c>
      <c r="C303" s="2">
        <v>0</v>
      </c>
      <c r="D303" s="33" t="s">
        <v>1372</v>
      </c>
      <c r="E303" s="33">
        <v>3</v>
      </c>
      <c r="F303" s="33"/>
      <c r="G303" s="33"/>
      <c r="H303" s="56">
        <v>1</v>
      </c>
      <c r="I303" s="56">
        <f t="shared" si="8"/>
        <v>1.1499999999999999</v>
      </c>
      <c r="J303" s="56">
        <f t="shared" si="9"/>
        <v>1.3</v>
      </c>
      <c r="K303" s="70" t="s">
        <v>84</v>
      </c>
    </row>
    <row r="304" spans="1:11" ht="25.5" hidden="1" customHeight="1">
      <c r="A304" s="33" t="s">
        <v>1401</v>
      </c>
      <c r="B304" s="33" t="s">
        <v>640</v>
      </c>
      <c r="C304" s="33">
        <v>0</v>
      </c>
      <c r="D304" s="33" t="s">
        <v>1372</v>
      </c>
      <c r="E304" s="33">
        <v>4</v>
      </c>
      <c r="F304" s="33"/>
      <c r="G304" s="33"/>
      <c r="H304" s="56">
        <v>25</v>
      </c>
      <c r="I304" s="56">
        <f t="shared" si="8"/>
        <v>28.749999999999996</v>
      </c>
      <c r="J304" s="56">
        <f t="shared" si="9"/>
        <v>32.5</v>
      </c>
      <c r="K304" s="70" t="s">
        <v>84</v>
      </c>
    </row>
    <row r="305" spans="1:11" ht="25.5" hidden="1" customHeight="1">
      <c r="A305" s="33" t="s">
        <v>1419</v>
      </c>
      <c r="B305" s="33" t="s">
        <v>83</v>
      </c>
      <c r="C305" s="33">
        <v>0</v>
      </c>
      <c r="D305" s="33" t="s">
        <v>1372</v>
      </c>
      <c r="E305" s="33">
        <v>4</v>
      </c>
      <c r="F305" s="33"/>
      <c r="G305" s="33"/>
      <c r="H305" s="56">
        <v>200</v>
      </c>
      <c r="I305" s="56">
        <f t="shared" si="8"/>
        <v>229.99999999999997</v>
      </c>
      <c r="J305" s="56">
        <f t="shared" si="9"/>
        <v>260</v>
      </c>
      <c r="K305" s="70" t="s">
        <v>84</v>
      </c>
    </row>
    <row r="306" spans="1:11" ht="25.5" hidden="1" customHeight="1">
      <c r="A306" s="33" t="s">
        <v>1429</v>
      </c>
      <c r="B306" s="33" t="s">
        <v>21</v>
      </c>
      <c r="C306" s="2">
        <v>0</v>
      </c>
      <c r="D306" s="33" t="s">
        <v>1372</v>
      </c>
      <c r="E306" s="33">
        <v>4</v>
      </c>
      <c r="F306" s="33"/>
      <c r="G306" s="33"/>
      <c r="H306" s="56">
        <v>1</v>
      </c>
      <c r="I306" s="56">
        <f t="shared" si="8"/>
        <v>1.1499999999999999</v>
      </c>
      <c r="J306" s="56">
        <f t="shared" si="9"/>
        <v>1.3</v>
      </c>
      <c r="K306" s="70" t="s">
        <v>84</v>
      </c>
    </row>
    <row r="307" spans="1:11" ht="25.5" hidden="1" customHeight="1">
      <c r="A307" s="74" t="s">
        <v>343</v>
      </c>
      <c r="B307" s="74" t="s">
        <v>1105</v>
      </c>
      <c r="C307" s="2">
        <v>0</v>
      </c>
      <c r="D307" s="33" t="s">
        <v>1372</v>
      </c>
      <c r="E307" s="33">
        <v>5</v>
      </c>
      <c r="F307" s="33"/>
      <c r="G307" s="33"/>
      <c r="H307" s="56">
        <v>60</v>
      </c>
      <c r="I307" s="56">
        <f t="shared" si="8"/>
        <v>69</v>
      </c>
      <c r="J307" s="56">
        <f t="shared" si="9"/>
        <v>78</v>
      </c>
      <c r="K307" s="70" t="s">
        <v>84</v>
      </c>
    </row>
    <row r="308" spans="1:11" ht="25.5" hidden="1" customHeight="1">
      <c r="A308" s="74" t="s">
        <v>1485</v>
      </c>
      <c r="B308" s="74" t="s">
        <v>678</v>
      </c>
      <c r="C308" s="2">
        <v>0</v>
      </c>
      <c r="D308" s="33" t="s">
        <v>1372</v>
      </c>
      <c r="E308" s="33">
        <v>5</v>
      </c>
      <c r="F308" s="33"/>
      <c r="G308" s="33"/>
      <c r="H308" s="56"/>
      <c r="I308" s="56">
        <f t="shared" si="8"/>
        <v>0</v>
      </c>
      <c r="J308" s="56">
        <f t="shared" si="9"/>
        <v>0</v>
      </c>
      <c r="K308" s="70" t="s">
        <v>84</v>
      </c>
    </row>
    <row r="309" spans="1:11" ht="25.5" hidden="1" customHeight="1">
      <c r="A309" s="33" t="s">
        <v>1491</v>
      </c>
      <c r="B309" s="33" t="s">
        <v>10</v>
      </c>
      <c r="C309" s="2">
        <v>0</v>
      </c>
      <c r="D309" s="33" t="s">
        <v>1372</v>
      </c>
      <c r="E309" s="33">
        <v>5</v>
      </c>
      <c r="F309" s="33"/>
      <c r="G309" s="33"/>
      <c r="H309" s="56">
        <v>1</v>
      </c>
      <c r="I309" s="56">
        <f t="shared" si="8"/>
        <v>1.1499999999999999</v>
      </c>
      <c r="J309" s="56">
        <f t="shared" si="9"/>
        <v>1.3</v>
      </c>
      <c r="K309" s="70" t="s">
        <v>84</v>
      </c>
    </row>
    <row r="310" spans="1:11" ht="25.5" hidden="1" customHeight="1">
      <c r="A310" s="33" t="s">
        <v>563</v>
      </c>
      <c r="B310" s="33" t="s">
        <v>21</v>
      </c>
      <c r="C310" s="2">
        <v>0</v>
      </c>
      <c r="D310" s="33" t="s">
        <v>1548</v>
      </c>
      <c r="E310" s="33">
        <v>3</v>
      </c>
      <c r="F310" s="33"/>
      <c r="G310" s="33"/>
      <c r="H310" s="56">
        <v>1</v>
      </c>
      <c r="I310" s="56">
        <f t="shared" si="8"/>
        <v>1.1499999999999999</v>
      </c>
      <c r="J310" s="56">
        <f t="shared" si="9"/>
        <v>1.3</v>
      </c>
      <c r="K310" s="70" t="s">
        <v>84</v>
      </c>
    </row>
    <row r="311" spans="1:11" ht="25.5" hidden="1" customHeight="1">
      <c r="A311" s="74" t="s">
        <v>693</v>
      </c>
      <c r="B311" s="74" t="s">
        <v>27</v>
      </c>
      <c r="C311" s="74">
        <v>0</v>
      </c>
      <c r="D311" s="33" t="s">
        <v>1548</v>
      </c>
      <c r="E311" s="33">
        <v>5</v>
      </c>
      <c r="F311" s="33"/>
      <c r="G311" s="33"/>
      <c r="H311" s="56">
        <v>1</v>
      </c>
      <c r="I311" s="56">
        <f t="shared" si="8"/>
        <v>1.1499999999999999</v>
      </c>
      <c r="J311" s="56">
        <f t="shared" si="9"/>
        <v>1.3</v>
      </c>
      <c r="K311" s="70" t="s">
        <v>84</v>
      </c>
    </row>
    <row r="312" spans="1:11" ht="25.5" hidden="1" customHeight="1">
      <c r="A312" s="74">
        <v>7513983</v>
      </c>
      <c r="B312" s="74" t="s">
        <v>1045</v>
      </c>
      <c r="C312" s="2">
        <v>0</v>
      </c>
      <c r="D312" s="33" t="s">
        <v>1548</v>
      </c>
      <c r="E312" s="33">
        <v>5</v>
      </c>
      <c r="F312" s="33"/>
      <c r="G312" s="33"/>
      <c r="H312" s="56"/>
      <c r="I312" s="56">
        <f t="shared" si="8"/>
        <v>0</v>
      </c>
      <c r="J312" s="56">
        <f t="shared" si="9"/>
        <v>0</v>
      </c>
      <c r="K312" s="70" t="s">
        <v>84</v>
      </c>
    </row>
    <row r="313" spans="1:11" ht="25.5" hidden="1" customHeight="1">
      <c r="A313" s="33">
        <v>7554262</v>
      </c>
      <c r="B313" s="33" t="s">
        <v>34</v>
      </c>
      <c r="C313" s="2">
        <v>0</v>
      </c>
      <c r="D313" s="33" t="s">
        <v>1548</v>
      </c>
      <c r="E313" s="33">
        <v>4</v>
      </c>
      <c r="F313" s="33"/>
      <c r="G313" s="33"/>
      <c r="H313" s="56">
        <v>110</v>
      </c>
      <c r="I313" s="56">
        <f t="shared" si="8"/>
        <v>126.49999999999999</v>
      </c>
      <c r="J313" s="56">
        <f t="shared" si="9"/>
        <v>143</v>
      </c>
      <c r="K313" s="70" t="s">
        <v>84</v>
      </c>
    </row>
    <row r="314" spans="1:11" ht="25.5" hidden="1" customHeight="1">
      <c r="A314" s="33" t="s">
        <v>1398</v>
      </c>
      <c r="B314" s="33" t="s">
        <v>19</v>
      </c>
      <c r="C314" s="2">
        <v>0</v>
      </c>
      <c r="D314" s="33" t="s">
        <v>1548</v>
      </c>
      <c r="E314" s="33">
        <v>4</v>
      </c>
      <c r="F314" s="33"/>
      <c r="G314" s="33"/>
      <c r="H314" s="56">
        <v>1</v>
      </c>
      <c r="I314" s="56">
        <f t="shared" si="8"/>
        <v>1.1499999999999999</v>
      </c>
      <c r="J314" s="56">
        <f t="shared" si="9"/>
        <v>1.3</v>
      </c>
      <c r="K314" s="70" t="s">
        <v>84</v>
      </c>
    </row>
    <row r="315" spans="1:11" ht="25.5" hidden="1" customHeight="1">
      <c r="A315" s="74" t="s">
        <v>1679</v>
      </c>
      <c r="B315" s="74" t="s">
        <v>1680</v>
      </c>
      <c r="C315" s="2">
        <v>0</v>
      </c>
      <c r="D315" s="33" t="s">
        <v>1548</v>
      </c>
      <c r="E315" s="33">
        <v>5</v>
      </c>
      <c r="F315" s="33"/>
      <c r="G315" s="33"/>
      <c r="H315" s="56"/>
      <c r="I315" s="56">
        <f t="shared" si="8"/>
        <v>0</v>
      </c>
      <c r="J315" s="56">
        <f t="shared" si="9"/>
        <v>0</v>
      </c>
      <c r="K315" s="70" t="s">
        <v>84</v>
      </c>
    </row>
    <row r="316" spans="1:11" ht="25.5" hidden="1" customHeight="1">
      <c r="A316" s="74" t="s">
        <v>328</v>
      </c>
      <c r="B316" s="74" t="s">
        <v>10</v>
      </c>
      <c r="C316" s="2">
        <v>0</v>
      </c>
      <c r="D316" s="33" t="s">
        <v>1548</v>
      </c>
      <c r="E316" s="33">
        <v>5</v>
      </c>
      <c r="F316" s="33"/>
      <c r="G316" s="33"/>
      <c r="H316" s="56"/>
      <c r="I316" s="56">
        <f t="shared" si="8"/>
        <v>0</v>
      </c>
      <c r="J316" s="56">
        <f t="shared" si="9"/>
        <v>0</v>
      </c>
      <c r="K316" s="70" t="s">
        <v>84</v>
      </c>
    </row>
    <row r="317" spans="1:11" ht="25.5" hidden="1" customHeight="1">
      <c r="A317" s="343" t="s">
        <v>168</v>
      </c>
      <c r="B317" s="17" t="s">
        <v>27</v>
      </c>
      <c r="C317" s="17">
        <v>0</v>
      </c>
      <c r="D317" s="131" t="s">
        <v>1681</v>
      </c>
      <c r="E317" s="15">
        <v>3</v>
      </c>
      <c r="F317" s="15"/>
      <c r="G317" s="15"/>
      <c r="H317" s="56"/>
      <c r="I317" s="56">
        <f t="shared" si="8"/>
        <v>0</v>
      </c>
      <c r="J317" s="56">
        <f t="shared" si="9"/>
        <v>0</v>
      </c>
      <c r="K317" s="70" t="s">
        <v>84</v>
      </c>
    </row>
    <row r="318" spans="1:11" ht="25.5" hidden="1" customHeight="1">
      <c r="A318" s="11" t="s">
        <v>1684</v>
      </c>
      <c r="B318" s="11" t="s">
        <v>1685</v>
      </c>
      <c r="C318" s="2">
        <v>0</v>
      </c>
      <c r="D318" s="131" t="s">
        <v>1681</v>
      </c>
      <c r="E318" s="11">
        <v>1</v>
      </c>
      <c r="F318" s="11"/>
      <c r="G318" s="11"/>
      <c r="H318" s="56"/>
      <c r="I318" s="56">
        <f t="shared" si="8"/>
        <v>0</v>
      </c>
      <c r="J318" s="56">
        <f t="shared" si="9"/>
        <v>0</v>
      </c>
      <c r="K318" s="70" t="s">
        <v>84</v>
      </c>
    </row>
    <row r="319" spans="1:11" ht="25.5" hidden="1" customHeight="1">
      <c r="A319" s="17" t="s">
        <v>168</v>
      </c>
      <c r="B319" s="17" t="s">
        <v>27</v>
      </c>
      <c r="C319" s="2">
        <v>0</v>
      </c>
      <c r="D319" s="131" t="s">
        <v>1681</v>
      </c>
      <c r="E319" s="11">
        <v>2</v>
      </c>
      <c r="F319" s="11"/>
      <c r="G319" s="11"/>
      <c r="H319" s="56"/>
      <c r="I319" s="56">
        <f t="shared" si="8"/>
        <v>0</v>
      </c>
      <c r="J319" s="56">
        <f t="shared" si="9"/>
        <v>0</v>
      </c>
      <c r="K319" s="70" t="s">
        <v>84</v>
      </c>
    </row>
    <row r="320" spans="1:11" ht="25.5" hidden="1" customHeight="1">
      <c r="A320" s="17" t="s">
        <v>1686</v>
      </c>
      <c r="B320" s="17" t="s">
        <v>27</v>
      </c>
      <c r="C320" s="2">
        <v>0</v>
      </c>
      <c r="D320" s="131" t="s">
        <v>1681</v>
      </c>
      <c r="E320" s="11">
        <v>2</v>
      </c>
      <c r="F320" s="11"/>
      <c r="G320" s="11"/>
      <c r="H320" s="56"/>
      <c r="I320" s="56">
        <f t="shared" si="8"/>
        <v>0</v>
      </c>
      <c r="J320" s="56">
        <f t="shared" si="9"/>
        <v>0</v>
      </c>
      <c r="K320" s="70" t="s">
        <v>84</v>
      </c>
    </row>
    <row r="321" spans="1:11" ht="25.5" hidden="1" customHeight="1">
      <c r="A321" s="2" t="s">
        <v>1687</v>
      </c>
      <c r="B321" s="2" t="s">
        <v>27</v>
      </c>
      <c r="C321" s="2">
        <v>0</v>
      </c>
      <c r="D321" s="131" t="s">
        <v>1681</v>
      </c>
      <c r="E321" s="33">
        <v>3</v>
      </c>
      <c r="F321" s="33"/>
      <c r="G321" s="33"/>
      <c r="H321" s="56"/>
      <c r="I321" s="56">
        <f t="shared" si="8"/>
        <v>0</v>
      </c>
      <c r="J321" s="56">
        <f t="shared" si="9"/>
        <v>0</v>
      </c>
      <c r="K321" s="70" t="s">
        <v>84</v>
      </c>
    </row>
    <row r="322" spans="1:11" ht="25.5" hidden="1" customHeight="1">
      <c r="A322" s="33" t="s">
        <v>534</v>
      </c>
      <c r="B322" s="33" t="s">
        <v>27</v>
      </c>
      <c r="C322" s="2">
        <v>0</v>
      </c>
      <c r="D322" s="131" t="s">
        <v>1681</v>
      </c>
      <c r="E322" s="33">
        <v>3</v>
      </c>
      <c r="F322" s="33"/>
      <c r="G322" s="33"/>
      <c r="H322" s="56"/>
      <c r="I322" s="56">
        <f t="shared" ref="I322:I385" si="10">H322 * 1.15</f>
        <v>0</v>
      </c>
      <c r="J322" s="56">
        <f t="shared" ref="J322:J385" si="11">H322 * 1.3</f>
        <v>0</v>
      </c>
      <c r="K322" s="70" t="s">
        <v>84</v>
      </c>
    </row>
    <row r="323" spans="1:11" ht="25.5" hidden="1" customHeight="1">
      <c r="A323" s="33" t="s">
        <v>93</v>
      </c>
      <c r="B323" s="33" t="s">
        <v>94</v>
      </c>
      <c r="C323" s="2">
        <v>0</v>
      </c>
      <c r="D323" s="131" t="s">
        <v>1681</v>
      </c>
      <c r="E323" s="33">
        <v>3</v>
      </c>
      <c r="F323" s="33"/>
      <c r="G323" s="33"/>
      <c r="H323" s="56"/>
      <c r="I323" s="56">
        <f t="shared" si="10"/>
        <v>0</v>
      </c>
      <c r="J323" s="56">
        <f t="shared" si="11"/>
        <v>0</v>
      </c>
      <c r="K323" s="70" t="s">
        <v>84</v>
      </c>
    </row>
    <row r="324" spans="1:11" ht="25.5" hidden="1" customHeight="1">
      <c r="A324" s="33" t="s">
        <v>1688</v>
      </c>
      <c r="B324" s="33" t="s">
        <v>10</v>
      </c>
      <c r="C324" s="2">
        <v>0</v>
      </c>
      <c r="D324" s="131" t="s">
        <v>1681</v>
      </c>
      <c r="E324" s="33">
        <v>3</v>
      </c>
      <c r="F324" s="33"/>
      <c r="G324" s="33"/>
      <c r="H324" s="56"/>
      <c r="I324" s="56">
        <f t="shared" si="10"/>
        <v>0</v>
      </c>
      <c r="J324" s="56">
        <f t="shared" si="11"/>
        <v>0</v>
      </c>
      <c r="K324" s="70" t="s">
        <v>84</v>
      </c>
    </row>
    <row r="325" spans="1:11" ht="25.5" hidden="1" customHeight="1">
      <c r="A325" s="17" t="s">
        <v>1692</v>
      </c>
      <c r="B325" s="17" t="s">
        <v>10</v>
      </c>
      <c r="C325" s="17">
        <v>0</v>
      </c>
      <c r="D325" s="131" t="s">
        <v>1681</v>
      </c>
      <c r="E325" s="15">
        <v>1</v>
      </c>
      <c r="F325" s="15"/>
      <c r="G325" s="15"/>
      <c r="H325" s="56"/>
      <c r="I325" s="56">
        <f t="shared" si="10"/>
        <v>0</v>
      </c>
      <c r="J325" s="56">
        <f t="shared" si="11"/>
        <v>0</v>
      </c>
      <c r="K325" s="70" t="s">
        <v>84</v>
      </c>
    </row>
    <row r="326" spans="1:11" ht="25.5" hidden="1" customHeight="1">
      <c r="A326" s="15" t="s">
        <v>1718</v>
      </c>
      <c r="B326" s="17" t="s">
        <v>1719</v>
      </c>
      <c r="C326" s="17">
        <v>0</v>
      </c>
      <c r="D326" s="131" t="s">
        <v>1681</v>
      </c>
      <c r="E326" s="11">
        <v>1</v>
      </c>
      <c r="F326" s="11"/>
      <c r="G326" s="11"/>
      <c r="H326" s="56"/>
      <c r="I326" s="56">
        <f t="shared" si="10"/>
        <v>0</v>
      </c>
      <c r="J326" s="56">
        <f t="shared" si="11"/>
        <v>0</v>
      </c>
      <c r="K326" s="70" t="s">
        <v>84</v>
      </c>
    </row>
    <row r="327" spans="1:11" ht="25.5" hidden="1" customHeight="1">
      <c r="A327" s="194" t="s">
        <v>1727</v>
      </c>
      <c r="B327" s="11" t="s">
        <v>56</v>
      </c>
      <c r="C327" s="11">
        <v>0</v>
      </c>
      <c r="D327" s="131" t="s">
        <v>1723</v>
      </c>
      <c r="E327" s="11">
        <v>1</v>
      </c>
      <c r="F327" s="11"/>
      <c r="G327" s="11"/>
      <c r="H327" s="56">
        <v>160</v>
      </c>
      <c r="I327" s="56">
        <f t="shared" si="10"/>
        <v>184</v>
      </c>
      <c r="J327" s="56">
        <f t="shared" si="11"/>
        <v>208</v>
      </c>
      <c r="K327" s="70" t="s">
        <v>84</v>
      </c>
    </row>
    <row r="328" spans="1:11" ht="25.5" hidden="1" customHeight="1">
      <c r="A328" s="11" t="s">
        <v>1752</v>
      </c>
      <c r="B328" s="11" t="s">
        <v>10</v>
      </c>
      <c r="C328" s="11">
        <v>0</v>
      </c>
      <c r="D328" s="131" t="s">
        <v>1723</v>
      </c>
      <c r="E328" s="11">
        <v>1</v>
      </c>
      <c r="F328" s="11"/>
      <c r="G328" s="11"/>
      <c r="H328" s="56"/>
      <c r="I328" s="56">
        <f t="shared" si="10"/>
        <v>0</v>
      </c>
      <c r="J328" s="56">
        <f t="shared" si="11"/>
        <v>0</v>
      </c>
      <c r="K328" s="70" t="s">
        <v>84</v>
      </c>
    </row>
    <row r="329" spans="1:11" ht="25.5" hidden="1" customHeight="1">
      <c r="A329" s="17" t="s">
        <v>463</v>
      </c>
      <c r="B329" s="17" t="s">
        <v>19</v>
      </c>
      <c r="C329" s="17">
        <v>0</v>
      </c>
      <c r="D329" s="131" t="s">
        <v>1723</v>
      </c>
      <c r="E329" s="11">
        <v>2</v>
      </c>
      <c r="F329" s="11"/>
      <c r="G329" s="11"/>
      <c r="H329" s="56"/>
      <c r="I329" s="56">
        <f t="shared" si="10"/>
        <v>0</v>
      </c>
      <c r="J329" s="56">
        <f t="shared" si="11"/>
        <v>0</v>
      </c>
      <c r="K329" s="70" t="s">
        <v>84</v>
      </c>
    </row>
    <row r="330" spans="1:11" ht="25.5" hidden="1" customHeight="1">
      <c r="A330" s="11" t="s">
        <v>616</v>
      </c>
      <c r="B330" s="11" t="s">
        <v>10</v>
      </c>
      <c r="C330" s="2">
        <v>0</v>
      </c>
      <c r="D330" s="131" t="s">
        <v>1723</v>
      </c>
      <c r="E330" s="11">
        <v>1</v>
      </c>
      <c r="F330" s="11"/>
      <c r="G330" s="11"/>
      <c r="H330" s="56"/>
      <c r="I330" s="56">
        <f t="shared" si="10"/>
        <v>0</v>
      </c>
      <c r="J330" s="56">
        <f t="shared" si="11"/>
        <v>0</v>
      </c>
      <c r="K330" s="70" t="s">
        <v>84</v>
      </c>
    </row>
    <row r="331" spans="1:11" ht="25.5" hidden="1" customHeight="1">
      <c r="A331" s="17" t="s">
        <v>1772</v>
      </c>
      <c r="B331" s="17" t="s">
        <v>227</v>
      </c>
      <c r="C331" s="17">
        <v>0</v>
      </c>
      <c r="D331" s="131" t="s">
        <v>1723</v>
      </c>
      <c r="E331" s="11">
        <v>3</v>
      </c>
      <c r="F331" s="11"/>
      <c r="G331" s="11"/>
      <c r="H331" s="56"/>
      <c r="I331" s="56">
        <f t="shared" si="10"/>
        <v>0</v>
      </c>
      <c r="J331" s="56">
        <f t="shared" si="11"/>
        <v>0</v>
      </c>
      <c r="K331" s="70" t="s">
        <v>84</v>
      </c>
    </row>
    <row r="332" spans="1:11" ht="25.5" hidden="1" customHeight="1">
      <c r="A332" s="2" t="s">
        <v>1789</v>
      </c>
      <c r="B332" s="2" t="s">
        <v>201</v>
      </c>
      <c r="C332" s="2">
        <v>0</v>
      </c>
      <c r="D332" s="2" t="s">
        <v>1785</v>
      </c>
      <c r="E332" s="33">
        <v>1</v>
      </c>
      <c r="F332" s="33"/>
      <c r="G332" s="33"/>
      <c r="H332" s="57">
        <v>270</v>
      </c>
      <c r="I332" s="56">
        <f t="shared" si="10"/>
        <v>310.5</v>
      </c>
      <c r="J332" s="57">
        <f t="shared" si="11"/>
        <v>351</v>
      </c>
      <c r="K332" s="70" t="s">
        <v>84</v>
      </c>
    </row>
    <row r="333" spans="1:11" ht="25.5" hidden="1" customHeight="1">
      <c r="A333" s="33" t="s">
        <v>200</v>
      </c>
      <c r="B333" s="33" t="s">
        <v>201</v>
      </c>
      <c r="C333" s="2">
        <v>0</v>
      </c>
      <c r="D333" s="2" t="s">
        <v>1785</v>
      </c>
      <c r="E333" s="33">
        <v>1</v>
      </c>
      <c r="F333" s="33"/>
      <c r="G333" s="33"/>
      <c r="H333" s="57">
        <v>270</v>
      </c>
      <c r="I333" s="56">
        <f t="shared" si="10"/>
        <v>310.5</v>
      </c>
      <c r="J333" s="57">
        <f t="shared" si="11"/>
        <v>351</v>
      </c>
      <c r="K333" s="70" t="s">
        <v>84</v>
      </c>
    </row>
    <row r="334" spans="1:11" ht="25.5" hidden="1" customHeight="1">
      <c r="A334" s="2" t="s">
        <v>1793</v>
      </c>
      <c r="B334" s="2" t="s">
        <v>389</v>
      </c>
      <c r="C334" s="2">
        <v>0</v>
      </c>
      <c r="D334" s="2" t="s">
        <v>1785</v>
      </c>
      <c r="E334" s="33">
        <v>1</v>
      </c>
      <c r="F334" s="33"/>
      <c r="G334" s="33"/>
      <c r="H334" s="56"/>
      <c r="I334" s="56">
        <f t="shared" si="10"/>
        <v>0</v>
      </c>
      <c r="J334" s="56">
        <f t="shared" si="11"/>
        <v>0</v>
      </c>
      <c r="K334" s="70" t="s">
        <v>84</v>
      </c>
    </row>
    <row r="335" spans="1:11" ht="25.5" hidden="1" customHeight="1">
      <c r="A335" s="2" t="s">
        <v>1794</v>
      </c>
      <c r="B335" s="2" t="s">
        <v>371</v>
      </c>
      <c r="C335" s="2">
        <v>0</v>
      </c>
      <c r="D335" s="2" t="s">
        <v>1785</v>
      </c>
      <c r="E335" s="33">
        <v>1</v>
      </c>
      <c r="F335" s="33"/>
      <c r="G335" s="33"/>
      <c r="H335" s="56">
        <v>1.5</v>
      </c>
      <c r="I335" s="56">
        <f t="shared" si="10"/>
        <v>1.7249999999999999</v>
      </c>
      <c r="J335" s="56">
        <f t="shared" si="11"/>
        <v>1.9500000000000002</v>
      </c>
      <c r="K335" s="70" t="s">
        <v>84</v>
      </c>
    </row>
    <row r="336" spans="1:11" ht="25.5" hidden="1" customHeight="1">
      <c r="A336" s="2" t="s">
        <v>1822</v>
      </c>
      <c r="B336" s="2" t="s">
        <v>1016</v>
      </c>
      <c r="C336" s="2">
        <v>0</v>
      </c>
      <c r="D336" s="2" t="s">
        <v>1785</v>
      </c>
      <c r="E336" s="33">
        <v>2</v>
      </c>
      <c r="F336" s="33"/>
      <c r="G336" s="33"/>
      <c r="H336" s="56"/>
      <c r="I336" s="56">
        <f t="shared" si="10"/>
        <v>0</v>
      </c>
      <c r="J336" s="56">
        <f t="shared" si="11"/>
        <v>0</v>
      </c>
      <c r="K336" s="70" t="s">
        <v>84</v>
      </c>
    </row>
    <row r="337" spans="1:11" ht="25.5" hidden="1" customHeight="1">
      <c r="A337" s="2" t="s">
        <v>1700</v>
      </c>
      <c r="B337" s="2" t="s">
        <v>845</v>
      </c>
      <c r="C337" s="2">
        <v>0</v>
      </c>
      <c r="D337" s="2" t="s">
        <v>1785</v>
      </c>
      <c r="E337" s="33">
        <v>2</v>
      </c>
      <c r="F337" s="33"/>
      <c r="G337" s="33"/>
      <c r="H337" s="56"/>
      <c r="I337" s="56">
        <f t="shared" si="10"/>
        <v>0</v>
      </c>
      <c r="J337" s="56">
        <f t="shared" si="11"/>
        <v>0</v>
      </c>
      <c r="K337" s="70" t="s">
        <v>84</v>
      </c>
    </row>
    <row r="338" spans="1:11" ht="25.5" hidden="1" customHeight="1">
      <c r="A338" s="82" t="s">
        <v>1692</v>
      </c>
      <c r="B338" s="82" t="s">
        <v>10</v>
      </c>
      <c r="C338" s="82">
        <v>0</v>
      </c>
      <c r="D338" s="82" t="s">
        <v>1785</v>
      </c>
      <c r="E338" s="71">
        <v>2</v>
      </c>
      <c r="F338" s="71"/>
      <c r="G338" s="71"/>
      <c r="H338" s="73">
        <v>30</v>
      </c>
      <c r="I338" s="73">
        <f t="shared" si="10"/>
        <v>34.5</v>
      </c>
      <c r="J338" s="73">
        <f t="shared" si="11"/>
        <v>39</v>
      </c>
      <c r="K338" s="70" t="s">
        <v>84</v>
      </c>
    </row>
    <row r="339" spans="1:11" ht="25.5" hidden="1" customHeight="1">
      <c r="A339" s="2" t="s">
        <v>180</v>
      </c>
      <c r="B339" s="2" t="s">
        <v>10</v>
      </c>
      <c r="C339" s="2">
        <v>0</v>
      </c>
      <c r="D339" s="2" t="s">
        <v>1785</v>
      </c>
      <c r="E339" s="33">
        <v>2</v>
      </c>
      <c r="F339" s="33"/>
      <c r="G339" s="33"/>
      <c r="H339" s="57">
        <v>10</v>
      </c>
      <c r="I339" s="56">
        <f t="shared" si="10"/>
        <v>11.5</v>
      </c>
      <c r="J339" s="57">
        <f t="shared" si="11"/>
        <v>13</v>
      </c>
      <c r="K339" s="70" t="s">
        <v>84</v>
      </c>
    </row>
    <row r="340" spans="1:11" ht="25.5" hidden="1" customHeight="1">
      <c r="A340" s="33" t="s">
        <v>131</v>
      </c>
      <c r="B340" s="33" t="s">
        <v>10</v>
      </c>
      <c r="C340" s="33">
        <v>0</v>
      </c>
      <c r="D340" s="2" t="s">
        <v>1785</v>
      </c>
      <c r="E340" s="33">
        <v>2</v>
      </c>
      <c r="F340" s="33"/>
      <c r="G340" s="33"/>
      <c r="H340" s="56"/>
      <c r="I340" s="56">
        <f t="shared" si="10"/>
        <v>0</v>
      </c>
      <c r="J340" s="56">
        <f t="shared" si="11"/>
        <v>0</v>
      </c>
      <c r="K340" s="70" t="s">
        <v>84</v>
      </c>
    </row>
    <row r="341" spans="1:11" ht="25.5" hidden="1" customHeight="1">
      <c r="A341" s="33" t="s">
        <v>1891</v>
      </c>
      <c r="B341" s="33" t="s">
        <v>19</v>
      </c>
      <c r="C341" s="33">
        <v>0</v>
      </c>
      <c r="D341" s="2" t="s">
        <v>1785</v>
      </c>
      <c r="E341" s="33">
        <v>3</v>
      </c>
      <c r="F341" s="33"/>
      <c r="G341" s="33"/>
      <c r="H341" s="56"/>
      <c r="I341" s="56">
        <f t="shared" si="10"/>
        <v>0</v>
      </c>
      <c r="J341" s="56">
        <f t="shared" si="11"/>
        <v>0</v>
      </c>
      <c r="K341" s="70" t="s">
        <v>84</v>
      </c>
    </row>
    <row r="342" spans="1:11" ht="25.5" hidden="1" customHeight="1">
      <c r="A342" s="2" t="s">
        <v>852</v>
      </c>
      <c r="B342" s="2" t="s">
        <v>50</v>
      </c>
      <c r="C342" s="2">
        <v>0</v>
      </c>
      <c r="D342" s="2" t="s">
        <v>1785</v>
      </c>
      <c r="E342" s="33">
        <v>2</v>
      </c>
      <c r="F342" s="33"/>
      <c r="G342" s="33"/>
      <c r="H342" s="56">
        <v>5</v>
      </c>
      <c r="I342" s="56">
        <f t="shared" si="10"/>
        <v>5.75</v>
      </c>
      <c r="J342" s="56">
        <f t="shared" si="11"/>
        <v>6.5</v>
      </c>
      <c r="K342" s="70" t="s">
        <v>84</v>
      </c>
    </row>
    <row r="343" spans="1:11" ht="25.5" hidden="1" customHeight="1">
      <c r="A343" s="2" t="s">
        <v>1901</v>
      </c>
      <c r="B343" s="2" t="s">
        <v>23</v>
      </c>
      <c r="C343" s="2">
        <v>0</v>
      </c>
      <c r="D343" s="2" t="s">
        <v>1785</v>
      </c>
      <c r="E343" s="33">
        <v>2</v>
      </c>
      <c r="F343" s="33"/>
      <c r="G343" s="33"/>
      <c r="H343" s="56">
        <v>30</v>
      </c>
      <c r="I343" s="56">
        <f t="shared" si="10"/>
        <v>34.5</v>
      </c>
      <c r="J343" s="56">
        <f t="shared" si="11"/>
        <v>39</v>
      </c>
      <c r="K343" s="70" t="s">
        <v>84</v>
      </c>
    </row>
    <row r="344" spans="1:11" ht="25.5" hidden="1" customHeight="1">
      <c r="A344" s="2" t="s">
        <v>1902</v>
      </c>
      <c r="B344" s="2" t="s">
        <v>1903</v>
      </c>
      <c r="C344" s="2">
        <v>0</v>
      </c>
      <c r="D344" s="2" t="s">
        <v>1785</v>
      </c>
      <c r="E344" s="33">
        <v>2</v>
      </c>
      <c r="F344" s="33"/>
      <c r="G344" s="33"/>
      <c r="H344" s="56">
        <v>100</v>
      </c>
      <c r="I344" s="56">
        <f t="shared" si="10"/>
        <v>114.99999999999999</v>
      </c>
      <c r="J344" s="56">
        <f t="shared" si="11"/>
        <v>130</v>
      </c>
      <c r="K344" s="70" t="s">
        <v>84</v>
      </c>
    </row>
    <row r="345" spans="1:11" ht="25.5" hidden="1" customHeight="1">
      <c r="A345" s="2" t="s">
        <v>710</v>
      </c>
      <c r="B345" s="2" t="s">
        <v>19</v>
      </c>
      <c r="C345" s="2">
        <v>0</v>
      </c>
      <c r="D345" s="2" t="s">
        <v>1785</v>
      </c>
      <c r="E345" s="33">
        <v>3</v>
      </c>
      <c r="F345" s="33"/>
      <c r="G345" s="33"/>
      <c r="H345" s="56">
        <v>5</v>
      </c>
      <c r="I345" s="56">
        <f t="shared" si="10"/>
        <v>5.75</v>
      </c>
      <c r="J345" s="56">
        <f t="shared" si="11"/>
        <v>6.5</v>
      </c>
      <c r="K345" s="70" t="s">
        <v>84</v>
      </c>
    </row>
    <row r="346" spans="1:11" ht="25.5" hidden="1" customHeight="1">
      <c r="A346" s="2" t="s">
        <v>167</v>
      </c>
      <c r="B346" s="2" t="s">
        <v>21</v>
      </c>
      <c r="C346" s="2">
        <v>0</v>
      </c>
      <c r="D346" s="2" t="s">
        <v>1785</v>
      </c>
      <c r="E346" s="33">
        <v>3</v>
      </c>
      <c r="F346" s="33"/>
      <c r="G346" s="33"/>
      <c r="H346" s="56"/>
      <c r="I346" s="56">
        <f t="shared" si="10"/>
        <v>0</v>
      </c>
      <c r="J346" s="56">
        <f t="shared" si="11"/>
        <v>0</v>
      </c>
      <c r="K346" s="70" t="s">
        <v>84</v>
      </c>
    </row>
    <row r="347" spans="1:11" ht="25.5" hidden="1" customHeight="1">
      <c r="A347" s="2" t="s">
        <v>533</v>
      </c>
      <c r="B347" s="2" t="s">
        <v>41</v>
      </c>
      <c r="C347" s="2">
        <v>0</v>
      </c>
      <c r="D347" s="2" t="s">
        <v>1785</v>
      </c>
      <c r="E347" s="33">
        <v>3</v>
      </c>
      <c r="F347" s="33"/>
      <c r="G347" s="33"/>
      <c r="H347" s="56">
        <v>6</v>
      </c>
      <c r="I347" s="56">
        <f t="shared" si="10"/>
        <v>6.8999999999999995</v>
      </c>
      <c r="J347" s="56">
        <f t="shared" si="11"/>
        <v>7.8000000000000007</v>
      </c>
      <c r="K347" s="70" t="s">
        <v>84</v>
      </c>
    </row>
    <row r="348" spans="1:11" ht="25.5" hidden="1" customHeight="1">
      <c r="A348" s="2" t="s">
        <v>523</v>
      </c>
      <c r="B348" s="2" t="s">
        <v>19</v>
      </c>
      <c r="C348" s="2">
        <v>0</v>
      </c>
      <c r="D348" s="2" t="s">
        <v>1785</v>
      </c>
      <c r="E348" s="33">
        <v>3</v>
      </c>
      <c r="F348" s="33"/>
      <c r="G348" s="33"/>
      <c r="H348" s="56"/>
      <c r="I348" s="56">
        <f t="shared" si="10"/>
        <v>0</v>
      </c>
      <c r="J348" s="56">
        <f t="shared" si="11"/>
        <v>0</v>
      </c>
      <c r="K348" s="70" t="s">
        <v>84</v>
      </c>
    </row>
    <row r="349" spans="1:11" ht="25.5" hidden="1" customHeight="1">
      <c r="A349" s="2" t="s">
        <v>545</v>
      </c>
      <c r="B349" s="2" t="s">
        <v>53</v>
      </c>
      <c r="C349" s="2">
        <v>0</v>
      </c>
      <c r="D349" s="2" t="s">
        <v>1785</v>
      </c>
      <c r="E349" s="33">
        <v>3</v>
      </c>
      <c r="F349" s="33"/>
      <c r="G349" s="33"/>
      <c r="H349" s="56"/>
      <c r="I349" s="56">
        <f t="shared" si="10"/>
        <v>0</v>
      </c>
      <c r="J349" s="56">
        <f t="shared" si="11"/>
        <v>0</v>
      </c>
      <c r="K349" s="70" t="s">
        <v>84</v>
      </c>
    </row>
    <row r="350" spans="1:11" ht="25.5" hidden="1" customHeight="1">
      <c r="A350" s="2" t="s">
        <v>1904</v>
      </c>
      <c r="B350" s="2" t="s">
        <v>23</v>
      </c>
      <c r="C350" s="2">
        <v>0</v>
      </c>
      <c r="D350" s="2" t="s">
        <v>1785</v>
      </c>
      <c r="E350" s="33">
        <v>3</v>
      </c>
      <c r="F350" s="33"/>
      <c r="G350" s="33"/>
      <c r="H350" s="56">
        <v>1100</v>
      </c>
      <c r="I350" s="56">
        <f t="shared" si="10"/>
        <v>1265</v>
      </c>
      <c r="J350" s="56">
        <f t="shared" si="11"/>
        <v>1430</v>
      </c>
      <c r="K350" s="70" t="s">
        <v>84</v>
      </c>
    </row>
    <row r="351" spans="1:11" ht="25.5" hidden="1" customHeight="1">
      <c r="A351" s="33" t="s">
        <v>2001</v>
      </c>
      <c r="B351" s="33" t="s">
        <v>1976</v>
      </c>
      <c r="C351" s="2">
        <v>0</v>
      </c>
      <c r="D351" s="33" t="s">
        <v>1938</v>
      </c>
      <c r="E351" s="33">
        <v>1</v>
      </c>
      <c r="F351" s="33"/>
      <c r="G351" s="33"/>
      <c r="H351" s="56"/>
      <c r="I351" s="56">
        <f t="shared" si="10"/>
        <v>0</v>
      </c>
      <c r="J351" s="56">
        <f t="shared" si="11"/>
        <v>0</v>
      </c>
      <c r="K351" s="70" t="s">
        <v>84</v>
      </c>
    </row>
    <row r="352" spans="1:11" ht="25.5" hidden="1" customHeight="1">
      <c r="A352" s="33" t="s">
        <v>1752</v>
      </c>
      <c r="B352" s="66" t="s">
        <v>10</v>
      </c>
      <c r="C352" s="11">
        <v>0</v>
      </c>
      <c r="D352" s="66" t="s">
        <v>1938</v>
      </c>
      <c r="E352" s="66">
        <v>2</v>
      </c>
      <c r="F352" s="66"/>
      <c r="G352" s="66"/>
      <c r="H352" s="56"/>
      <c r="I352" s="56">
        <f t="shared" si="10"/>
        <v>0</v>
      </c>
      <c r="J352" s="56">
        <f t="shared" si="11"/>
        <v>0</v>
      </c>
      <c r="K352" s="70" t="s">
        <v>84</v>
      </c>
    </row>
    <row r="353" spans="1:11" ht="25.5" hidden="1" customHeight="1">
      <c r="A353" s="33" t="s">
        <v>2021</v>
      </c>
      <c r="B353" s="33" t="s">
        <v>1410</v>
      </c>
      <c r="C353" s="2">
        <v>0</v>
      </c>
      <c r="D353" s="33" t="s">
        <v>1938</v>
      </c>
      <c r="E353" s="33">
        <v>1</v>
      </c>
      <c r="F353" s="33"/>
      <c r="G353" s="33"/>
      <c r="H353" s="56">
        <v>1000</v>
      </c>
      <c r="I353" s="56">
        <f t="shared" si="10"/>
        <v>1150</v>
      </c>
      <c r="J353" s="56">
        <f t="shared" si="11"/>
        <v>1300</v>
      </c>
      <c r="K353" s="70" t="s">
        <v>84</v>
      </c>
    </row>
    <row r="354" spans="1:11" ht="25.5" hidden="1" customHeight="1">
      <c r="A354" s="33" t="s">
        <v>2022</v>
      </c>
      <c r="B354" s="33" t="s">
        <v>2023</v>
      </c>
      <c r="C354" s="2">
        <v>0</v>
      </c>
      <c r="D354" s="33" t="s">
        <v>1938</v>
      </c>
      <c r="E354" s="33">
        <v>2</v>
      </c>
      <c r="F354" s="33"/>
      <c r="G354" s="33"/>
      <c r="H354" s="56"/>
      <c r="I354" s="56">
        <f t="shared" si="10"/>
        <v>0</v>
      </c>
      <c r="J354" s="56">
        <f t="shared" si="11"/>
        <v>0</v>
      </c>
      <c r="K354" s="70" t="s">
        <v>84</v>
      </c>
    </row>
    <row r="355" spans="1:11" ht="25.5" hidden="1" customHeight="1">
      <c r="A355" s="74" t="s">
        <v>2073</v>
      </c>
      <c r="B355" s="74" t="s">
        <v>19</v>
      </c>
      <c r="C355" s="74">
        <v>0</v>
      </c>
      <c r="D355" s="33" t="s">
        <v>2026</v>
      </c>
      <c r="E355" s="33">
        <v>5</v>
      </c>
      <c r="F355" s="33"/>
      <c r="G355" s="33"/>
      <c r="H355" s="56">
        <v>1</v>
      </c>
      <c r="I355" s="56">
        <f t="shared" si="10"/>
        <v>1.1499999999999999</v>
      </c>
      <c r="J355" s="56">
        <f t="shared" si="11"/>
        <v>1.3</v>
      </c>
      <c r="K355" s="70" t="s">
        <v>84</v>
      </c>
    </row>
    <row r="356" spans="1:11" ht="25.5" hidden="1" customHeight="1">
      <c r="A356" s="74" t="s">
        <v>2084</v>
      </c>
      <c r="B356" s="74" t="s">
        <v>83</v>
      </c>
      <c r="C356" s="74">
        <v>0</v>
      </c>
      <c r="D356" s="33" t="s">
        <v>2026</v>
      </c>
      <c r="E356" s="33">
        <v>5</v>
      </c>
      <c r="F356" s="33"/>
      <c r="G356" s="33"/>
      <c r="H356" s="56">
        <v>30</v>
      </c>
      <c r="I356" s="56">
        <f t="shared" si="10"/>
        <v>34.5</v>
      </c>
      <c r="J356" s="56">
        <f t="shared" si="11"/>
        <v>39</v>
      </c>
      <c r="K356" s="70" t="s">
        <v>84</v>
      </c>
    </row>
    <row r="357" spans="1:11" ht="25.5" hidden="1" customHeight="1">
      <c r="A357" s="74" t="s">
        <v>2085</v>
      </c>
      <c r="B357" s="74" t="s">
        <v>83</v>
      </c>
      <c r="C357" s="74">
        <v>0</v>
      </c>
      <c r="D357" s="33" t="s">
        <v>2026</v>
      </c>
      <c r="E357" s="33">
        <v>5</v>
      </c>
      <c r="F357" s="33"/>
      <c r="G357" s="33"/>
      <c r="H357" s="57"/>
      <c r="I357" s="56">
        <f t="shared" si="10"/>
        <v>0</v>
      </c>
      <c r="J357" s="57">
        <f t="shared" si="11"/>
        <v>0</v>
      </c>
      <c r="K357" s="70" t="s">
        <v>84</v>
      </c>
    </row>
    <row r="358" spans="1:11" ht="25.5" hidden="1" customHeight="1">
      <c r="A358" s="74" t="s">
        <v>2089</v>
      </c>
      <c r="B358" s="74" t="s">
        <v>558</v>
      </c>
      <c r="C358" s="74">
        <v>0</v>
      </c>
      <c r="D358" s="33" t="s">
        <v>2026</v>
      </c>
      <c r="E358" s="33">
        <v>5</v>
      </c>
      <c r="F358" s="33"/>
      <c r="G358" s="33"/>
      <c r="H358" s="56"/>
      <c r="I358" s="56">
        <f t="shared" si="10"/>
        <v>0</v>
      </c>
      <c r="J358" s="56">
        <f t="shared" si="11"/>
        <v>0</v>
      </c>
      <c r="K358" s="70" t="s">
        <v>84</v>
      </c>
    </row>
    <row r="359" spans="1:11" ht="25.5" hidden="1" customHeight="1">
      <c r="A359" s="33" t="s">
        <v>2091</v>
      </c>
      <c r="B359" s="33" t="s">
        <v>678</v>
      </c>
      <c r="C359" s="2">
        <v>0</v>
      </c>
      <c r="D359" s="33" t="s">
        <v>2026</v>
      </c>
      <c r="E359" s="33">
        <v>4</v>
      </c>
      <c r="F359" s="33"/>
      <c r="G359" s="33"/>
      <c r="H359" s="56"/>
      <c r="I359" s="56">
        <f t="shared" si="10"/>
        <v>0</v>
      </c>
      <c r="J359" s="56">
        <f t="shared" si="11"/>
        <v>0</v>
      </c>
      <c r="K359" s="70" t="s">
        <v>84</v>
      </c>
    </row>
    <row r="360" spans="1:11" ht="25.5" hidden="1" customHeight="1">
      <c r="A360" s="74" t="s">
        <v>208</v>
      </c>
      <c r="B360" s="74" t="s">
        <v>94</v>
      </c>
      <c r="C360" s="2">
        <v>0</v>
      </c>
      <c r="D360" s="33" t="s">
        <v>2026</v>
      </c>
      <c r="E360" s="33">
        <v>5</v>
      </c>
      <c r="F360" s="33"/>
      <c r="G360" s="33"/>
      <c r="H360" s="56"/>
      <c r="I360" s="56">
        <f t="shared" si="10"/>
        <v>0</v>
      </c>
      <c r="J360" s="56">
        <f t="shared" si="11"/>
        <v>0</v>
      </c>
      <c r="K360" s="70" t="s">
        <v>84</v>
      </c>
    </row>
    <row r="361" spans="1:11" ht="25.5" hidden="1" customHeight="1">
      <c r="A361" s="252" t="s">
        <v>2099</v>
      </c>
      <c r="B361" s="74" t="s">
        <v>41</v>
      </c>
      <c r="C361" s="74">
        <v>0</v>
      </c>
      <c r="D361" s="33" t="s">
        <v>2094</v>
      </c>
      <c r="E361" s="33">
        <v>5</v>
      </c>
      <c r="F361" s="33"/>
      <c r="G361" s="33"/>
      <c r="H361" s="56"/>
      <c r="I361" s="56">
        <f t="shared" si="10"/>
        <v>0</v>
      </c>
      <c r="J361" s="56">
        <f t="shared" si="11"/>
        <v>0</v>
      </c>
      <c r="K361" s="70" t="s">
        <v>84</v>
      </c>
    </row>
    <row r="362" spans="1:11" ht="25.5" hidden="1" customHeight="1">
      <c r="A362" s="74">
        <v>2612505</v>
      </c>
      <c r="B362" s="74" t="s">
        <v>2103</v>
      </c>
      <c r="C362" s="74">
        <v>0</v>
      </c>
      <c r="D362" s="33" t="s">
        <v>2094</v>
      </c>
      <c r="E362" s="33">
        <v>5</v>
      </c>
      <c r="F362" s="33"/>
      <c r="G362" s="33"/>
      <c r="H362" s="56">
        <v>70</v>
      </c>
      <c r="I362" s="56">
        <f t="shared" si="10"/>
        <v>80.5</v>
      </c>
      <c r="J362" s="56">
        <f t="shared" si="11"/>
        <v>91</v>
      </c>
      <c r="K362" s="70" t="s">
        <v>84</v>
      </c>
    </row>
    <row r="363" spans="1:11" ht="25.5" hidden="1" customHeight="1">
      <c r="A363" s="74" t="s">
        <v>2104</v>
      </c>
      <c r="B363" s="74" t="s">
        <v>267</v>
      </c>
      <c r="C363" s="74">
        <v>0</v>
      </c>
      <c r="D363" s="33" t="s">
        <v>2094</v>
      </c>
      <c r="E363" s="33">
        <v>5</v>
      </c>
      <c r="F363" s="33"/>
      <c r="G363" s="33"/>
      <c r="H363" s="56"/>
      <c r="I363" s="56">
        <f t="shared" si="10"/>
        <v>0</v>
      </c>
      <c r="J363" s="56">
        <f t="shared" si="11"/>
        <v>0</v>
      </c>
      <c r="K363" s="70" t="s">
        <v>84</v>
      </c>
    </row>
    <row r="364" spans="1:11" ht="25.5" hidden="1" customHeight="1">
      <c r="A364" s="74" t="s">
        <v>456</v>
      </c>
      <c r="B364" s="74" t="s">
        <v>19</v>
      </c>
      <c r="C364" s="2">
        <v>0</v>
      </c>
      <c r="D364" s="33" t="s">
        <v>2094</v>
      </c>
      <c r="E364" s="33">
        <v>5</v>
      </c>
      <c r="F364" s="33"/>
      <c r="G364" s="33"/>
      <c r="H364" s="56"/>
      <c r="I364" s="56">
        <f t="shared" si="10"/>
        <v>0</v>
      </c>
      <c r="J364" s="56">
        <f t="shared" si="11"/>
        <v>0</v>
      </c>
      <c r="K364" s="70" t="s">
        <v>84</v>
      </c>
    </row>
    <row r="365" spans="1:11" ht="25.5" hidden="1" customHeight="1">
      <c r="A365" s="74" t="s">
        <v>2107</v>
      </c>
      <c r="B365" s="74" t="s">
        <v>50</v>
      </c>
      <c r="C365" s="2">
        <v>0</v>
      </c>
      <c r="D365" s="33" t="s">
        <v>2094</v>
      </c>
      <c r="E365" s="33">
        <v>5</v>
      </c>
      <c r="F365" s="33"/>
      <c r="G365" s="33"/>
      <c r="H365" s="56">
        <v>25</v>
      </c>
      <c r="I365" s="56">
        <f t="shared" si="10"/>
        <v>28.749999999999996</v>
      </c>
      <c r="J365" s="56">
        <f t="shared" si="11"/>
        <v>32.5</v>
      </c>
      <c r="K365" s="70" t="s">
        <v>84</v>
      </c>
    </row>
    <row r="366" spans="1:11" ht="25.5" hidden="1" customHeight="1">
      <c r="A366" s="74" t="s">
        <v>2108</v>
      </c>
      <c r="B366" s="74" t="s">
        <v>10</v>
      </c>
      <c r="C366" s="2">
        <v>0</v>
      </c>
      <c r="D366" s="33" t="s">
        <v>2094</v>
      </c>
      <c r="E366" s="33">
        <v>5</v>
      </c>
      <c r="F366" s="33"/>
      <c r="G366" s="33"/>
      <c r="H366" s="56"/>
      <c r="I366" s="56">
        <f t="shared" si="10"/>
        <v>0</v>
      </c>
      <c r="J366" s="56">
        <f t="shared" si="11"/>
        <v>0</v>
      </c>
      <c r="K366" s="70" t="s">
        <v>84</v>
      </c>
    </row>
    <row r="367" spans="1:11" ht="25.5" hidden="1" customHeight="1">
      <c r="A367" s="33" t="s">
        <v>2107</v>
      </c>
      <c r="B367" s="33" t="s">
        <v>10</v>
      </c>
      <c r="C367" s="2">
        <v>0</v>
      </c>
      <c r="D367" s="33" t="s">
        <v>2094</v>
      </c>
      <c r="E367" s="33">
        <v>5</v>
      </c>
      <c r="F367" s="33"/>
      <c r="G367" s="33"/>
      <c r="H367" s="56">
        <v>25</v>
      </c>
      <c r="I367" s="56">
        <f t="shared" si="10"/>
        <v>28.749999999999996</v>
      </c>
      <c r="J367" s="56">
        <f t="shared" si="11"/>
        <v>32.5</v>
      </c>
      <c r="K367" s="70" t="s">
        <v>84</v>
      </c>
    </row>
    <row r="368" spans="1:11" ht="25.5" hidden="1" customHeight="1">
      <c r="A368" s="33" t="s">
        <v>2121</v>
      </c>
      <c r="B368" s="33" t="s">
        <v>10</v>
      </c>
      <c r="C368" s="33">
        <v>0</v>
      </c>
      <c r="D368" s="33" t="s">
        <v>2111</v>
      </c>
      <c r="E368" s="33">
        <v>1</v>
      </c>
      <c r="F368" s="33"/>
      <c r="G368" s="33"/>
      <c r="H368" s="56">
        <v>2</v>
      </c>
      <c r="I368" s="56">
        <f t="shared" si="10"/>
        <v>2.2999999999999998</v>
      </c>
      <c r="J368" s="56">
        <f t="shared" si="11"/>
        <v>2.6</v>
      </c>
      <c r="K368" s="70" t="s">
        <v>84</v>
      </c>
    </row>
    <row r="369" spans="1:11" ht="25.5" hidden="1" customHeight="1">
      <c r="A369" s="74" t="s">
        <v>575</v>
      </c>
      <c r="B369" s="74" t="s">
        <v>267</v>
      </c>
      <c r="C369" s="74">
        <v>0</v>
      </c>
      <c r="D369" s="33" t="s">
        <v>2111</v>
      </c>
      <c r="E369" s="33">
        <v>2</v>
      </c>
      <c r="F369" s="33"/>
      <c r="G369" s="33"/>
      <c r="H369" s="56">
        <v>1</v>
      </c>
      <c r="I369" s="56">
        <f t="shared" si="10"/>
        <v>1.1499999999999999</v>
      </c>
      <c r="J369" s="56">
        <f t="shared" si="11"/>
        <v>1.3</v>
      </c>
      <c r="K369" s="70" t="s">
        <v>84</v>
      </c>
    </row>
    <row r="370" spans="1:11" ht="25.5" hidden="1" customHeight="1">
      <c r="A370" s="74" t="s">
        <v>2157</v>
      </c>
      <c r="B370" s="74" t="s">
        <v>2158</v>
      </c>
      <c r="C370" s="74">
        <v>0</v>
      </c>
      <c r="D370" s="33" t="s">
        <v>2111</v>
      </c>
      <c r="E370" s="33">
        <v>2</v>
      </c>
      <c r="F370" s="33"/>
      <c r="G370" s="33"/>
      <c r="H370" s="56">
        <v>4</v>
      </c>
      <c r="I370" s="56">
        <f t="shared" si="10"/>
        <v>4.5999999999999996</v>
      </c>
      <c r="J370" s="56">
        <f t="shared" si="11"/>
        <v>5.2</v>
      </c>
      <c r="K370" s="70" t="s">
        <v>84</v>
      </c>
    </row>
    <row r="371" spans="1:11" ht="25.5" hidden="1" customHeight="1">
      <c r="A371" s="33" t="s">
        <v>2182</v>
      </c>
      <c r="B371" s="33" t="s">
        <v>10</v>
      </c>
      <c r="C371" s="2">
        <v>0</v>
      </c>
      <c r="D371" s="33" t="s">
        <v>2111</v>
      </c>
      <c r="E371" s="33">
        <v>1</v>
      </c>
      <c r="F371" s="33"/>
      <c r="G371" s="33"/>
      <c r="H371" s="56">
        <v>1</v>
      </c>
      <c r="I371" s="56">
        <f t="shared" si="10"/>
        <v>1.1499999999999999</v>
      </c>
      <c r="J371" s="56">
        <f t="shared" si="11"/>
        <v>1.3</v>
      </c>
      <c r="K371" s="70" t="s">
        <v>84</v>
      </c>
    </row>
    <row r="372" spans="1:11" ht="25.5" hidden="1" customHeight="1">
      <c r="A372" s="74" t="s">
        <v>2183</v>
      </c>
      <c r="B372" s="74" t="s">
        <v>27</v>
      </c>
      <c r="C372" s="2">
        <v>0</v>
      </c>
      <c r="D372" s="33" t="s">
        <v>2111</v>
      </c>
      <c r="E372" s="33">
        <v>2</v>
      </c>
      <c r="F372" s="33"/>
      <c r="G372" s="33"/>
      <c r="H372" s="56"/>
      <c r="I372" s="56">
        <f t="shared" si="10"/>
        <v>0</v>
      </c>
      <c r="J372" s="56">
        <f t="shared" si="11"/>
        <v>0</v>
      </c>
      <c r="K372" s="70" t="s">
        <v>84</v>
      </c>
    </row>
    <row r="373" spans="1:11" ht="25.5" hidden="1" customHeight="1">
      <c r="A373" s="74" t="s">
        <v>2184</v>
      </c>
      <c r="B373" s="74" t="s">
        <v>418</v>
      </c>
      <c r="C373" s="2">
        <v>0</v>
      </c>
      <c r="D373" s="33" t="s">
        <v>2111</v>
      </c>
      <c r="E373" s="33">
        <v>2</v>
      </c>
      <c r="F373" s="33"/>
      <c r="G373" s="33"/>
      <c r="H373" s="56"/>
      <c r="I373" s="56">
        <f t="shared" si="10"/>
        <v>0</v>
      </c>
      <c r="J373" s="56">
        <f t="shared" si="11"/>
        <v>0</v>
      </c>
      <c r="K373" s="70" t="s">
        <v>84</v>
      </c>
    </row>
    <row r="374" spans="1:11" ht="25.5" hidden="1" customHeight="1">
      <c r="A374" s="33" t="s">
        <v>2185</v>
      </c>
      <c r="B374" s="33" t="s">
        <v>2156</v>
      </c>
      <c r="C374" s="2">
        <v>0</v>
      </c>
      <c r="D374" s="33" t="s">
        <v>2111</v>
      </c>
      <c r="E374" s="33">
        <v>2</v>
      </c>
      <c r="F374" s="33"/>
      <c r="G374" s="33"/>
      <c r="H374" s="56"/>
      <c r="I374" s="56">
        <f t="shared" si="10"/>
        <v>0</v>
      </c>
      <c r="J374" s="56">
        <f t="shared" si="11"/>
        <v>0</v>
      </c>
      <c r="K374" s="70" t="s">
        <v>84</v>
      </c>
    </row>
    <row r="375" spans="1:11" ht="25.5" hidden="1" customHeight="1">
      <c r="A375" s="33" t="s">
        <v>258</v>
      </c>
      <c r="B375" s="33" t="s">
        <v>147</v>
      </c>
      <c r="C375" s="33">
        <v>0</v>
      </c>
      <c r="D375" s="33" t="s">
        <v>2191</v>
      </c>
      <c r="E375" s="33">
        <v>4</v>
      </c>
      <c r="F375" s="33"/>
      <c r="G375" s="33"/>
      <c r="H375" s="56">
        <v>100</v>
      </c>
      <c r="I375" s="56">
        <f t="shared" si="10"/>
        <v>114.99999999999999</v>
      </c>
      <c r="J375" s="56">
        <f t="shared" si="11"/>
        <v>130</v>
      </c>
      <c r="K375" s="70" t="s">
        <v>84</v>
      </c>
    </row>
    <row r="376" spans="1:11" ht="25.5" hidden="1" customHeight="1">
      <c r="A376" s="33">
        <v>5007391</v>
      </c>
      <c r="B376" s="33" t="s">
        <v>83</v>
      </c>
      <c r="C376" s="33">
        <v>0</v>
      </c>
      <c r="D376" s="33" t="s">
        <v>2191</v>
      </c>
      <c r="E376" s="33">
        <v>4</v>
      </c>
      <c r="F376" s="33"/>
      <c r="G376" s="33"/>
      <c r="H376" s="56">
        <v>550</v>
      </c>
      <c r="I376" s="56">
        <f t="shared" si="10"/>
        <v>632.5</v>
      </c>
      <c r="J376" s="56">
        <f t="shared" si="11"/>
        <v>715</v>
      </c>
      <c r="K376" s="70" t="s">
        <v>84</v>
      </c>
    </row>
    <row r="377" spans="1:11" ht="25.5" hidden="1" customHeight="1">
      <c r="A377" s="33">
        <v>5007390</v>
      </c>
      <c r="B377" s="33" t="s">
        <v>83</v>
      </c>
      <c r="C377" s="33">
        <v>0</v>
      </c>
      <c r="D377" s="33" t="s">
        <v>2191</v>
      </c>
      <c r="E377" s="33">
        <v>4</v>
      </c>
      <c r="F377" s="33"/>
      <c r="G377" s="33"/>
      <c r="H377" s="57">
        <v>250</v>
      </c>
      <c r="I377" s="56">
        <f t="shared" si="10"/>
        <v>287.5</v>
      </c>
      <c r="J377" s="57">
        <f t="shared" si="11"/>
        <v>325</v>
      </c>
      <c r="K377" s="70" t="s">
        <v>84</v>
      </c>
    </row>
    <row r="378" spans="1:11" ht="25.5" hidden="1" customHeight="1">
      <c r="A378" s="79" t="s">
        <v>426</v>
      </c>
      <c r="B378" s="79" t="s">
        <v>10</v>
      </c>
      <c r="C378" s="2">
        <v>0</v>
      </c>
      <c r="D378" s="79" t="s">
        <v>2191</v>
      </c>
      <c r="E378" s="79">
        <v>5</v>
      </c>
      <c r="F378" s="79"/>
      <c r="G378" s="79"/>
      <c r="H378" s="60">
        <v>4</v>
      </c>
      <c r="I378" s="60">
        <f t="shared" si="10"/>
        <v>4.5999999999999996</v>
      </c>
      <c r="J378" s="60">
        <f t="shared" si="11"/>
        <v>5.2</v>
      </c>
      <c r="K378" s="70" t="s">
        <v>84</v>
      </c>
    </row>
    <row r="379" spans="1:11" ht="25.5" hidden="1" customHeight="1">
      <c r="A379" s="74" t="s">
        <v>249</v>
      </c>
      <c r="B379" s="74" t="s">
        <v>41</v>
      </c>
      <c r="C379" s="74">
        <v>0</v>
      </c>
      <c r="D379" s="33" t="s">
        <v>2191</v>
      </c>
      <c r="E379" s="33">
        <v>5</v>
      </c>
      <c r="F379" s="33"/>
      <c r="G379" s="33"/>
      <c r="H379" s="56"/>
      <c r="I379" s="56">
        <f t="shared" si="10"/>
        <v>0</v>
      </c>
      <c r="J379" s="56">
        <f t="shared" si="11"/>
        <v>0</v>
      </c>
      <c r="K379" s="70" t="s">
        <v>84</v>
      </c>
    </row>
    <row r="380" spans="1:11" ht="25.5" hidden="1" customHeight="1">
      <c r="A380" s="33" t="s">
        <v>2242</v>
      </c>
      <c r="B380" s="33" t="s">
        <v>10</v>
      </c>
      <c r="C380" s="2">
        <v>0</v>
      </c>
      <c r="D380" s="33" t="s">
        <v>2191</v>
      </c>
      <c r="E380" s="33">
        <v>3</v>
      </c>
      <c r="F380" s="33"/>
      <c r="G380" s="33"/>
      <c r="H380" s="56"/>
      <c r="I380" s="56">
        <f t="shared" si="10"/>
        <v>0</v>
      </c>
      <c r="J380" s="56">
        <f t="shared" si="11"/>
        <v>0</v>
      </c>
      <c r="K380" s="70" t="s">
        <v>84</v>
      </c>
    </row>
    <row r="381" spans="1:11" ht="25.5" hidden="1" customHeight="1">
      <c r="A381" s="74" t="s">
        <v>2244</v>
      </c>
      <c r="B381" s="74" t="s">
        <v>83</v>
      </c>
      <c r="C381" s="2">
        <v>0</v>
      </c>
      <c r="D381" s="33" t="s">
        <v>2191</v>
      </c>
      <c r="E381" s="33">
        <v>5</v>
      </c>
      <c r="F381" s="33"/>
      <c r="G381" s="33"/>
      <c r="H381" s="57">
        <v>300</v>
      </c>
      <c r="I381" s="56">
        <f t="shared" si="10"/>
        <v>345</v>
      </c>
      <c r="J381" s="57">
        <f t="shared" si="11"/>
        <v>390</v>
      </c>
      <c r="K381" s="70" t="s">
        <v>84</v>
      </c>
    </row>
    <row r="382" spans="1:11" ht="25.5" hidden="1" customHeight="1">
      <c r="A382" s="74" t="s">
        <v>2255</v>
      </c>
      <c r="B382" s="74" t="s">
        <v>2256</v>
      </c>
      <c r="C382" s="74">
        <v>0</v>
      </c>
      <c r="D382" s="33" t="s">
        <v>2191</v>
      </c>
      <c r="E382" s="33">
        <v>5</v>
      </c>
      <c r="F382" s="33"/>
      <c r="G382" s="33"/>
      <c r="H382" s="56">
        <v>7</v>
      </c>
      <c r="I382" s="56">
        <f t="shared" si="10"/>
        <v>8.0499999999999989</v>
      </c>
      <c r="J382" s="56">
        <f t="shared" si="11"/>
        <v>9.1</v>
      </c>
      <c r="K382" s="70" t="s">
        <v>84</v>
      </c>
    </row>
    <row r="383" spans="1:11" ht="25.5" hidden="1" customHeight="1">
      <c r="A383" s="74" t="s">
        <v>2266</v>
      </c>
      <c r="B383" s="74" t="s">
        <v>2267</v>
      </c>
      <c r="C383" s="74">
        <v>0</v>
      </c>
      <c r="D383" s="33" t="s">
        <v>2191</v>
      </c>
      <c r="E383" s="33">
        <v>5</v>
      </c>
      <c r="F383" s="33"/>
      <c r="G383" s="33"/>
      <c r="H383" s="56" t="s">
        <v>2268</v>
      </c>
      <c r="I383" s="56" t="e">
        <f t="shared" si="10"/>
        <v>#VALUE!</v>
      </c>
      <c r="J383" s="56" t="e">
        <f t="shared" si="11"/>
        <v>#VALUE!</v>
      </c>
      <c r="K383" s="70" t="s">
        <v>84</v>
      </c>
    </row>
    <row r="384" spans="1:11" ht="25.5" hidden="1" customHeight="1">
      <c r="A384" s="33">
        <v>5004462</v>
      </c>
      <c r="B384" s="33" t="s">
        <v>2269</v>
      </c>
      <c r="C384" s="2">
        <v>0</v>
      </c>
      <c r="D384" s="33" t="s">
        <v>2191</v>
      </c>
      <c r="E384" s="33">
        <v>4</v>
      </c>
      <c r="F384" s="33"/>
      <c r="G384" s="33"/>
      <c r="H384" s="56">
        <v>250</v>
      </c>
      <c r="I384" s="56">
        <f t="shared" si="10"/>
        <v>287.5</v>
      </c>
      <c r="J384" s="56">
        <f t="shared" si="11"/>
        <v>325</v>
      </c>
      <c r="K384" s="70" t="s">
        <v>84</v>
      </c>
    </row>
    <row r="385" spans="1:11" ht="25.5" hidden="1" customHeight="1">
      <c r="A385" s="74" t="s">
        <v>2270</v>
      </c>
      <c r="B385" s="74" t="s">
        <v>1092</v>
      </c>
      <c r="C385" s="2">
        <v>0</v>
      </c>
      <c r="D385" s="33" t="s">
        <v>2191</v>
      </c>
      <c r="E385" s="33">
        <v>5</v>
      </c>
      <c r="F385" s="33"/>
      <c r="G385" s="33"/>
      <c r="H385" s="57"/>
      <c r="I385" s="56">
        <f t="shared" si="10"/>
        <v>0</v>
      </c>
      <c r="J385" s="57">
        <f t="shared" si="11"/>
        <v>0</v>
      </c>
      <c r="K385" s="70" t="s">
        <v>84</v>
      </c>
    </row>
    <row r="386" spans="1:11" ht="25.5" hidden="1" customHeight="1">
      <c r="A386" s="33">
        <v>2610705</v>
      </c>
      <c r="B386" s="74" t="s">
        <v>56</v>
      </c>
      <c r="C386" s="2">
        <v>0</v>
      </c>
      <c r="D386" s="33" t="s">
        <v>2191</v>
      </c>
      <c r="E386" s="33">
        <v>5</v>
      </c>
      <c r="F386" s="33"/>
      <c r="G386" s="33"/>
      <c r="H386" s="56">
        <v>300</v>
      </c>
      <c r="I386" s="56">
        <f t="shared" ref="I386:I449" si="12">H386 * 1.15</f>
        <v>345</v>
      </c>
      <c r="J386" s="56">
        <f t="shared" ref="J386:J449" si="13">H386 * 1.3</f>
        <v>390</v>
      </c>
      <c r="K386" s="70" t="s">
        <v>84</v>
      </c>
    </row>
    <row r="387" spans="1:11" ht="25.5" hidden="1" customHeight="1">
      <c r="A387" s="74" t="s">
        <v>2271</v>
      </c>
      <c r="B387" s="74" t="s">
        <v>27</v>
      </c>
      <c r="C387" s="2">
        <v>0</v>
      </c>
      <c r="D387" s="33" t="s">
        <v>2191</v>
      </c>
      <c r="E387" s="33">
        <v>5</v>
      </c>
      <c r="F387" s="33"/>
      <c r="G387" s="33"/>
      <c r="H387" s="56"/>
      <c r="I387" s="56">
        <f t="shared" si="12"/>
        <v>0</v>
      </c>
      <c r="J387" s="56">
        <f t="shared" si="13"/>
        <v>0</v>
      </c>
      <c r="K387" s="70" t="s">
        <v>84</v>
      </c>
    </row>
    <row r="388" spans="1:11" ht="25.5" hidden="1" customHeight="1">
      <c r="A388" s="74" t="s">
        <v>2272</v>
      </c>
      <c r="B388" s="74" t="s">
        <v>607</v>
      </c>
      <c r="C388" s="2">
        <v>0</v>
      </c>
      <c r="D388" s="33" t="s">
        <v>2191</v>
      </c>
      <c r="E388" s="33">
        <v>5</v>
      </c>
      <c r="F388" s="33"/>
      <c r="G388" s="33"/>
      <c r="H388" s="56"/>
      <c r="I388" s="56">
        <f t="shared" si="12"/>
        <v>0</v>
      </c>
      <c r="J388" s="56">
        <f t="shared" si="13"/>
        <v>0</v>
      </c>
      <c r="K388" s="70" t="s">
        <v>84</v>
      </c>
    </row>
    <row r="389" spans="1:11" ht="25.5" hidden="1" customHeight="1">
      <c r="A389" s="74" t="s">
        <v>650</v>
      </c>
      <c r="B389" s="74" t="s">
        <v>19</v>
      </c>
      <c r="C389" s="2">
        <v>0</v>
      </c>
      <c r="D389" s="33" t="s">
        <v>2191</v>
      </c>
      <c r="E389" s="33">
        <v>5</v>
      </c>
      <c r="F389" s="33"/>
      <c r="G389" s="33"/>
      <c r="H389" s="56">
        <v>15</v>
      </c>
      <c r="I389" s="56">
        <f t="shared" si="12"/>
        <v>17.25</v>
      </c>
      <c r="J389" s="56">
        <f t="shared" si="13"/>
        <v>19.5</v>
      </c>
      <c r="K389" s="70" t="s">
        <v>84</v>
      </c>
    </row>
    <row r="390" spans="1:11" ht="25.5" hidden="1" customHeight="1">
      <c r="A390" s="74" t="s">
        <v>589</v>
      </c>
      <c r="B390" s="74" t="s">
        <v>27</v>
      </c>
      <c r="C390" s="2">
        <v>0</v>
      </c>
      <c r="D390" s="33" t="s">
        <v>2191</v>
      </c>
      <c r="E390" s="33">
        <v>5</v>
      </c>
      <c r="F390" s="33"/>
      <c r="G390" s="33"/>
      <c r="H390" s="57">
        <v>5</v>
      </c>
      <c r="I390" s="56">
        <f t="shared" si="12"/>
        <v>5.75</v>
      </c>
      <c r="J390" s="57">
        <f t="shared" si="13"/>
        <v>6.5</v>
      </c>
      <c r="K390" s="70" t="s">
        <v>84</v>
      </c>
    </row>
    <row r="391" spans="1:11" ht="25.5" hidden="1" customHeight="1">
      <c r="A391" s="74" t="s">
        <v>650</v>
      </c>
      <c r="B391" s="74" t="s">
        <v>19</v>
      </c>
      <c r="C391" s="2">
        <v>0</v>
      </c>
      <c r="D391" s="33" t="s">
        <v>2191</v>
      </c>
      <c r="E391" s="33">
        <v>5</v>
      </c>
      <c r="F391" s="33"/>
      <c r="G391" s="33"/>
      <c r="H391" s="56">
        <v>15</v>
      </c>
      <c r="I391" s="56">
        <f t="shared" si="12"/>
        <v>17.25</v>
      </c>
      <c r="J391" s="56">
        <f t="shared" si="13"/>
        <v>19.5</v>
      </c>
      <c r="K391" s="70" t="s">
        <v>84</v>
      </c>
    </row>
    <row r="392" spans="1:11" ht="25.5" hidden="1" customHeight="1">
      <c r="A392" s="74" t="s">
        <v>650</v>
      </c>
      <c r="B392" s="74" t="s">
        <v>19</v>
      </c>
      <c r="C392" s="2">
        <v>0</v>
      </c>
      <c r="D392" s="33" t="s">
        <v>2191</v>
      </c>
      <c r="E392" s="33">
        <v>5</v>
      </c>
      <c r="F392" s="33"/>
      <c r="G392" s="33"/>
      <c r="H392" s="56">
        <v>15</v>
      </c>
      <c r="I392" s="56">
        <f t="shared" si="12"/>
        <v>17.25</v>
      </c>
      <c r="J392" s="56">
        <f t="shared" si="13"/>
        <v>19.5</v>
      </c>
      <c r="K392" s="70" t="s">
        <v>84</v>
      </c>
    </row>
    <row r="393" spans="1:11" ht="25.5" hidden="1" customHeight="1">
      <c r="A393" s="277" t="s">
        <v>2349</v>
      </c>
      <c r="B393" s="277" t="s">
        <v>41</v>
      </c>
      <c r="C393" s="277">
        <v>0</v>
      </c>
      <c r="D393" s="277" t="s">
        <v>2276</v>
      </c>
      <c r="E393" s="277">
        <v>1</v>
      </c>
      <c r="F393" s="277"/>
      <c r="G393" s="277"/>
      <c r="H393" s="278">
        <v>3</v>
      </c>
      <c r="I393" s="278">
        <f t="shared" si="12"/>
        <v>3.4499999999999997</v>
      </c>
      <c r="J393" s="278">
        <f t="shared" si="13"/>
        <v>3.9000000000000004</v>
      </c>
      <c r="K393" s="70" t="s">
        <v>84</v>
      </c>
    </row>
    <row r="394" spans="1:11" ht="25.5" hidden="1" customHeight="1">
      <c r="A394" s="33" t="s">
        <v>2020</v>
      </c>
      <c r="B394" s="33" t="s">
        <v>10</v>
      </c>
      <c r="C394" s="2">
        <v>0</v>
      </c>
      <c r="D394" s="33" t="s">
        <v>2276</v>
      </c>
      <c r="E394" s="33">
        <v>2</v>
      </c>
      <c r="F394" s="33"/>
      <c r="G394" s="33"/>
      <c r="H394" s="56">
        <v>50</v>
      </c>
      <c r="I394" s="56">
        <f t="shared" si="12"/>
        <v>57.499999999999993</v>
      </c>
      <c r="J394" s="56">
        <f t="shared" si="13"/>
        <v>65</v>
      </c>
      <c r="K394" s="70" t="s">
        <v>84</v>
      </c>
    </row>
    <row r="395" spans="1:11" ht="25.5" hidden="1" customHeight="1">
      <c r="A395" s="33" t="s">
        <v>1752</v>
      </c>
      <c r="B395" s="33" t="s">
        <v>10</v>
      </c>
      <c r="C395" s="2">
        <v>0</v>
      </c>
      <c r="D395" s="33" t="s">
        <v>2276</v>
      </c>
      <c r="E395" s="33">
        <v>2</v>
      </c>
      <c r="F395" s="33"/>
      <c r="G395" s="33"/>
      <c r="H395" s="56"/>
      <c r="I395" s="56">
        <f t="shared" si="12"/>
        <v>0</v>
      </c>
      <c r="J395" s="56">
        <f t="shared" si="13"/>
        <v>0</v>
      </c>
      <c r="K395" s="70" t="s">
        <v>84</v>
      </c>
    </row>
    <row r="396" spans="1:11" ht="25.5" hidden="1" customHeight="1">
      <c r="A396" s="33" t="s">
        <v>2121</v>
      </c>
      <c r="B396" s="33" t="s">
        <v>10</v>
      </c>
      <c r="C396" s="33">
        <v>0</v>
      </c>
      <c r="D396" s="33" t="s">
        <v>2363</v>
      </c>
      <c r="E396" s="33">
        <v>4</v>
      </c>
      <c r="F396" s="33"/>
      <c r="G396" s="33"/>
      <c r="H396" s="56">
        <v>2</v>
      </c>
      <c r="I396" s="56">
        <f t="shared" si="12"/>
        <v>2.2999999999999998</v>
      </c>
      <c r="J396" s="56">
        <f t="shared" si="13"/>
        <v>2.6</v>
      </c>
      <c r="K396" s="70" t="s">
        <v>84</v>
      </c>
    </row>
    <row r="397" spans="1:11" ht="25.5" hidden="1" customHeight="1">
      <c r="A397" s="33" t="s">
        <v>1752</v>
      </c>
      <c r="B397" s="33" t="s">
        <v>10</v>
      </c>
      <c r="C397" s="11">
        <v>0</v>
      </c>
      <c r="D397" s="33" t="s">
        <v>2363</v>
      </c>
      <c r="E397" s="33">
        <v>4</v>
      </c>
      <c r="F397" s="33"/>
      <c r="G397" s="33"/>
      <c r="H397" s="56"/>
      <c r="I397" s="56">
        <f t="shared" si="12"/>
        <v>0</v>
      </c>
      <c r="J397" s="56">
        <f t="shared" si="13"/>
        <v>0</v>
      </c>
      <c r="K397" s="70" t="s">
        <v>84</v>
      </c>
    </row>
    <row r="398" spans="1:11" ht="25.5" hidden="1" customHeight="1">
      <c r="A398" s="33" t="s">
        <v>2403</v>
      </c>
      <c r="B398" s="33" t="s">
        <v>81</v>
      </c>
      <c r="C398" s="33">
        <v>0</v>
      </c>
      <c r="D398" s="33" t="s">
        <v>2363</v>
      </c>
      <c r="E398" s="33">
        <v>4</v>
      </c>
      <c r="F398" s="33"/>
      <c r="G398" s="33"/>
      <c r="H398" s="56"/>
      <c r="I398" s="56">
        <f t="shared" si="12"/>
        <v>0</v>
      </c>
      <c r="J398" s="56">
        <f t="shared" si="13"/>
        <v>0</v>
      </c>
      <c r="K398" s="70" t="s">
        <v>84</v>
      </c>
    </row>
    <row r="399" spans="1:11" ht="25.5" hidden="1" customHeight="1">
      <c r="A399" s="33" t="s">
        <v>2404</v>
      </c>
      <c r="B399" s="33" t="s">
        <v>2103</v>
      </c>
      <c r="C399" s="33">
        <v>0</v>
      </c>
      <c r="D399" s="33" t="s">
        <v>2363</v>
      </c>
      <c r="E399" s="33">
        <v>4</v>
      </c>
      <c r="F399" s="33"/>
      <c r="G399" s="33"/>
      <c r="H399" s="56"/>
      <c r="I399" s="56">
        <f t="shared" si="12"/>
        <v>0</v>
      </c>
      <c r="J399" s="56">
        <f t="shared" si="13"/>
        <v>0</v>
      </c>
      <c r="K399" s="70" t="s">
        <v>84</v>
      </c>
    </row>
    <row r="400" spans="1:11" ht="25.5" hidden="1" customHeight="1">
      <c r="A400" s="74" t="s">
        <v>2425</v>
      </c>
      <c r="B400" s="74" t="s">
        <v>21</v>
      </c>
      <c r="C400" s="74">
        <v>0</v>
      </c>
      <c r="D400" s="33" t="s">
        <v>2363</v>
      </c>
      <c r="E400" s="33">
        <v>5</v>
      </c>
      <c r="F400" s="33"/>
      <c r="G400" s="33"/>
      <c r="H400" s="56">
        <v>1</v>
      </c>
      <c r="I400" s="56">
        <f t="shared" si="12"/>
        <v>1.1499999999999999</v>
      </c>
      <c r="J400" s="56">
        <f t="shared" si="13"/>
        <v>1.3</v>
      </c>
      <c r="K400" s="70" t="s">
        <v>84</v>
      </c>
    </row>
    <row r="401" spans="1:11" ht="25.5" hidden="1" customHeight="1">
      <c r="A401" s="79" t="s">
        <v>426</v>
      </c>
      <c r="B401" s="79" t="s">
        <v>10</v>
      </c>
      <c r="C401" s="2">
        <v>0</v>
      </c>
      <c r="D401" s="79" t="s">
        <v>2363</v>
      </c>
      <c r="E401" s="79">
        <v>5</v>
      </c>
      <c r="F401" s="79"/>
      <c r="G401" s="79"/>
      <c r="H401" s="60">
        <v>4</v>
      </c>
      <c r="I401" s="60">
        <f t="shared" si="12"/>
        <v>4.5999999999999996</v>
      </c>
      <c r="J401" s="60">
        <f t="shared" si="13"/>
        <v>5.2</v>
      </c>
      <c r="K401" s="70" t="s">
        <v>84</v>
      </c>
    </row>
    <row r="402" spans="1:11" ht="25.5" hidden="1" customHeight="1">
      <c r="A402" s="74" t="s">
        <v>2431</v>
      </c>
      <c r="B402" s="74" t="s">
        <v>21</v>
      </c>
      <c r="C402" s="74">
        <v>0</v>
      </c>
      <c r="D402" s="33" t="s">
        <v>2363</v>
      </c>
      <c r="E402" s="33">
        <v>5</v>
      </c>
      <c r="F402" s="33"/>
      <c r="G402" s="33"/>
      <c r="H402" s="56">
        <v>4</v>
      </c>
      <c r="I402" s="56">
        <f t="shared" si="12"/>
        <v>4.5999999999999996</v>
      </c>
      <c r="J402" s="56">
        <f t="shared" si="13"/>
        <v>5.2</v>
      </c>
      <c r="K402" s="70" t="s">
        <v>84</v>
      </c>
    </row>
    <row r="403" spans="1:11" ht="25.5" hidden="1" customHeight="1">
      <c r="A403" s="33" t="s">
        <v>2432</v>
      </c>
      <c r="B403" s="33" t="s">
        <v>265</v>
      </c>
      <c r="C403" s="33">
        <v>0</v>
      </c>
      <c r="D403" s="33" t="s">
        <v>2363</v>
      </c>
      <c r="E403" s="33">
        <v>5</v>
      </c>
      <c r="F403" s="33"/>
      <c r="G403" s="33"/>
      <c r="H403" s="56">
        <v>5</v>
      </c>
      <c r="I403" s="56">
        <f t="shared" si="12"/>
        <v>5.75</v>
      </c>
      <c r="J403" s="56">
        <f t="shared" si="13"/>
        <v>6.5</v>
      </c>
      <c r="K403" s="70" t="s">
        <v>84</v>
      </c>
    </row>
    <row r="404" spans="1:11" ht="25.5" hidden="1" customHeight="1">
      <c r="A404" s="79" t="s">
        <v>426</v>
      </c>
      <c r="B404" s="79" t="s">
        <v>10</v>
      </c>
      <c r="C404" s="2">
        <v>0</v>
      </c>
      <c r="D404" s="79" t="s">
        <v>2363</v>
      </c>
      <c r="E404" s="79">
        <v>5</v>
      </c>
      <c r="F404" s="79"/>
      <c r="G404" s="79"/>
      <c r="H404" s="60">
        <v>4</v>
      </c>
      <c r="I404" s="60">
        <f t="shared" si="12"/>
        <v>4.5999999999999996</v>
      </c>
      <c r="J404" s="60">
        <f t="shared" si="13"/>
        <v>5.2</v>
      </c>
      <c r="K404" s="70" t="s">
        <v>84</v>
      </c>
    </row>
    <row r="405" spans="1:11" ht="25.5" hidden="1" customHeight="1">
      <c r="A405" s="74" t="s">
        <v>2441</v>
      </c>
      <c r="B405" s="74" t="s">
        <v>83</v>
      </c>
      <c r="C405" s="74">
        <v>0</v>
      </c>
      <c r="D405" s="33" t="s">
        <v>2363</v>
      </c>
      <c r="E405" s="33">
        <v>5</v>
      </c>
      <c r="F405" s="33"/>
      <c r="G405" s="33"/>
      <c r="H405" s="56"/>
      <c r="I405" s="56">
        <f t="shared" si="12"/>
        <v>0</v>
      </c>
      <c r="J405" s="56">
        <f t="shared" si="13"/>
        <v>0</v>
      </c>
      <c r="K405" s="70" t="s">
        <v>84</v>
      </c>
    </row>
    <row r="406" spans="1:11" ht="25.5" hidden="1" customHeight="1">
      <c r="A406" s="33" t="s">
        <v>2444</v>
      </c>
      <c r="B406" s="33" t="s">
        <v>10</v>
      </c>
      <c r="C406" s="2">
        <v>0</v>
      </c>
      <c r="D406" s="33" t="s">
        <v>2363</v>
      </c>
      <c r="E406" s="33">
        <v>4</v>
      </c>
      <c r="F406" s="33"/>
      <c r="G406" s="33"/>
      <c r="H406" s="57">
        <v>6</v>
      </c>
      <c r="I406" s="56">
        <f t="shared" si="12"/>
        <v>6.8999999999999995</v>
      </c>
      <c r="J406" s="57">
        <f t="shared" si="13"/>
        <v>7.8000000000000007</v>
      </c>
      <c r="K406" s="70" t="s">
        <v>84</v>
      </c>
    </row>
    <row r="407" spans="1:11" ht="25.5" customHeight="1">
      <c r="A407" s="11">
        <v>3034789</v>
      </c>
      <c r="B407" s="34" t="s">
        <v>692</v>
      </c>
      <c r="C407" s="11">
        <v>1</v>
      </c>
      <c r="D407" s="33" t="s">
        <v>3053</v>
      </c>
      <c r="E407" s="33">
        <v>3</v>
      </c>
      <c r="F407" s="33"/>
      <c r="G407" s="522"/>
      <c r="H407" s="707"/>
      <c r="I407" s="707">
        <f t="shared" si="12"/>
        <v>0</v>
      </c>
      <c r="J407" s="707">
        <f t="shared" si="13"/>
        <v>0</v>
      </c>
      <c r="K407" s="70"/>
    </row>
    <row r="408" spans="1:11" ht="25.5" customHeight="1">
      <c r="A408" s="74">
        <v>5000181</v>
      </c>
      <c r="B408" s="74" t="s">
        <v>147</v>
      </c>
      <c r="C408" s="74">
        <v>89</v>
      </c>
      <c r="D408" s="33" t="s">
        <v>2191</v>
      </c>
      <c r="E408" s="33">
        <v>5</v>
      </c>
      <c r="F408" s="33"/>
      <c r="G408" s="522"/>
      <c r="H408" s="707"/>
      <c r="I408" s="707">
        <f t="shared" si="12"/>
        <v>0</v>
      </c>
      <c r="J408" s="707">
        <f t="shared" si="13"/>
        <v>0</v>
      </c>
      <c r="K408" s="70"/>
    </row>
    <row r="409" spans="1:11" ht="25.5" hidden="1" customHeight="1">
      <c r="A409" s="33">
        <v>40721</v>
      </c>
      <c r="B409" s="33" t="s">
        <v>2256</v>
      </c>
      <c r="C409" s="2">
        <v>0</v>
      </c>
      <c r="D409" s="33" t="s">
        <v>2363</v>
      </c>
      <c r="E409" s="33">
        <v>5</v>
      </c>
      <c r="F409" s="33"/>
      <c r="G409" s="33"/>
      <c r="H409" s="56"/>
      <c r="I409" s="56">
        <f t="shared" si="12"/>
        <v>0</v>
      </c>
      <c r="J409" s="56">
        <f t="shared" si="13"/>
        <v>0</v>
      </c>
      <c r="K409" s="70" t="s">
        <v>84</v>
      </c>
    </row>
    <row r="410" spans="1:11" ht="25.5" hidden="1" customHeight="1">
      <c r="A410" s="74" t="s">
        <v>2411</v>
      </c>
      <c r="B410" s="74" t="s">
        <v>1016</v>
      </c>
      <c r="C410" s="74">
        <v>0</v>
      </c>
      <c r="D410" s="33" t="s">
        <v>2363</v>
      </c>
      <c r="E410" s="33">
        <v>5</v>
      </c>
      <c r="F410" s="33"/>
      <c r="G410" s="33"/>
      <c r="H410" s="56"/>
      <c r="I410" s="56">
        <f t="shared" si="12"/>
        <v>0</v>
      </c>
      <c r="J410" s="56">
        <f t="shared" si="13"/>
        <v>0</v>
      </c>
      <c r="K410" s="70" t="s">
        <v>84</v>
      </c>
    </row>
    <row r="411" spans="1:11" ht="25.5" hidden="1" customHeight="1">
      <c r="A411" s="74" t="s">
        <v>2469</v>
      </c>
      <c r="B411" s="74" t="s">
        <v>21</v>
      </c>
      <c r="C411" s="2">
        <v>0</v>
      </c>
      <c r="D411" s="33" t="s">
        <v>2363</v>
      </c>
      <c r="E411" s="33">
        <v>5</v>
      </c>
      <c r="F411" s="33"/>
      <c r="G411" s="33"/>
      <c r="H411" s="56">
        <v>25</v>
      </c>
      <c r="I411" s="56">
        <f t="shared" si="12"/>
        <v>28.749999999999996</v>
      </c>
      <c r="J411" s="56">
        <f t="shared" si="13"/>
        <v>32.5</v>
      </c>
      <c r="K411" s="70" t="s">
        <v>84</v>
      </c>
    </row>
    <row r="412" spans="1:11" ht="25.5" hidden="1" customHeight="1">
      <c r="A412" s="74" t="s">
        <v>2471</v>
      </c>
      <c r="B412" s="74" t="s">
        <v>19</v>
      </c>
      <c r="C412" s="2">
        <v>0</v>
      </c>
      <c r="D412" s="33" t="s">
        <v>2363</v>
      </c>
      <c r="E412" s="33">
        <v>5</v>
      </c>
      <c r="F412" s="33"/>
      <c r="G412" s="33"/>
      <c r="H412" s="56">
        <v>1</v>
      </c>
      <c r="I412" s="56">
        <f t="shared" si="12"/>
        <v>1.1499999999999999</v>
      </c>
      <c r="J412" s="56">
        <f t="shared" si="13"/>
        <v>1.3</v>
      </c>
      <c r="K412" s="70" t="s">
        <v>84</v>
      </c>
    </row>
    <row r="413" spans="1:11" ht="25.5" hidden="1" customHeight="1">
      <c r="A413" s="338" t="s">
        <v>2490</v>
      </c>
      <c r="B413" s="74" t="s">
        <v>19</v>
      </c>
      <c r="C413" s="74">
        <v>0</v>
      </c>
      <c r="D413" s="33" t="s">
        <v>2363</v>
      </c>
      <c r="E413" s="33">
        <v>5</v>
      </c>
      <c r="F413" s="33"/>
      <c r="G413" s="33"/>
      <c r="H413" s="56">
        <v>100</v>
      </c>
      <c r="I413" s="56">
        <f t="shared" si="12"/>
        <v>114.99999999999999</v>
      </c>
      <c r="J413" s="56">
        <f t="shared" si="13"/>
        <v>130</v>
      </c>
      <c r="K413" s="70" t="s">
        <v>84</v>
      </c>
    </row>
    <row r="414" spans="1:11" ht="25.5" hidden="1" customHeight="1">
      <c r="A414" s="74" t="s">
        <v>705</v>
      </c>
      <c r="B414" s="74" t="s">
        <v>19</v>
      </c>
      <c r="C414" s="74">
        <v>0</v>
      </c>
      <c r="D414" s="33" t="s">
        <v>2363</v>
      </c>
      <c r="E414" s="33">
        <v>5</v>
      </c>
      <c r="F414" s="33"/>
      <c r="G414" s="33"/>
      <c r="H414" s="56"/>
      <c r="I414" s="56">
        <f t="shared" si="12"/>
        <v>0</v>
      </c>
      <c r="J414" s="56">
        <f t="shared" si="13"/>
        <v>0</v>
      </c>
      <c r="K414" s="70" t="s">
        <v>84</v>
      </c>
    </row>
    <row r="415" spans="1:11" ht="25.5" hidden="1" customHeight="1">
      <c r="A415" s="74" t="s">
        <v>2366</v>
      </c>
      <c r="B415" s="74" t="s">
        <v>2492</v>
      </c>
      <c r="C415" s="2">
        <v>0</v>
      </c>
      <c r="D415" s="33" t="s">
        <v>2363</v>
      </c>
      <c r="E415" s="33">
        <v>5</v>
      </c>
      <c r="F415" s="33"/>
      <c r="G415" s="33"/>
      <c r="H415" s="56">
        <v>1</v>
      </c>
      <c r="I415" s="56">
        <f t="shared" si="12"/>
        <v>1.1499999999999999</v>
      </c>
      <c r="J415" s="56">
        <f t="shared" si="13"/>
        <v>1.3</v>
      </c>
      <c r="K415" s="70" t="s">
        <v>84</v>
      </c>
    </row>
    <row r="416" spans="1:11" ht="25.5" hidden="1" customHeight="1">
      <c r="A416" s="74" t="s">
        <v>2493</v>
      </c>
      <c r="B416" s="74" t="s">
        <v>21</v>
      </c>
      <c r="C416" s="2">
        <v>0</v>
      </c>
      <c r="D416" s="33" t="s">
        <v>2363</v>
      </c>
      <c r="E416" s="33">
        <v>5</v>
      </c>
      <c r="F416" s="33"/>
      <c r="G416" s="33"/>
      <c r="H416" s="56"/>
      <c r="I416" s="56">
        <f t="shared" si="12"/>
        <v>0</v>
      </c>
      <c r="J416" s="56">
        <f t="shared" si="13"/>
        <v>0</v>
      </c>
      <c r="K416" s="70" t="s">
        <v>84</v>
      </c>
    </row>
    <row r="417" spans="1:11" ht="25.5" hidden="1" customHeight="1">
      <c r="A417" s="74" t="s">
        <v>2494</v>
      </c>
      <c r="B417" s="74" t="s">
        <v>1030</v>
      </c>
      <c r="C417" s="2">
        <v>0</v>
      </c>
      <c r="D417" s="33" t="s">
        <v>2363</v>
      </c>
      <c r="E417" s="33">
        <v>5</v>
      </c>
      <c r="F417" s="33"/>
      <c r="G417" s="33"/>
      <c r="H417" s="56"/>
      <c r="I417" s="56">
        <f t="shared" si="12"/>
        <v>0</v>
      </c>
      <c r="J417" s="56">
        <f t="shared" si="13"/>
        <v>0</v>
      </c>
      <c r="K417" s="70" t="s">
        <v>84</v>
      </c>
    </row>
    <row r="418" spans="1:11" ht="25.5" hidden="1" customHeight="1">
      <c r="A418" s="74" t="s">
        <v>2495</v>
      </c>
      <c r="B418" s="74" t="s">
        <v>2496</v>
      </c>
      <c r="C418" s="2">
        <v>0</v>
      </c>
      <c r="D418" s="33" t="s">
        <v>2363</v>
      </c>
      <c r="E418" s="33">
        <v>5</v>
      </c>
      <c r="F418" s="33"/>
      <c r="G418" s="33"/>
      <c r="H418" s="57" t="s">
        <v>2092</v>
      </c>
      <c r="I418" s="56" t="e">
        <f t="shared" si="12"/>
        <v>#VALUE!</v>
      </c>
      <c r="J418" s="57" t="e">
        <f t="shared" si="13"/>
        <v>#VALUE!</v>
      </c>
      <c r="K418" s="70" t="s">
        <v>84</v>
      </c>
    </row>
    <row r="419" spans="1:11" ht="25.5" hidden="1" customHeight="1">
      <c r="A419" s="74" t="s">
        <v>421</v>
      </c>
      <c r="B419" s="74" t="s">
        <v>41</v>
      </c>
      <c r="C419" s="2">
        <v>0</v>
      </c>
      <c r="D419" s="33" t="s">
        <v>2363</v>
      </c>
      <c r="E419" s="33">
        <v>5</v>
      </c>
      <c r="F419" s="33"/>
      <c r="G419" s="33"/>
      <c r="H419" s="56">
        <v>2</v>
      </c>
      <c r="I419" s="56">
        <f t="shared" si="12"/>
        <v>2.2999999999999998</v>
      </c>
      <c r="J419" s="56">
        <f t="shared" si="13"/>
        <v>2.6</v>
      </c>
      <c r="K419" s="70" t="s">
        <v>84</v>
      </c>
    </row>
    <row r="420" spans="1:11" ht="25.5" hidden="1" customHeight="1">
      <c r="A420" s="74" t="s">
        <v>1877</v>
      </c>
      <c r="B420" s="74" t="s">
        <v>10</v>
      </c>
      <c r="C420" s="2">
        <v>0</v>
      </c>
      <c r="D420" s="33" t="s">
        <v>2363</v>
      </c>
      <c r="E420" s="33">
        <v>5</v>
      </c>
      <c r="F420" s="33"/>
      <c r="G420" s="33"/>
      <c r="H420" s="56">
        <v>3</v>
      </c>
      <c r="I420" s="56">
        <f t="shared" si="12"/>
        <v>3.4499999999999997</v>
      </c>
      <c r="J420" s="56">
        <f t="shared" si="13"/>
        <v>3.9000000000000004</v>
      </c>
      <c r="K420" s="70" t="s">
        <v>84</v>
      </c>
    </row>
    <row r="421" spans="1:11" ht="25.5" hidden="1" customHeight="1">
      <c r="A421" s="74" t="s">
        <v>2497</v>
      </c>
      <c r="B421" s="74" t="s">
        <v>21</v>
      </c>
      <c r="C421" s="2">
        <v>0</v>
      </c>
      <c r="D421" s="33" t="s">
        <v>2363</v>
      </c>
      <c r="E421" s="33">
        <v>5</v>
      </c>
      <c r="F421" s="33"/>
      <c r="G421" s="33"/>
      <c r="H421" s="56">
        <v>6</v>
      </c>
      <c r="I421" s="56">
        <f t="shared" si="12"/>
        <v>6.8999999999999995</v>
      </c>
      <c r="J421" s="56">
        <f t="shared" si="13"/>
        <v>7.8000000000000007</v>
      </c>
      <c r="K421" s="70" t="s">
        <v>84</v>
      </c>
    </row>
    <row r="422" spans="1:11" ht="25.5" hidden="1" customHeight="1">
      <c r="A422" s="74" t="s">
        <v>2498</v>
      </c>
      <c r="B422" s="74" t="s">
        <v>2162</v>
      </c>
      <c r="C422" s="2">
        <v>0</v>
      </c>
      <c r="D422" s="33" t="s">
        <v>2363</v>
      </c>
      <c r="E422" s="33">
        <v>5</v>
      </c>
      <c r="F422" s="33"/>
      <c r="G422" s="33"/>
      <c r="H422" s="56"/>
      <c r="I422" s="56">
        <f t="shared" si="12"/>
        <v>0</v>
      </c>
      <c r="J422" s="56">
        <f t="shared" si="13"/>
        <v>0</v>
      </c>
      <c r="K422" s="70" t="s">
        <v>84</v>
      </c>
    </row>
    <row r="423" spans="1:11" ht="25.5" hidden="1" customHeight="1">
      <c r="A423" s="74" t="s">
        <v>2499</v>
      </c>
      <c r="B423" s="78" t="s">
        <v>25</v>
      </c>
      <c r="C423" s="2">
        <v>0</v>
      </c>
      <c r="D423" s="33" t="s">
        <v>2363</v>
      </c>
      <c r="E423" s="33">
        <v>5</v>
      </c>
      <c r="F423" s="33"/>
      <c r="G423" s="33"/>
      <c r="H423" s="56"/>
      <c r="I423" s="56">
        <f t="shared" si="12"/>
        <v>0</v>
      </c>
      <c r="J423" s="56">
        <f t="shared" si="13"/>
        <v>0</v>
      </c>
      <c r="K423" s="70" t="s">
        <v>84</v>
      </c>
    </row>
    <row r="424" spans="1:11" ht="25.5" hidden="1" customHeight="1">
      <c r="A424" s="74" t="s">
        <v>2500</v>
      </c>
      <c r="B424" s="74" t="s">
        <v>41</v>
      </c>
      <c r="C424" s="2">
        <v>0</v>
      </c>
      <c r="D424" s="33" t="s">
        <v>2363</v>
      </c>
      <c r="E424" s="33">
        <v>5</v>
      </c>
      <c r="F424" s="33"/>
      <c r="G424" s="33"/>
      <c r="H424" s="56"/>
      <c r="I424" s="56">
        <f t="shared" si="12"/>
        <v>0</v>
      </c>
      <c r="J424" s="56">
        <f t="shared" si="13"/>
        <v>0</v>
      </c>
      <c r="K424" s="70" t="s">
        <v>84</v>
      </c>
    </row>
    <row r="425" spans="1:11" ht="25.5" hidden="1" customHeight="1">
      <c r="A425" s="78" t="s">
        <v>1877</v>
      </c>
      <c r="B425" s="74" t="s">
        <v>2501</v>
      </c>
      <c r="C425" s="2">
        <v>0</v>
      </c>
      <c r="D425" s="33" t="s">
        <v>2363</v>
      </c>
      <c r="E425" s="33">
        <v>5</v>
      </c>
      <c r="F425" s="33"/>
      <c r="G425" s="33"/>
      <c r="H425" s="56">
        <v>3</v>
      </c>
      <c r="I425" s="56">
        <f t="shared" si="12"/>
        <v>3.4499999999999997</v>
      </c>
      <c r="J425" s="56">
        <f t="shared" si="13"/>
        <v>3.9000000000000004</v>
      </c>
      <c r="K425" s="70" t="s">
        <v>84</v>
      </c>
    </row>
    <row r="426" spans="1:11" ht="25.5" hidden="1" customHeight="1">
      <c r="A426" s="74" t="s">
        <v>2475</v>
      </c>
      <c r="B426" s="74" t="s">
        <v>41</v>
      </c>
      <c r="C426" s="2">
        <v>0</v>
      </c>
      <c r="D426" s="33" t="s">
        <v>2363</v>
      </c>
      <c r="E426" s="33">
        <v>5</v>
      </c>
      <c r="F426" s="33"/>
      <c r="G426" s="33"/>
      <c r="H426" s="56">
        <v>7</v>
      </c>
      <c r="I426" s="56">
        <f t="shared" si="12"/>
        <v>8.0499999999999989</v>
      </c>
      <c r="J426" s="56">
        <f t="shared" si="13"/>
        <v>9.1</v>
      </c>
      <c r="K426" s="70" t="s">
        <v>84</v>
      </c>
    </row>
    <row r="427" spans="1:11" ht="25.5" hidden="1" customHeight="1">
      <c r="A427" s="74" t="s">
        <v>1840</v>
      </c>
      <c r="B427" s="74" t="s">
        <v>10</v>
      </c>
      <c r="C427" s="2">
        <v>0</v>
      </c>
      <c r="D427" s="33" t="s">
        <v>2363</v>
      </c>
      <c r="E427" s="33">
        <v>5</v>
      </c>
      <c r="F427" s="33"/>
      <c r="G427" s="33"/>
      <c r="H427" s="56"/>
      <c r="I427" s="56">
        <f t="shared" si="12"/>
        <v>0</v>
      </c>
      <c r="J427" s="56">
        <f t="shared" si="13"/>
        <v>0</v>
      </c>
      <c r="K427" s="70" t="s">
        <v>84</v>
      </c>
    </row>
    <row r="428" spans="1:11" ht="25.5" hidden="1" customHeight="1">
      <c r="A428" s="33" t="s">
        <v>886</v>
      </c>
      <c r="B428" s="74" t="s">
        <v>21</v>
      </c>
      <c r="C428" s="74">
        <v>0</v>
      </c>
      <c r="D428" s="33" t="s">
        <v>2504</v>
      </c>
      <c r="E428" s="33">
        <v>5</v>
      </c>
      <c r="F428" s="33"/>
      <c r="G428" s="33"/>
      <c r="H428" s="56">
        <v>1</v>
      </c>
      <c r="I428" s="56">
        <f t="shared" si="12"/>
        <v>1.1499999999999999</v>
      </c>
      <c r="J428" s="56">
        <f t="shared" si="13"/>
        <v>1.3</v>
      </c>
      <c r="K428" s="70" t="s">
        <v>84</v>
      </c>
    </row>
    <row r="429" spans="1:11" ht="25.5" hidden="1" customHeight="1">
      <c r="A429" s="74" t="s">
        <v>1837</v>
      </c>
      <c r="B429" s="74" t="s">
        <v>23</v>
      </c>
      <c r="C429" s="2">
        <v>0</v>
      </c>
      <c r="D429" s="33" t="s">
        <v>2504</v>
      </c>
      <c r="E429" s="33">
        <v>5</v>
      </c>
      <c r="F429" s="33"/>
      <c r="G429" s="33"/>
      <c r="H429" s="56">
        <v>1</v>
      </c>
      <c r="I429" s="56">
        <f t="shared" si="12"/>
        <v>1.1499999999999999</v>
      </c>
      <c r="J429" s="56">
        <f t="shared" si="13"/>
        <v>1.3</v>
      </c>
      <c r="K429" s="70" t="s">
        <v>84</v>
      </c>
    </row>
    <row r="430" spans="1:11" ht="25.5" hidden="1" customHeight="1">
      <c r="A430" s="74" t="s">
        <v>2529</v>
      </c>
      <c r="B430" s="74" t="s">
        <v>19</v>
      </c>
      <c r="C430" s="74">
        <v>0</v>
      </c>
      <c r="D430" s="33" t="s">
        <v>2504</v>
      </c>
      <c r="E430" s="33">
        <v>5</v>
      </c>
      <c r="F430" s="33"/>
      <c r="G430" s="33"/>
      <c r="H430" s="56">
        <v>0.7</v>
      </c>
      <c r="I430" s="56">
        <f t="shared" si="12"/>
        <v>0.80499999999999994</v>
      </c>
      <c r="J430" s="56">
        <f t="shared" si="13"/>
        <v>0.90999999999999992</v>
      </c>
      <c r="K430" s="70" t="s">
        <v>84</v>
      </c>
    </row>
    <row r="431" spans="1:11" ht="25.5" hidden="1" customHeight="1">
      <c r="A431" s="74" t="s">
        <v>1830</v>
      </c>
      <c r="B431" s="74" t="s">
        <v>10</v>
      </c>
      <c r="C431" s="2">
        <v>0</v>
      </c>
      <c r="D431" s="33" t="s">
        <v>2504</v>
      </c>
      <c r="E431" s="33">
        <v>5</v>
      </c>
      <c r="F431" s="33"/>
      <c r="G431" s="33"/>
      <c r="H431" s="56">
        <v>1.5</v>
      </c>
      <c r="I431" s="56">
        <f t="shared" si="12"/>
        <v>1.7249999999999999</v>
      </c>
      <c r="J431" s="56">
        <f t="shared" si="13"/>
        <v>1.9500000000000002</v>
      </c>
      <c r="K431" s="70" t="s">
        <v>84</v>
      </c>
    </row>
    <row r="432" spans="1:11" ht="25.5" hidden="1" customHeight="1">
      <c r="A432" s="79" t="s">
        <v>672</v>
      </c>
      <c r="B432" s="79" t="s">
        <v>10</v>
      </c>
      <c r="C432" s="2">
        <v>0</v>
      </c>
      <c r="D432" s="79" t="s">
        <v>2504</v>
      </c>
      <c r="E432" s="79">
        <v>5</v>
      </c>
      <c r="F432" s="79"/>
      <c r="G432" s="79"/>
      <c r="H432" s="60"/>
      <c r="I432" s="60">
        <f t="shared" si="12"/>
        <v>0</v>
      </c>
      <c r="J432" s="60">
        <f t="shared" si="13"/>
        <v>0</v>
      </c>
      <c r="K432" s="70" t="s">
        <v>84</v>
      </c>
    </row>
    <row r="433" spans="1:11" ht="25.5" hidden="1" customHeight="1">
      <c r="A433" s="79" t="s">
        <v>426</v>
      </c>
      <c r="B433" s="79" t="s">
        <v>10</v>
      </c>
      <c r="C433" s="2">
        <v>0</v>
      </c>
      <c r="D433" s="79" t="s">
        <v>2504</v>
      </c>
      <c r="E433" s="79">
        <v>5</v>
      </c>
      <c r="F433" s="79"/>
      <c r="G433" s="79"/>
      <c r="H433" s="60">
        <v>4</v>
      </c>
      <c r="I433" s="60">
        <f t="shared" si="12"/>
        <v>4.5999999999999996</v>
      </c>
      <c r="J433" s="60">
        <f t="shared" si="13"/>
        <v>5.2</v>
      </c>
      <c r="K433" s="70" t="s">
        <v>84</v>
      </c>
    </row>
    <row r="434" spans="1:11" ht="25.5" hidden="1" customHeight="1">
      <c r="A434" s="74" t="s">
        <v>1254</v>
      </c>
      <c r="B434" s="74" t="s">
        <v>10</v>
      </c>
      <c r="C434" s="2">
        <v>0</v>
      </c>
      <c r="D434" s="33" t="s">
        <v>2504</v>
      </c>
      <c r="E434" s="33">
        <v>5</v>
      </c>
      <c r="F434" s="33"/>
      <c r="G434" s="33"/>
      <c r="H434" s="56">
        <v>1</v>
      </c>
      <c r="I434" s="56">
        <f t="shared" si="12"/>
        <v>1.1499999999999999</v>
      </c>
      <c r="J434" s="56">
        <f t="shared" si="13"/>
        <v>1.3</v>
      </c>
      <c r="K434" s="70" t="s">
        <v>84</v>
      </c>
    </row>
    <row r="435" spans="1:11" ht="25.5" hidden="1" customHeight="1">
      <c r="A435" s="74" t="s">
        <v>407</v>
      </c>
      <c r="B435" s="74" t="s">
        <v>21</v>
      </c>
      <c r="C435" s="74">
        <v>0</v>
      </c>
      <c r="D435" s="33" t="s">
        <v>2504</v>
      </c>
      <c r="E435" s="33">
        <v>5</v>
      </c>
      <c r="F435" s="33"/>
      <c r="G435" s="33"/>
      <c r="H435" s="56">
        <v>4.5</v>
      </c>
      <c r="I435" s="56">
        <f t="shared" si="12"/>
        <v>5.1749999999999998</v>
      </c>
      <c r="J435" s="56">
        <f t="shared" si="13"/>
        <v>5.8500000000000005</v>
      </c>
      <c r="K435" s="70" t="s">
        <v>84</v>
      </c>
    </row>
    <row r="436" spans="1:11" ht="25.5" hidden="1" customHeight="1">
      <c r="A436" s="33" t="s">
        <v>2578</v>
      </c>
      <c r="B436" s="33" t="s">
        <v>10</v>
      </c>
      <c r="C436" s="2">
        <v>0</v>
      </c>
      <c r="D436" s="33" t="s">
        <v>2540</v>
      </c>
      <c r="E436" s="33">
        <v>2</v>
      </c>
      <c r="F436" s="33"/>
      <c r="G436" s="33"/>
      <c r="H436" s="57">
        <v>5</v>
      </c>
      <c r="I436" s="56">
        <f t="shared" si="12"/>
        <v>5.75</v>
      </c>
      <c r="J436" s="57">
        <f t="shared" si="13"/>
        <v>6.5</v>
      </c>
      <c r="K436" s="70" t="s">
        <v>84</v>
      </c>
    </row>
    <row r="437" spans="1:11" ht="25.5" hidden="1" customHeight="1">
      <c r="A437" s="33" t="s">
        <v>1752</v>
      </c>
      <c r="B437" s="33" t="s">
        <v>10</v>
      </c>
      <c r="C437" s="11">
        <v>0</v>
      </c>
      <c r="D437" s="33" t="s">
        <v>2540</v>
      </c>
      <c r="E437" s="33">
        <v>2</v>
      </c>
      <c r="F437" s="33"/>
      <c r="G437" s="33"/>
      <c r="H437" s="56"/>
      <c r="I437" s="56">
        <f t="shared" si="12"/>
        <v>0</v>
      </c>
      <c r="J437" s="56">
        <f t="shared" si="13"/>
        <v>0</v>
      </c>
      <c r="K437" s="70" t="s">
        <v>84</v>
      </c>
    </row>
    <row r="438" spans="1:11" ht="25.5" hidden="1" customHeight="1">
      <c r="A438" s="198" t="s">
        <v>2593</v>
      </c>
      <c r="B438" s="198" t="s">
        <v>2594</v>
      </c>
      <c r="C438" s="199">
        <v>0</v>
      </c>
      <c r="D438" s="198" t="s">
        <v>2540</v>
      </c>
      <c r="E438" s="198">
        <v>2</v>
      </c>
      <c r="F438" s="198"/>
      <c r="G438" s="198"/>
      <c r="H438" s="200">
        <v>1900</v>
      </c>
      <c r="I438" s="200">
        <f t="shared" si="12"/>
        <v>2185</v>
      </c>
      <c r="J438" s="200">
        <f t="shared" si="13"/>
        <v>2470</v>
      </c>
      <c r="K438" s="70" t="s">
        <v>84</v>
      </c>
    </row>
    <row r="439" spans="1:11" ht="25.5" hidden="1" customHeight="1">
      <c r="A439" s="33" t="s">
        <v>2623</v>
      </c>
      <c r="B439" s="33" t="s">
        <v>27</v>
      </c>
      <c r="C439" s="33">
        <v>0</v>
      </c>
      <c r="D439" s="33" t="s">
        <v>2540</v>
      </c>
      <c r="E439" s="33">
        <v>2</v>
      </c>
      <c r="F439" s="33"/>
      <c r="G439" s="33"/>
      <c r="H439" s="56"/>
      <c r="I439" s="56">
        <f t="shared" si="12"/>
        <v>0</v>
      </c>
      <c r="J439" s="56">
        <f t="shared" si="13"/>
        <v>0</v>
      </c>
      <c r="K439" s="70" t="s">
        <v>84</v>
      </c>
    </row>
    <row r="440" spans="1:11" ht="25.5" hidden="1" customHeight="1">
      <c r="A440" s="33">
        <v>3625</v>
      </c>
      <c r="B440" s="33" t="s">
        <v>474</v>
      </c>
      <c r="C440" s="33">
        <v>0</v>
      </c>
      <c r="D440" s="33" t="s">
        <v>2624</v>
      </c>
      <c r="E440" s="33">
        <v>4</v>
      </c>
      <c r="F440" s="33"/>
      <c r="G440" s="33"/>
      <c r="H440" s="56">
        <v>25</v>
      </c>
      <c r="I440" s="56">
        <f t="shared" si="12"/>
        <v>28.749999999999996</v>
      </c>
      <c r="J440" s="56">
        <f t="shared" si="13"/>
        <v>32.5</v>
      </c>
      <c r="K440" s="70" t="s">
        <v>84</v>
      </c>
    </row>
    <row r="441" spans="1:11" ht="25.5" hidden="1" customHeight="1">
      <c r="A441" s="33">
        <v>803644</v>
      </c>
      <c r="B441" s="33" t="s">
        <v>2625</v>
      </c>
      <c r="C441" s="2">
        <v>0</v>
      </c>
      <c r="D441" s="33" t="s">
        <v>2540</v>
      </c>
      <c r="E441" s="33">
        <v>1</v>
      </c>
      <c r="F441" s="33"/>
      <c r="G441" s="33"/>
      <c r="H441" s="56"/>
      <c r="I441" s="56">
        <f t="shared" si="12"/>
        <v>0</v>
      </c>
      <c r="J441" s="56">
        <f t="shared" si="13"/>
        <v>0</v>
      </c>
      <c r="K441" s="70" t="s">
        <v>84</v>
      </c>
    </row>
    <row r="442" spans="1:11" ht="25.5" hidden="1" customHeight="1">
      <c r="A442" s="33" t="s">
        <v>2626</v>
      </c>
      <c r="B442" s="33" t="s">
        <v>2627</v>
      </c>
      <c r="C442" s="2">
        <v>0</v>
      </c>
      <c r="D442" s="33" t="s">
        <v>2540</v>
      </c>
      <c r="E442" s="33">
        <v>2</v>
      </c>
      <c r="F442" s="33"/>
      <c r="G442" s="33"/>
      <c r="H442" s="56"/>
      <c r="I442" s="56">
        <f t="shared" si="12"/>
        <v>0</v>
      </c>
      <c r="J442" s="56">
        <f t="shared" si="13"/>
        <v>0</v>
      </c>
      <c r="K442" s="70" t="s">
        <v>84</v>
      </c>
    </row>
    <row r="443" spans="1:11" ht="25.5" hidden="1" customHeight="1">
      <c r="A443" s="33" t="s">
        <v>1688</v>
      </c>
      <c r="B443" s="33" t="s">
        <v>10</v>
      </c>
      <c r="C443" s="2">
        <v>0</v>
      </c>
      <c r="D443" s="33" t="s">
        <v>2540</v>
      </c>
      <c r="E443" s="33">
        <v>2</v>
      </c>
      <c r="F443" s="33"/>
      <c r="G443" s="33"/>
      <c r="H443" s="57">
        <v>3</v>
      </c>
      <c r="I443" s="56">
        <f t="shared" si="12"/>
        <v>3.4499999999999997</v>
      </c>
      <c r="J443" s="57">
        <f t="shared" si="13"/>
        <v>3.9000000000000004</v>
      </c>
      <c r="K443" s="70" t="s">
        <v>84</v>
      </c>
    </row>
    <row r="444" spans="1:11" ht="25.5" hidden="1" customHeight="1">
      <c r="A444" s="33" t="s">
        <v>2628</v>
      </c>
      <c r="B444" s="33" t="s">
        <v>10</v>
      </c>
      <c r="C444" s="2">
        <v>0</v>
      </c>
      <c r="D444" s="33" t="s">
        <v>2540</v>
      </c>
      <c r="E444" s="33">
        <v>2</v>
      </c>
      <c r="F444" s="33"/>
      <c r="G444" s="33"/>
      <c r="H444" s="56">
        <v>2</v>
      </c>
      <c r="I444" s="56">
        <f t="shared" si="12"/>
        <v>2.2999999999999998</v>
      </c>
      <c r="J444" s="56">
        <f t="shared" si="13"/>
        <v>2.6</v>
      </c>
      <c r="K444" s="70" t="s">
        <v>84</v>
      </c>
    </row>
    <row r="445" spans="1:11" ht="25.5" hidden="1" customHeight="1">
      <c r="A445" s="33" t="s">
        <v>2084</v>
      </c>
      <c r="B445" s="33" t="s">
        <v>83</v>
      </c>
      <c r="C445" s="33">
        <v>0</v>
      </c>
      <c r="D445" s="33" t="s">
        <v>2624</v>
      </c>
      <c r="E445" s="33">
        <v>3</v>
      </c>
      <c r="F445" s="33"/>
      <c r="G445" s="33"/>
      <c r="H445" s="56">
        <v>30</v>
      </c>
      <c r="I445" s="56">
        <f t="shared" si="12"/>
        <v>34.5</v>
      </c>
      <c r="J445" s="56">
        <f t="shared" si="13"/>
        <v>39</v>
      </c>
      <c r="K445" s="70" t="s">
        <v>84</v>
      </c>
    </row>
    <row r="446" spans="1:11" ht="25.5" hidden="1" customHeight="1">
      <c r="A446" s="33" t="s">
        <v>2121</v>
      </c>
      <c r="B446" s="33" t="s">
        <v>10</v>
      </c>
      <c r="C446" s="33">
        <v>0</v>
      </c>
      <c r="D446" s="33" t="s">
        <v>2624</v>
      </c>
      <c r="E446" s="33">
        <v>3</v>
      </c>
      <c r="F446" s="33"/>
      <c r="G446" s="33"/>
      <c r="H446" s="56">
        <v>2</v>
      </c>
      <c r="I446" s="56">
        <f t="shared" si="12"/>
        <v>2.2999999999999998</v>
      </c>
      <c r="J446" s="56">
        <f t="shared" si="13"/>
        <v>2.6</v>
      </c>
      <c r="K446" s="70" t="s">
        <v>84</v>
      </c>
    </row>
    <row r="447" spans="1:11" ht="25.5" hidden="1" customHeight="1">
      <c r="A447" s="59" t="s">
        <v>2679</v>
      </c>
      <c r="B447" s="59" t="s">
        <v>27</v>
      </c>
      <c r="C447" s="2">
        <v>0</v>
      </c>
      <c r="D447" s="33" t="s">
        <v>2624</v>
      </c>
      <c r="E447" s="59">
        <v>5</v>
      </c>
      <c r="F447" s="59"/>
      <c r="G447" s="59"/>
      <c r="H447" s="56"/>
      <c r="I447" s="56">
        <f t="shared" si="12"/>
        <v>0</v>
      </c>
      <c r="J447" s="56">
        <f t="shared" si="13"/>
        <v>0</v>
      </c>
      <c r="K447" s="70" t="s">
        <v>84</v>
      </c>
    </row>
    <row r="448" spans="1:11" ht="25.5" hidden="1" customHeight="1">
      <c r="A448" s="254" t="s">
        <v>2680</v>
      </c>
      <c r="B448" s="59" t="s">
        <v>27</v>
      </c>
      <c r="C448" s="59">
        <v>0</v>
      </c>
      <c r="D448" s="33" t="s">
        <v>2624</v>
      </c>
      <c r="E448" s="59">
        <v>5</v>
      </c>
      <c r="F448" s="59"/>
      <c r="G448" s="59"/>
      <c r="H448" s="56"/>
      <c r="I448" s="56">
        <f t="shared" si="12"/>
        <v>0</v>
      </c>
      <c r="J448" s="56">
        <f t="shared" si="13"/>
        <v>0</v>
      </c>
      <c r="K448" s="70" t="s">
        <v>84</v>
      </c>
    </row>
    <row r="449" spans="1:11" ht="25.5" hidden="1" customHeight="1">
      <c r="A449" s="33" t="s">
        <v>556</v>
      </c>
      <c r="B449" s="33" t="s">
        <v>2402</v>
      </c>
      <c r="C449" s="2">
        <v>0</v>
      </c>
      <c r="D449" s="33" t="s">
        <v>2624</v>
      </c>
      <c r="E449" s="33">
        <v>3</v>
      </c>
      <c r="F449" s="33"/>
      <c r="G449" s="33"/>
      <c r="H449" s="56">
        <v>1.5</v>
      </c>
      <c r="I449" s="56">
        <f t="shared" si="12"/>
        <v>1.7249999999999999</v>
      </c>
      <c r="J449" s="56">
        <f t="shared" si="13"/>
        <v>1.9500000000000002</v>
      </c>
      <c r="K449" s="70" t="s">
        <v>84</v>
      </c>
    </row>
    <row r="450" spans="1:11" ht="25.5" hidden="1" customHeight="1">
      <c r="A450" s="59" t="s">
        <v>603</v>
      </c>
      <c r="B450" s="59" t="s">
        <v>14</v>
      </c>
      <c r="C450" s="59">
        <v>0</v>
      </c>
      <c r="D450" s="33" t="s">
        <v>2624</v>
      </c>
      <c r="E450" s="59">
        <v>5</v>
      </c>
      <c r="F450" s="59"/>
      <c r="G450" s="59"/>
      <c r="H450" s="56"/>
      <c r="I450" s="56">
        <f t="shared" ref="I450:I513" si="14">H450 * 1.15</f>
        <v>0</v>
      </c>
      <c r="J450" s="56">
        <f t="shared" ref="J450:J513" si="15">H450 * 1.3</f>
        <v>0</v>
      </c>
      <c r="K450" s="70" t="s">
        <v>84</v>
      </c>
    </row>
    <row r="451" spans="1:11" ht="25.5" hidden="1" customHeight="1">
      <c r="A451" s="33" t="s">
        <v>2692</v>
      </c>
      <c r="B451" s="33" t="s">
        <v>1621</v>
      </c>
      <c r="C451" s="2">
        <v>0</v>
      </c>
      <c r="D451" s="33" t="s">
        <v>2624</v>
      </c>
      <c r="E451" s="33">
        <v>4</v>
      </c>
      <c r="F451" s="33"/>
      <c r="G451" s="33"/>
      <c r="H451" s="56"/>
      <c r="I451" s="56">
        <f t="shared" si="14"/>
        <v>0</v>
      </c>
      <c r="J451" s="56">
        <f t="shared" si="15"/>
        <v>0</v>
      </c>
      <c r="K451" s="70" t="s">
        <v>84</v>
      </c>
    </row>
    <row r="452" spans="1:11" ht="25.5" hidden="1" customHeight="1">
      <c r="A452" s="197" t="s">
        <v>2694</v>
      </c>
      <c r="B452" s="59" t="s">
        <v>96</v>
      </c>
      <c r="C452" s="59">
        <v>0</v>
      </c>
      <c r="D452" s="33" t="s">
        <v>2624</v>
      </c>
      <c r="E452" s="59">
        <v>5</v>
      </c>
      <c r="F452" s="59"/>
      <c r="G452" s="59"/>
      <c r="H452" s="56"/>
      <c r="I452" s="56">
        <f t="shared" si="14"/>
        <v>0</v>
      </c>
      <c r="J452" s="56">
        <f t="shared" si="15"/>
        <v>0</v>
      </c>
      <c r="K452" s="70" t="s">
        <v>84</v>
      </c>
    </row>
    <row r="453" spans="1:11" ht="25.5" hidden="1" customHeight="1">
      <c r="A453" s="59" t="s">
        <v>2257</v>
      </c>
      <c r="B453" s="59" t="s">
        <v>56</v>
      </c>
      <c r="C453" s="59">
        <v>0</v>
      </c>
      <c r="D453" s="33" t="s">
        <v>2624</v>
      </c>
      <c r="E453" s="59">
        <v>5</v>
      </c>
      <c r="F453" s="59"/>
      <c r="G453" s="59"/>
      <c r="H453" s="56">
        <v>4</v>
      </c>
      <c r="I453" s="56">
        <f t="shared" si="14"/>
        <v>4.5999999999999996</v>
      </c>
      <c r="J453" s="56">
        <f t="shared" si="15"/>
        <v>5.2</v>
      </c>
      <c r="K453" s="70" t="s">
        <v>84</v>
      </c>
    </row>
    <row r="454" spans="1:11" ht="25.5" hidden="1" customHeight="1">
      <c r="A454" s="59" t="s">
        <v>2699</v>
      </c>
      <c r="B454" s="59" t="s">
        <v>10</v>
      </c>
      <c r="C454" s="59">
        <v>0</v>
      </c>
      <c r="D454" s="33" t="s">
        <v>2624</v>
      </c>
      <c r="E454" s="59">
        <v>5</v>
      </c>
      <c r="F454" s="59"/>
      <c r="G454" s="59"/>
      <c r="H454" s="56"/>
      <c r="I454" s="56">
        <f t="shared" si="14"/>
        <v>0</v>
      </c>
      <c r="J454" s="56">
        <f t="shared" si="15"/>
        <v>0</v>
      </c>
      <c r="K454" s="70" t="s">
        <v>84</v>
      </c>
    </row>
    <row r="455" spans="1:11" ht="25.5" hidden="1" customHeight="1">
      <c r="A455" s="354" t="s">
        <v>2706</v>
      </c>
      <c r="B455" s="354" t="s">
        <v>319</v>
      </c>
      <c r="C455" s="354">
        <v>0</v>
      </c>
      <c r="D455" s="33" t="s">
        <v>2624</v>
      </c>
      <c r="E455" s="354">
        <v>5</v>
      </c>
      <c r="F455" s="354"/>
      <c r="G455" s="354"/>
      <c r="H455" s="56">
        <v>4</v>
      </c>
      <c r="I455" s="56">
        <f t="shared" si="14"/>
        <v>4.5999999999999996</v>
      </c>
      <c r="J455" s="56">
        <f t="shared" si="15"/>
        <v>5.2</v>
      </c>
      <c r="K455" s="70" t="s">
        <v>84</v>
      </c>
    </row>
    <row r="456" spans="1:11" ht="25.5" hidden="1" customHeight="1">
      <c r="A456" s="33" t="s">
        <v>2707</v>
      </c>
      <c r="B456" s="33" t="s">
        <v>10</v>
      </c>
      <c r="C456" s="2">
        <v>0</v>
      </c>
      <c r="D456" s="33" t="s">
        <v>2624</v>
      </c>
      <c r="E456" s="33">
        <v>4</v>
      </c>
      <c r="F456" s="33"/>
      <c r="G456" s="33"/>
      <c r="H456" s="56"/>
      <c r="I456" s="56">
        <f t="shared" si="14"/>
        <v>0</v>
      </c>
      <c r="J456" s="56">
        <f t="shared" si="15"/>
        <v>0</v>
      </c>
      <c r="K456" s="70" t="s">
        <v>84</v>
      </c>
    </row>
    <row r="457" spans="1:11" ht="25.5" hidden="1" customHeight="1">
      <c r="A457" s="250" t="s">
        <v>587</v>
      </c>
      <c r="B457" s="66" t="s">
        <v>21</v>
      </c>
      <c r="C457" s="66">
        <v>0</v>
      </c>
      <c r="D457" s="66" t="s">
        <v>2624</v>
      </c>
      <c r="E457" s="77">
        <v>5</v>
      </c>
      <c r="F457" s="77"/>
      <c r="G457" s="77"/>
      <c r="H457" s="56"/>
      <c r="I457" s="56">
        <f t="shared" si="14"/>
        <v>0</v>
      </c>
      <c r="J457" s="56">
        <f t="shared" si="15"/>
        <v>0</v>
      </c>
      <c r="K457" s="70" t="s">
        <v>84</v>
      </c>
    </row>
    <row r="458" spans="1:11" ht="25.5" hidden="1" customHeight="1">
      <c r="A458" s="33">
        <v>920507</v>
      </c>
      <c r="B458" s="33" t="s">
        <v>43</v>
      </c>
      <c r="C458" s="2">
        <v>0</v>
      </c>
      <c r="D458" s="33" t="s">
        <v>2624</v>
      </c>
      <c r="E458" s="33">
        <v>4</v>
      </c>
      <c r="F458" s="33"/>
      <c r="G458" s="33"/>
      <c r="H458" s="56"/>
      <c r="I458" s="56">
        <f t="shared" si="14"/>
        <v>0</v>
      </c>
      <c r="J458" s="56">
        <f t="shared" si="15"/>
        <v>0</v>
      </c>
      <c r="K458" s="70" t="s">
        <v>84</v>
      </c>
    </row>
    <row r="459" spans="1:11" ht="25.5" hidden="1" customHeight="1">
      <c r="A459" s="33" t="s">
        <v>1051</v>
      </c>
      <c r="B459" s="33" t="s">
        <v>2713</v>
      </c>
      <c r="C459" s="2">
        <v>0</v>
      </c>
      <c r="D459" s="33" t="s">
        <v>2624</v>
      </c>
      <c r="E459" s="33">
        <v>4</v>
      </c>
      <c r="F459" s="33"/>
      <c r="G459" s="33"/>
      <c r="H459" s="56">
        <v>950</v>
      </c>
      <c r="I459" s="56">
        <f t="shared" si="14"/>
        <v>1092.5</v>
      </c>
      <c r="J459" s="56">
        <f t="shared" si="15"/>
        <v>1235</v>
      </c>
      <c r="K459" s="70" t="s">
        <v>84</v>
      </c>
    </row>
    <row r="460" spans="1:11" ht="25.5" hidden="1" customHeight="1">
      <c r="A460" s="59" t="s">
        <v>676</v>
      </c>
      <c r="B460" s="59" t="s">
        <v>19</v>
      </c>
      <c r="C460" s="2">
        <v>0</v>
      </c>
      <c r="D460" s="33" t="s">
        <v>2624</v>
      </c>
      <c r="E460" s="59">
        <v>5</v>
      </c>
      <c r="F460" s="59"/>
      <c r="G460" s="59"/>
      <c r="H460" s="56"/>
      <c r="I460" s="56">
        <f t="shared" si="14"/>
        <v>0</v>
      </c>
      <c r="J460" s="56">
        <f t="shared" si="15"/>
        <v>0</v>
      </c>
      <c r="K460" s="70" t="s">
        <v>84</v>
      </c>
    </row>
    <row r="461" spans="1:11" ht="25.5" hidden="1" customHeight="1">
      <c r="A461" s="17" t="s">
        <v>2721</v>
      </c>
      <c r="B461" s="17" t="s">
        <v>272</v>
      </c>
      <c r="C461" s="17">
        <v>0</v>
      </c>
      <c r="D461" s="131" t="s">
        <v>2716</v>
      </c>
      <c r="E461" s="15">
        <v>1</v>
      </c>
      <c r="F461" s="15"/>
      <c r="G461" s="15"/>
      <c r="H461" s="56"/>
      <c r="I461" s="56">
        <f t="shared" si="14"/>
        <v>0</v>
      </c>
      <c r="J461" s="56">
        <f t="shared" si="15"/>
        <v>0</v>
      </c>
      <c r="K461" s="70" t="s">
        <v>84</v>
      </c>
    </row>
    <row r="462" spans="1:11" ht="25.5" hidden="1" customHeight="1">
      <c r="A462" s="11" t="s">
        <v>2724</v>
      </c>
      <c r="B462" s="11" t="s">
        <v>27</v>
      </c>
      <c r="C462" s="11">
        <v>0</v>
      </c>
      <c r="D462" s="131" t="s">
        <v>2716</v>
      </c>
      <c r="E462" s="15">
        <v>3</v>
      </c>
      <c r="F462" s="15"/>
      <c r="G462" s="15"/>
      <c r="H462" s="56"/>
      <c r="I462" s="56">
        <f t="shared" si="14"/>
        <v>0</v>
      </c>
      <c r="J462" s="56">
        <f t="shared" si="15"/>
        <v>0</v>
      </c>
      <c r="K462" s="70" t="s">
        <v>84</v>
      </c>
    </row>
    <row r="463" spans="1:11" ht="25.5" hidden="1" customHeight="1">
      <c r="A463" s="17" t="s">
        <v>686</v>
      </c>
      <c r="B463" s="17" t="s">
        <v>319</v>
      </c>
      <c r="C463" s="17">
        <v>0</v>
      </c>
      <c r="D463" s="131" t="s">
        <v>2716</v>
      </c>
      <c r="E463" s="15">
        <v>3</v>
      </c>
      <c r="F463" s="15"/>
      <c r="G463" s="15"/>
      <c r="H463" s="56"/>
      <c r="I463" s="56">
        <f t="shared" si="14"/>
        <v>0</v>
      </c>
      <c r="J463" s="56">
        <f t="shared" si="15"/>
        <v>0</v>
      </c>
      <c r="K463" s="70" t="s">
        <v>84</v>
      </c>
    </row>
    <row r="464" spans="1:11" ht="25.5" hidden="1" customHeight="1">
      <c r="A464" s="3" t="s">
        <v>2725</v>
      </c>
      <c r="B464" s="59" t="s">
        <v>25</v>
      </c>
      <c r="C464" s="59">
        <v>0</v>
      </c>
      <c r="D464" s="33" t="s">
        <v>2716</v>
      </c>
      <c r="E464" s="59">
        <v>3</v>
      </c>
      <c r="F464" s="59"/>
      <c r="G464" s="59"/>
      <c r="H464" s="56"/>
      <c r="I464" s="56">
        <f t="shared" si="14"/>
        <v>0</v>
      </c>
      <c r="J464" s="56">
        <f t="shared" si="15"/>
        <v>0</v>
      </c>
      <c r="K464" s="70" t="s">
        <v>84</v>
      </c>
    </row>
    <row r="465" spans="1:11" ht="25.5" hidden="1" customHeight="1">
      <c r="A465" s="320" t="s">
        <v>2726</v>
      </c>
      <c r="B465" s="320" t="s">
        <v>41</v>
      </c>
      <c r="C465" s="320">
        <v>0</v>
      </c>
      <c r="D465" s="320" t="s">
        <v>2716</v>
      </c>
      <c r="E465" s="321">
        <v>3</v>
      </c>
      <c r="F465" s="321"/>
      <c r="G465" s="321"/>
      <c r="H465" s="322"/>
      <c r="I465" s="322">
        <f t="shared" si="14"/>
        <v>0</v>
      </c>
      <c r="J465" s="322">
        <f t="shared" si="15"/>
        <v>0</v>
      </c>
      <c r="K465" s="70" t="s">
        <v>84</v>
      </c>
    </row>
    <row r="466" spans="1:11" ht="25.5" hidden="1" customHeight="1">
      <c r="A466" s="320" t="s">
        <v>2732</v>
      </c>
      <c r="B466" s="320" t="s">
        <v>558</v>
      </c>
      <c r="C466" s="320">
        <v>0</v>
      </c>
      <c r="D466" s="320" t="s">
        <v>2716</v>
      </c>
      <c r="E466" s="321">
        <v>3</v>
      </c>
      <c r="F466" s="321"/>
      <c r="G466" s="321"/>
      <c r="H466" s="322"/>
      <c r="I466" s="322">
        <f t="shared" si="14"/>
        <v>0</v>
      </c>
      <c r="J466" s="322">
        <f t="shared" si="15"/>
        <v>0</v>
      </c>
      <c r="K466" s="70" t="s">
        <v>84</v>
      </c>
    </row>
    <row r="467" spans="1:11" ht="25.5" hidden="1" customHeight="1">
      <c r="A467" s="320" t="s">
        <v>2733</v>
      </c>
      <c r="B467" s="320" t="s">
        <v>41</v>
      </c>
      <c r="C467" s="320">
        <v>0</v>
      </c>
      <c r="D467" s="320" t="s">
        <v>2716</v>
      </c>
      <c r="E467" s="321">
        <v>3</v>
      </c>
      <c r="F467" s="321"/>
      <c r="G467" s="321"/>
      <c r="H467" s="322"/>
      <c r="I467" s="322">
        <f t="shared" si="14"/>
        <v>0</v>
      </c>
      <c r="J467" s="322">
        <f t="shared" si="15"/>
        <v>0</v>
      </c>
      <c r="K467" s="70" t="s">
        <v>84</v>
      </c>
    </row>
    <row r="468" spans="1:11" ht="25.5" hidden="1" customHeight="1">
      <c r="A468" s="320" t="s">
        <v>2736</v>
      </c>
      <c r="B468" s="320" t="s">
        <v>2737</v>
      </c>
      <c r="C468" s="320">
        <v>0</v>
      </c>
      <c r="D468" s="320" t="s">
        <v>2716</v>
      </c>
      <c r="E468" s="321">
        <v>3</v>
      </c>
      <c r="F468" s="321"/>
      <c r="G468" s="321"/>
      <c r="H468" s="322"/>
      <c r="I468" s="322">
        <f t="shared" si="14"/>
        <v>0</v>
      </c>
      <c r="J468" s="322">
        <f t="shared" si="15"/>
        <v>0</v>
      </c>
      <c r="K468" s="70" t="s">
        <v>84</v>
      </c>
    </row>
    <row r="469" spans="1:11" ht="25.5" hidden="1" customHeight="1">
      <c r="A469" s="33" t="s">
        <v>2741</v>
      </c>
      <c r="B469" s="33" t="s">
        <v>2742</v>
      </c>
      <c r="C469" s="33">
        <v>0</v>
      </c>
      <c r="D469" s="33" t="s">
        <v>2716</v>
      </c>
      <c r="E469" s="59">
        <v>3</v>
      </c>
      <c r="F469" s="59"/>
      <c r="G469" s="59"/>
      <c r="H469" s="57"/>
      <c r="I469" s="56">
        <f t="shared" si="14"/>
        <v>0</v>
      </c>
      <c r="J469" s="57">
        <f t="shared" si="15"/>
        <v>0</v>
      </c>
      <c r="K469" s="70" t="s">
        <v>84</v>
      </c>
    </row>
    <row r="470" spans="1:11" ht="25.5" hidden="1" customHeight="1">
      <c r="A470" s="33" t="s">
        <v>2745</v>
      </c>
      <c r="B470" s="33" t="s">
        <v>313</v>
      </c>
      <c r="C470" s="33">
        <v>0</v>
      </c>
      <c r="D470" s="33" t="s">
        <v>2716</v>
      </c>
      <c r="E470" s="354">
        <v>3</v>
      </c>
      <c r="F470" s="354"/>
      <c r="G470" s="354"/>
      <c r="H470" s="57"/>
      <c r="I470" s="56">
        <f t="shared" si="14"/>
        <v>0</v>
      </c>
      <c r="J470" s="57">
        <f t="shared" si="15"/>
        <v>0</v>
      </c>
      <c r="K470" s="70" t="s">
        <v>84</v>
      </c>
    </row>
    <row r="471" spans="1:11" ht="25.5" hidden="1" customHeight="1">
      <c r="A471" s="320" t="s">
        <v>2746</v>
      </c>
      <c r="B471" s="320" t="s">
        <v>1030</v>
      </c>
      <c r="C471" s="320">
        <v>0</v>
      </c>
      <c r="D471" s="320" t="s">
        <v>2716</v>
      </c>
      <c r="E471" s="321">
        <v>3</v>
      </c>
      <c r="F471" s="321"/>
      <c r="G471" s="321"/>
      <c r="H471" s="322"/>
      <c r="I471" s="322">
        <f t="shared" si="14"/>
        <v>0</v>
      </c>
      <c r="J471" s="322">
        <f t="shared" si="15"/>
        <v>0</v>
      </c>
      <c r="K471" s="70" t="s">
        <v>84</v>
      </c>
    </row>
    <row r="472" spans="1:11" ht="25.5" hidden="1" customHeight="1">
      <c r="A472" s="320" t="s">
        <v>2747</v>
      </c>
      <c r="B472" s="320" t="s">
        <v>2748</v>
      </c>
      <c r="C472" s="320">
        <v>0</v>
      </c>
      <c r="D472" s="320" t="s">
        <v>2716</v>
      </c>
      <c r="E472" s="321">
        <v>3</v>
      </c>
      <c r="F472" s="321"/>
      <c r="G472" s="321"/>
      <c r="H472" s="322"/>
      <c r="I472" s="322">
        <f t="shared" si="14"/>
        <v>0</v>
      </c>
      <c r="J472" s="322">
        <f t="shared" si="15"/>
        <v>0</v>
      </c>
      <c r="K472" s="70" t="s">
        <v>84</v>
      </c>
    </row>
    <row r="473" spans="1:11" ht="25.5" hidden="1" customHeight="1">
      <c r="A473" s="320" t="s">
        <v>2758</v>
      </c>
      <c r="B473" s="320" t="s">
        <v>2742</v>
      </c>
      <c r="C473" s="320">
        <v>0</v>
      </c>
      <c r="D473" s="320" t="s">
        <v>2716</v>
      </c>
      <c r="E473" s="321">
        <v>3</v>
      </c>
      <c r="F473" s="321"/>
      <c r="G473" s="321"/>
      <c r="H473" s="322"/>
      <c r="I473" s="322">
        <f t="shared" si="14"/>
        <v>0</v>
      </c>
      <c r="J473" s="322">
        <f t="shared" si="15"/>
        <v>0</v>
      </c>
      <c r="K473" s="70" t="s">
        <v>84</v>
      </c>
    </row>
    <row r="474" spans="1:11" ht="25.5" hidden="1" customHeight="1">
      <c r="A474" s="320" t="s">
        <v>2759</v>
      </c>
      <c r="B474" s="320" t="s">
        <v>418</v>
      </c>
      <c r="C474" s="320">
        <v>0</v>
      </c>
      <c r="D474" s="320" t="s">
        <v>2716</v>
      </c>
      <c r="E474" s="321">
        <v>3</v>
      </c>
      <c r="F474" s="321"/>
      <c r="G474" s="321"/>
      <c r="H474" s="322"/>
      <c r="I474" s="322">
        <f t="shared" si="14"/>
        <v>0</v>
      </c>
      <c r="J474" s="322">
        <f t="shared" si="15"/>
        <v>0</v>
      </c>
      <c r="K474" s="70" t="s">
        <v>84</v>
      </c>
    </row>
    <row r="475" spans="1:11" ht="25.5" hidden="1" customHeight="1">
      <c r="A475" s="33" t="s">
        <v>2679</v>
      </c>
      <c r="B475" s="33" t="s">
        <v>27</v>
      </c>
      <c r="C475" s="33">
        <v>0</v>
      </c>
      <c r="D475" s="33" t="s">
        <v>2716</v>
      </c>
      <c r="E475" s="59">
        <v>3</v>
      </c>
      <c r="F475" s="59"/>
      <c r="G475" s="59"/>
      <c r="H475" s="57"/>
      <c r="I475" s="56">
        <f t="shared" si="14"/>
        <v>0</v>
      </c>
      <c r="J475" s="57">
        <f t="shared" si="15"/>
        <v>0</v>
      </c>
      <c r="K475" s="70" t="s">
        <v>84</v>
      </c>
    </row>
    <row r="476" spans="1:11" ht="25.5" hidden="1" customHeight="1">
      <c r="A476" s="320" t="s">
        <v>2762</v>
      </c>
      <c r="B476" s="320" t="s">
        <v>548</v>
      </c>
      <c r="C476" s="320">
        <v>0</v>
      </c>
      <c r="D476" s="320" t="s">
        <v>2716</v>
      </c>
      <c r="E476" s="321">
        <v>3</v>
      </c>
      <c r="F476" s="321"/>
      <c r="G476" s="321"/>
      <c r="H476" s="322"/>
      <c r="I476" s="322">
        <f t="shared" si="14"/>
        <v>0</v>
      </c>
      <c r="J476" s="322">
        <f t="shared" si="15"/>
        <v>0</v>
      </c>
      <c r="K476" s="70" t="s">
        <v>84</v>
      </c>
    </row>
    <row r="477" spans="1:11" ht="25.5" hidden="1" customHeight="1">
      <c r="A477" s="33" t="s">
        <v>2764</v>
      </c>
      <c r="B477" s="33" t="s">
        <v>2765</v>
      </c>
      <c r="C477" s="33">
        <v>0</v>
      </c>
      <c r="D477" s="33" t="s">
        <v>2716</v>
      </c>
      <c r="E477" s="354">
        <v>3</v>
      </c>
      <c r="F477" s="354"/>
      <c r="G477" s="354"/>
      <c r="H477" s="57"/>
      <c r="I477" s="56">
        <f t="shared" si="14"/>
        <v>0</v>
      </c>
      <c r="J477" s="57">
        <f t="shared" si="15"/>
        <v>0</v>
      </c>
      <c r="K477" s="70" t="s">
        <v>84</v>
      </c>
    </row>
    <row r="478" spans="1:11" ht="25.5" hidden="1" customHeight="1">
      <c r="A478" s="17" t="s">
        <v>2800</v>
      </c>
      <c r="B478" s="17" t="s">
        <v>272</v>
      </c>
      <c r="C478" s="17">
        <v>0</v>
      </c>
      <c r="D478" s="131" t="s">
        <v>2772</v>
      </c>
      <c r="E478" s="15">
        <v>5</v>
      </c>
      <c r="F478" s="15"/>
      <c r="G478" s="15"/>
      <c r="H478" s="56"/>
      <c r="I478" s="56">
        <f t="shared" si="14"/>
        <v>0</v>
      </c>
      <c r="J478" s="56">
        <f t="shared" si="15"/>
        <v>0</v>
      </c>
      <c r="K478" s="70" t="s">
        <v>84</v>
      </c>
    </row>
    <row r="479" spans="1:11" ht="25.5" hidden="1" customHeight="1">
      <c r="A479" s="17" t="s">
        <v>2801</v>
      </c>
      <c r="B479" s="11" t="s">
        <v>272</v>
      </c>
      <c r="C479" s="17">
        <v>0</v>
      </c>
      <c r="D479" s="131" t="s">
        <v>2772</v>
      </c>
      <c r="E479" s="15">
        <v>5</v>
      </c>
      <c r="F479" s="15"/>
      <c r="G479" s="15"/>
      <c r="H479" s="56"/>
      <c r="I479" s="56">
        <f t="shared" si="14"/>
        <v>0</v>
      </c>
      <c r="J479" s="56">
        <f t="shared" si="15"/>
        <v>0</v>
      </c>
      <c r="K479" s="70" t="s">
        <v>84</v>
      </c>
    </row>
    <row r="480" spans="1:11" ht="25.5" hidden="1" customHeight="1">
      <c r="A480" s="3" t="s">
        <v>499</v>
      </c>
      <c r="B480" s="3" t="s">
        <v>21</v>
      </c>
      <c r="C480" s="2">
        <v>0</v>
      </c>
      <c r="D480" s="58" t="s">
        <v>2802</v>
      </c>
      <c r="E480" s="33">
        <v>2</v>
      </c>
      <c r="F480" s="33"/>
      <c r="G480" s="33"/>
      <c r="H480" s="56"/>
      <c r="I480" s="56">
        <f t="shared" si="14"/>
        <v>0</v>
      </c>
      <c r="J480" s="56">
        <f t="shared" si="15"/>
        <v>0</v>
      </c>
      <c r="K480" s="70" t="s">
        <v>84</v>
      </c>
    </row>
    <row r="481" spans="1:11" ht="25.5" hidden="1" customHeight="1">
      <c r="A481" s="11" t="s">
        <v>2849</v>
      </c>
      <c r="B481" s="11" t="s">
        <v>21</v>
      </c>
      <c r="C481" s="11">
        <v>0</v>
      </c>
      <c r="D481" s="131" t="s">
        <v>2802</v>
      </c>
      <c r="E481" s="11">
        <v>3</v>
      </c>
      <c r="F481" s="11"/>
      <c r="G481" s="11"/>
      <c r="H481" s="56"/>
      <c r="I481" s="56">
        <f t="shared" si="14"/>
        <v>0</v>
      </c>
      <c r="J481" s="56">
        <f t="shared" si="15"/>
        <v>0</v>
      </c>
      <c r="K481" s="70" t="s">
        <v>84</v>
      </c>
    </row>
    <row r="482" spans="1:11" ht="25.5" hidden="1" customHeight="1">
      <c r="A482" s="17" t="s">
        <v>2852</v>
      </c>
      <c r="B482" s="17" t="s">
        <v>41</v>
      </c>
      <c r="C482" s="17">
        <v>0</v>
      </c>
      <c r="D482" s="131" t="s">
        <v>2802</v>
      </c>
      <c r="E482" s="11">
        <v>3</v>
      </c>
      <c r="F482" s="11"/>
      <c r="G482" s="11"/>
      <c r="H482" s="56"/>
      <c r="I482" s="56">
        <f t="shared" si="14"/>
        <v>0</v>
      </c>
      <c r="J482" s="56">
        <f t="shared" si="15"/>
        <v>0</v>
      </c>
      <c r="K482" s="70" t="s">
        <v>84</v>
      </c>
    </row>
    <row r="483" spans="1:11" ht="25.5" hidden="1" customHeight="1">
      <c r="A483" s="17" t="s">
        <v>2853</v>
      </c>
      <c r="B483" s="17" t="s">
        <v>41</v>
      </c>
      <c r="C483" s="17">
        <v>0</v>
      </c>
      <c r="D483" s="131" t="s">
        <v>2802</v>
      </c>
      <c r="E483" s="11">
        <v>3</v>
      </c>
      <c r="F483" s="11"/>
      <c r="G483" s="11"/>
      <c r="H483" s="56"/>
      <c r="I483" s="56">
        <f t="shared" si="14"/>
        <v>0</v>
      </c>
      <c r="J483" s="56">
        <f t="shared" si="15"/>
        <v>0</v>
      </c>
      <c r="K483" s="70" t="s">
        <v>84</v>
      </c>
    </row>
    <row r="484" spans="1:11" ht="25.5" hidden="1" customHeight="1">
      <c r="A484" s="11" t="s">
        <v>2469</v>
      </c>
      <c r="B484" s="11" t="s">
        <v>21</v>
      </c>
      <c r="C484" s="2">
        <v>0</v>
      </c>
      <c r="D484" s="131" t="s">
        <v>2802</v>
      </c>
      <c r="E484" s="11">
        <v>3</v>
      </c>
      <c r="F484" s="11"/>
      <c r="G484" s="11"/>
      <c r="H484" s="56">
        <v>25</v>
      </c>
      <c r="I484" s="56">
        <f t="shared" si="14"/>
        <v>28.749999999999996</v>
      </c>
      <c r="J484" s="56">
        <f t="shared" si="15"/>
        <v>32.5</v>
      </c>
      <c r="K484" s="70" t="s">
        <v>84</v>
      </c>
    </row>
    <row r="485" spans="1:11" ht="25.5" hidden="1" customHeight="1">
      <c r="A485" s="11" t="s">
        <v>2403</v>
      </c>
      <c r="B485" s="11" t="s">
        <v>14</v>
      </c>
      <c r="C485" s="33">
        <v>0</v>
      </c>
      <c r="D485" s="131" t="s">
        <v>2802</v>
      </c>
      <c r="E485" s="11">
        <v>3</v>
      </c>
      <c r="F485" s="11"/>
      <c r="G485" s="11"/>
      <c r="H485" s="56"/>
      <c r="I485" s="56">
        <f t="shared" si="14"/>
        <v>0</v>
      </c>
      <c r="J485" s="56">
        <f t="shared" si="15"/>
        <v>0</v>
      </c>
      <c r="K485" s="70" t="s">
        <v>84</v>
      </c>
    </row>
    <row r="486" spans="1:11" ht="25.5" hidden="1" customHeight="1">
      <c r="A486" s="11" t="s">
        <v>2073</v>
      </c>
      <c r="B486" s="11" t="s">
        <v>19</v>
      </c>
      <c r="C486" s="11">
        <v>0</v>
      </c>
      <c r="D486" s="131" t="s">
        <v>2802</v>
      </c>
      <c r="E486" s="11">
        <v>3</v>
      </c>
      <c r="F486" s="11"/>
      <c r="G486" s="11"/>
      <c r="H486" s="56">
        <v>1</v>
      </c>
      <c r="I486" s="56">
        <f t="shared" si="14"/>
        <v>1.1499999999999999</v>
      </c>
      <c r="J486" s="56">
        <f t="shared" si="15"/>
        <v>1.3</v>
      </c>
      <c r="K486" s="70" t="s">
        <v>84</v>
      </c>
    </row>
    <row r="487" spans="1:11" ht="25.5" hidden="1" customHeight="1">
      <c r="A487" s="11" t="s">
        <v>2116</v>
      </c>
      <c r="B487" s="11" t="s">
        <v>14</v>
      </c>
      <c r="C487" s="2">
        <v>0</v>
      </c>
      <c r="D487" s="131" t="s">
        <v>2802</v>
      </c>
      <c r="E487" s="11">
        <v>3</v>
      </c>
      <c r="F487" s="11"/>
      <c r="G487" s="11"/>
      <c r="H487" s="56"/>
      <c r="I487" s="56">
        <f t="shared" si="14"/>
        <v>0</v>
      </c>
      <c r="J487" s="56">
        <f t="shared" si="15"/>
        <v>0</v>
      </c>
      <c r="K487" s="70" t="s">
        <v>84</v>
      </c>
    </row>
    <row r="488" spans="1:11" ht="25.5" hidden="1" customHeight="1">
      <c r="A488" s="335">
        <v>2603041</v>
      </c>
      <c r="B488" s="11" t="s">
        <v>23</v>
      </c>
      <c r="C488" s="2">
        <v>0</v>
      </c>
      <c r="D488" s="131" t="s">
        <v>2802</v>
      </c>
      <c r="E488" s="11">
        <v>3</v>
      </c>
      <c r="F488" s="11"/>
      <c r="G488" s="11"/>
      <c r="H488" s="56">
        <v>4</v>
      </c>
      <c r="I488" s="56">
        <f t="shared" si="14"/>
        <v>4.5999999999999996</v>
      </c>
      <c r="J488" s="56">
        <f t="shared" si="15"/>
        <v>5.2</v>
      </c>
      <c r="K488" s="70" t="s">
        <v>84</v>
      </c>
    </row>
    <row r="489" spans="1:11" ht="25.5" hidden="1" customHeight="1">
      <c r="A489" s="335">
        <v>4559</v>
      </c>
      <c r="B489" s="11" t="s">
        <v>371</v>
      </c>
      <c r="C489" s="2">
        <v>0</v>
      </c>
      <c r="D489" s="131" t="s">
        <v>2802</v>
      </c>
      <c r="E489" s="11">
        <v>3</v>
      </c>
      <c r="F489" s="11"/>
      <c r="G489" s="11"/>
      <c r="H489" s="56">
        <v>25</v>
      </c>
      <c r="I489" s="56">
        <f t="shared" si="14"/>
        <v>28.749999999999996</v>
      </c>
      <c r="J489" s="56">
        <f t="shared" si="15"/>
        <v>32.5</v>
      </c>
      <c r="K489" s="70" t="s">
        <v>84</v>
      </c>
    </row>
    <row r="490" spans="1:11" ht="25.5" hidden="1" customHeight="1">
      <c r="A490" s="335" t="s">
        <v>258</v>
      </c>
      <c r="B490" s="11" t="s">
        <v>2872</v>
      </c>
      <c r="C490" s="2">
        <v>0</v>
      </c>
      <c r="D490" s="131" t="s">
        <v>2802</v>
      </c>
      <c r="E490" s="11">
        <v>3</v>
      </c>
      <c r="F490" s="11"/>
      <c r="G490" s="11"/>
      <c r="H490" s="56">
        <v>100</v>
      </c>
      <c r="I490" s="56">
        <f t="shared" si="14"/>
        <v>114.99999999999999</v>
      </c>
      <c r="J490" s="56">
        <f t="shared" si="15"/>
        <v>130</v>
      </c>
      <c r="K490" s="70" t="s">
        <v>84</v>
      </c>
    </row>
    <row r="491" spans="1:11" ht="25.5" hidden="1" customHeight="1">
      <c r="A491" s="335" t="s">
        <v>2801</v>
      </c>
      <c r="B491" s="11" t="s">
        <v>272</v>
      </c>
      <c r="C491" s="11">
        <v>0</v>
      </c>
      <c r="D491" s="131" t="s">
        <v>2868</v>
      </c>
      <c r="E491" s="15">
        <v>5</v>
      </c>
      <c r="F491" s="15"/>
      <c r="G491" s="15"/>
      <c r="H491" s="56"/>
      <c r="I491" s="56">
        <f t="shared" si="14"/>
        <v>0</v>
      </c>
      <c r="J491" s="56">
        <f t="shared" si="15"/>
        <v>0</v>
      </c>
      <c r="K491" s="70" t="s">
        <v>84</v>
      </c>
    </row>
    <row r="492" spans="1:11" ht="25.5" hidden="1" customHeight="1">
      <c r="A492" s="17" t="s">
        <v>2876</v>
      </c>
      <c r="B492" s="11" t="s">
        <v>272</v>
      </c>
      <c r="C492" s="11">
        <v>0</v>
      </c>
      <c r="D492" s="131" t="s">
        <v>2868</v>
      </c>
      <c r="E492" s="15">
        <v>5</v>
      </c>
      <c r="F492" s="15"/>
      <c r="G492" s="15"/>
      <c r="H492" s="56"/>
      <c r="I492" s="56">
        <f t="shared" si="14"/>
        <v>0</v>
      </c>
      <c r="J492" s="56">
        <f t="shared" si="15"/>
        <v>0</v>
      </c>
      <c r="K492" s="70" t="s">
        <v>84</v>
      </c>
    </row>
    <row r="493" spans="1:11" ht="25.5" hidden="1" customHeight="1">
      <c r="A493" s="11" t="s">
        <v>2877</v>
      </c>
      <c r="B493" s="11" t="s">
        <v>272</v>
      </c>
      <c r="C493" s="11">
        <v>0</v>
      </c>
      <c r="D493" s="131" t="s">
        <v>2868</v>
      </c>
      <c r="E493" s="15">
        <v>5</v>
      </c>
      <c r="F493" s="15"/>
      <c r="G493" s="15"/>
      <c r="H493" s="56">
        <v>80</v>
      </c>
      <c r="I493" s="56">
        <f t="shared" si="14"/>
        <v>92</v>
      </c>
      <c r="J493" s="56">
        <f t="shared" si="15"/>
        <v>104</v>
      </c>
      <c r="K493" s="70" t="s">
        <v>84</v>
      </c>
    </row>
    <row r="494" spans="1:11" ht="25.5" hidden="1" customHeight="1">
      <c r="A494" s="11">
        <v>4554</v>
      </c>
      <c r="B494" s="11" t="s">
        <v>371</v>
      </c>
      <c r="C494" s="2">
        <v>0</v>
      </c>
      <c r="D494" s="131" t="s">
        <v>2868</v>
      </c>
      <c r="E494" s="11">
        <v>4</v>
      </c>
      <c r="F494" s="11"/>
      <c r="G494" s="11"/>
      <c r="H494" s="56"/>
      <c r="I494" s="56">
        <f t="shared" si="14"/>
        <v>0</v>
      </c>
      <c r="J494" s="56">
        <f t="shared" si="15"/>
        <v>0</v>
      </c>
      <c r="K494" s="70" t="s">
        <v>84</v>
      </c>
    </row>
    <row r="495" spans="1:11" ht="25.5" hidden="1" customHeight="1">
      <c r="A495" s="34">
        <v>4559</v>
      </c>
      <c r="B495" s="11" t="s">
        <v>371</v>
      </c>
      <c r="C495" s="2">
        <v>0</v>
      </c>
      <c r="D495" s="131" t="s">
        <v>2868</v>
      </c>
      <c r="E495" s="11">
        <v>4</v>
      </c>
      <c r="F495" s="11"/>
      <c r="G495" s="11"/>
      <c r="H495" s="56">
        <v>25</v>
      </c>
      <c r="I495" s="56">
        <f t="shared" si="14"/>
        <v>28.749999999999996</v>
      </c>
      <c r="J495" s="56">
        <f t="shared" si="15"/>
        <v>32.5</v>
      </c>
      <c r="K495" s="70" t="s">
        <v>84</v>
      </c>
    </row>
    <row r="496" spans="1:11" ht="25.5" hidden="1" customHeight="1">
      <c r="A496" s="11" t="s">
        <v>2886</v>
      </c>
      <c r="B496" s="11" t="s">
        <v>2887</v>
      </c>
      <c r="C496" s="11">
        <v>0</v>
      </c>
      <c r="D496" s="131" t="s">
        <v>2882</v>
      </c>
      <c r="E496" s="11">
        <v>1</v>
      </c>
      <c r="F496" s="11"/>
      <c r="G496" s="11"/>
      <c r="H496" s="56"/>
      <c r="I496" s="56">
        <f t="shared" si="14"/>
        <v>0</v>
      </c>
      <c r="J496" s="56">
        <f t="shared" si="15"/>
        <v>0</v>
      </c>
      <c r="K496" s="70" t="s">
        <v>84</v>
      </c>
    </row>
    <row r="497" spans="1:11" ht="24.75" hidden="1" customHeight="1">
      <c r="A497" s="17" t="s">
        <v>2892</v>
      </c>
      <c r="B497" s="17" t="s">
        <v>27</v>
      </c>
      <c r="C497" s="17">
        <v>0</v>
      </c>
      <c r="D497" s="131" t="s">
        <v>2882</v>
      </c>
      <c r="E497" s="15">
        <v>1</v>
      </c>
      <c r="F497" s="15"/>
      <c r="G497" s="15"/>
      <c r="H497" s="56">
        <v>1.34</v>
      </c>
      <c r="I497" s="56">
        <f t="shared" si="14"/>
        <v>1.5409999999999999</v>
      </c>
      <c r="J497" s="56">
        <f t="shared" si="15"/>
        <v>1.7420000000000002</v>
      </c>
      <c r="K497" s="70" t="s">
        <v>84</v>
      </c>
    </row>
    <row r="498" spans="1:11" ht="14.4" hidden="1">
      <c r="A498" s="253" t="s">
        <v>2904</v>
      </c>
      <c r="B498" s="17" t="s">
        <v>21</v>
      </c>
      <c r="C498" s="17">
        <v>0</v>
      </c>
      <c r="D498" s="131" t="s">
        <v>2882</v>
      </c>
      <c r="E498" s="15">
        <v>2</v>
      </c>
      <c r="F498" s="15"/>
      <c r="G498" s="15"/>
      <c r="H498" s="57"/>
      <c r="I498" s="56">
        <f t="shared" si="14"/>
        <v>0</v>
      </c>
      <c r="J498" s="57">
        <f t="shared" si="15"/>
        <v>0</v>
      </c>
      <c r="K498" s="70" t="s">
        <v>84</v>
      </c>
    </row>
    <row r="499" spans="1:11" ht="25.5" hidden="1" customHeight="1">
      <c r="A499" s="253" t="s">
        <v>2906</v>
      </c>
      <c r="B499" s="17" t="s">
        <v>27</v>
      </c>
      <c r="C499" s="17">
        <v>0</v>
      </c>
      <c r="D499" s="131" t="s">
        <v>2882</v>
      </c>
      <c r="E499" s="15">
        <v>2</v>
      </c>
      <c r="F499" s="15"/>
      <c r="G499" s="15"/>
      <c r="H499" s="57"/>
      <c r="I499" s="56">
        <f t="shared" si="14"/>
        <v>0</v>
      </c>
      <c r="J499" s="57">
        <f t="shared" si="15"/>
        <v>0</v>
      </c>
      <c r="K499" s="70" t="s">
        <v>84</v>
      </c>
    </row>
    <row r="500" spans="1:11" ht="25.5" hidden="1" customHeight="1">
      <c r="A500" s="253" t="s">
        <v>190</v>
      </c>
      <c r="B500" s="17" t="s">
        <v>27</v>
      </c>
      <c r="C500" s="17">
        <v>0</v>
      </c>
      <c r="D500" s="131" t="s">
        <v>2882</v>
      </c>
      <c r="E500" s="15">
        <v>2</v>
      </c>
      <c r="F500" s="15"/>
      <c r="G500" s="15"/>
      <c r="H500" s="57"/>
      <c r="I500" s="56">
        <f t="shared" si="14"/>
        <v>0</v>
      </c>
      <c r="J500" s="57">
        <f t="shared" si="15"/>
        <v>0</v>
      </c>
      <c r="K500" s="70" t="s">
        <v>84</v>
      </c>
    </row>
    <row r="501" spans="1:11" ht="25.5" hidden="1" customHeight="1">
      <c r="A501" s="17" t="s">
        <v>244</v>
      </c>
      <c r="B501" s="17" t="s">
        <v>34</v>
      </c>
      <c r="C501" s="17">
        <v>0</v>
      </c>
      <c r="D501" s="131" t="s">
        <v>2882</v>
      </c>
      <c r="E501" s="15">
        <v>2</v>
      </c>
      <c r="F501" s="15"/>
      <c r="G501" s="15"/>
      <c r="H501" s="57"/>
      <c r="I501" s="56">
        <f t="shared" si="14"/>
        <v>0</v>
      </c>
      <c r="J501" s="57">
        <f t="shared" si="15"/>
        <v>0</v>
      </c>
      <c r="K501" s="70" t="s">
        <v>84</v>
      </c>
    </row>
    <row r="502" spans="1:11" ht="25.5" hidden="1" customHeight="1">
      <c r="A502" s="11" t="s">
        <v>1718</v>
      </c>
      <c r="B502" s="11" t="s">
        <v>1719</v>
      </c>
      <c r="C502" s="2">
        <v>0</v>
      </c>
      <c r="D502" s="131" t="s">
        <v>2882</v>
      </c>
      <c r="E502" s="11">
        <v>1</v>
      </c>
      <c r="F502" s="11"/>
      <c r="G502" s="11"/>
      <c r="H502" s="56">
        <v>100</v>
      </c>
      <c r="I502" s="56">
        <f t="shared" si="14"/>
        <v>114.99999999999999</v>
      </c>
      <c r="J502" s="56">
        <f t="shared" si="15"/>
        <v>130</v>
      </c>
      <c r="K502" s="70" t="s">
        <v>84</v>
      </c>
    </row>
    <row r="503" spans="1:11" ht="25.5" hidden="1" customHeight="1">
      <c r="A503" s="11" t="s">
        <v>2923</v>
      </c>
      <c r="B503" s="11" t="s">
        <v>1685</v>
      </c>
      <c r="C503" s="2">
        <v>0</v>
      </c>
      <c r="D503" s="131" t="s">
        <v>2882</v>
      </c>
      <c r="E503" s="11">
        <v>2</v>
      </c>
      <c r="F503" s="11"/>
      <c r="G503" s="11"/>
      <c r="H503" s="56">
        <v>150</v>
      </c>
      <c r="I503" s="56">
        <f t="shared" si="14"/>
        <v>172.5</v>
      </c>
      <c r="J503" s="56">
        <f t="shared" si="15"/>
        <v>195</v>
      </c>
      <c r="K503" s="70" t="s">
        <v>84</v>
      </c>
    </row>
    <row r="504" spans="1:11" ht="25.5" hidden="1" customHeight="1">
      <c r="A504" s="11" t="s">
        <v>1684</v>
      </c>
      <c r="B504" s="11" t="s">
        <v>1685</v>
      </c>
      <c r="C504" s="2">
        <v>0</v>
      </c>
      <c r="D504" s="131" t="s">
        <v>2882</v>
      </c>
      <c r="E504" s="11">
        <v>2</v>
      </c>
      <c r="F504" s="11"/>
      <c r="G504" s="11"/>
      <c r="H504" s="56"/>
      <c r="I504" s="56">
        <f t="shared" si="14"/>
        <v>0</v>
      </c>
      <c r="J504" s="56">
        <f t="shared" si="15"/>
        <v>0</v>
      </c>
      <c r="K504" s="70" t="s">
        <v>84</v>
      </c>
    </row>
    <row r="505" spans="1:11" ht="25.5" hidden="1" customHeight="1">
      <c r="A505" s="11" t="s">
        <v>194</v>
      </c>
      <c r="B505" s="11" t="s">
        <v>10</v>
      </c>
      <c r="C505" s="2">
        <v>0</v>
      </c>
      <c r="D505" s="131" t="s">
        <v>2882</v>
      </c>
      <c r="E505" s="11">
        <v>3</v>
      </c>
      <c r="F505" s="11"/>
      <c r="G505" s="11"/>
      <c r="H505" s="56"/>
      <c r="I505" s="56">
        <f t="shared" si="14"/>
        <v>0</v>
      </c>
      <c r="J505" s="56">
        <f t="shared" si="15"/>
        <v>0</v>
      </c>
      <c r="K505" s="70" t="s">
        <v>84</v>
      </c>
    </row>
    <row r="506" spans="1:11" ht="25.5" hidden="1" customHeight="1">
      <c r="A506" s="11" t="s">
        <v>248</v>
      </c>
      <c r="B506" s="11" t="s">
        <v>137</v>
      </c>
      <c r="C506" s="2">
        <v>0</v>
      </c>
      <c r="D506" s="131" t="s">
        <v>2882</v>
      </c>
      <c r="E506" s="11">
        <v>3</v>
      </c>
      <c r="F506" s="11"/>
      <c r="G506" s="11"/>
      <c r="H506" s="56"/>
      <c r="I506" s="56">
        <f t="shared" si="14"/>
        <v>0</v>
      </c>
      <c r="J506" s="56">
        <f t="shared" si="15"/>
        <v>0</v>
      </c>
      <c r="K506" s="70" t="s">
        <v>84</v>
      </c>
    </row>
    <row r="507" spans="1:11" ht="25.5" hidden="1" customHeight="1">
      <c r="A507" s="11">
        <v>7586395</v>
      </c>
      <c r="B507" s="11" t="s">
        <v>34</v>
      </c>
      <c r="C507" s="2">
        <v>0</v>
      </c>
      <c r="D507" s="131" t="s">
        <v>2882</v>
      </c>
      <c r="E507" s="10">
        <v>3</v>
      </c>
      <c r="F507" s="10"/>
      <c r="G507" s="10"/>
      <c r="H507" s="56">
        <v>80</v>
      </c>
      <c r="I507" s="56">
        <f t="shared" si="14"/>
        <v>92</v>
      </c>
      <c r="J507" s="56">
        <f t="shared" si="15"/>
        <v>104</v>
      </c>
      <c r="K507" s="70" t="s">
        <v>84</v>
      </c>
    </row>
    <row r="508" spans="1:11" ht="25.5" hidden="1" customHeight="1">
      <c r="A508" s="194" t="s">
        <v>1419</v>
      </c>
      <c r="B508" s="34" t="s">
        <v>83</v>
      </c>
      <c r="C508" s="2">
        <v>0</v>
      </c>
      <c r="D508" s="15" t="s">
        <v>2918</v>
      </c>
      <c r="E508" s="11">
        <v>1</v>
      </c>
      <c r="F508" s="11"/>
      <c r="G508" s="11"/>
      <c r="H508" s="56">
        <v>200</v>
      </c>
      <c r="I508" s="56">
        <f t="shared" si="14"/>
        <v>229.99999999999997</v>
      </c>
      <c r="J508" s="56">
        <f t="shared" si="15"/>
        <v>260</v>
      </c>
      <c r="K508" s="70" t="s">
        <v>84</v>
      </c>
    </row>
    <row r="509" spans="1:11" ht="25.5" hidden="1" customHeight="1">
      <c r="A509" s="3" t="s">
        <v>2937</v>
      </c>
      <c r="B509" s="3" t="s">
        <v>10</v>
      </c>
      <c r="C509" s="3">
        <v>0</v>
      </c>
      <c r="D509" s="15" t="s">
        <v>2918</v>
      </c>
      <c r="E509" s="11">
        <v>1</v>
      </c>
      <c r="F509" s="11"/>
      <c r="G509" s="11"/>
      <c r="H509" s="56"/>
      <c r="I509" s="56">
        <f t="shared" si="14"/>
        <v>0</v>
      </c>
      <c r="J509" s="56">
        <f t="shared" si="15"/>
        <v>0</v>
      </c>
      <c r="K509" s="70" t="s">
        <v>84</v>
      </c>
    </row>
    <row r="510" spans="1:11" ht="25.5" hidden="1" customHeight="1">
      <c r="A510" s="33" t="s">
        <v>2950</v>
      </c>
      <c r="B510" s="33" t="s">
        <v>10</v>
      </c>
      <c r="C510" s="33">
        <v>0</v>
      </c>
      <c r="D510" s="71" t="s">
        <v>2947</v>
      </c>
      <c r="E510" s="33">
        <v>3</v>
      </c>
      <c r="F510" s="33"/>
      <c r="G510" s="33"/>
      <c r="H510" s="56"/>
      <c r="I510" s="56">
        <f t="shared" si="14"/>
        <v>0</v>
      </c>
      <c r="J510" s="56">
        <f t="shared" si="15"/>
        <v>0</v>
      </c>
      <c r="K510" s="70" t="s">
        <v>84</v>
      </c>
    </row>
    <row r="511" spans="1:11" ht="25.5" hidden="1" customHeight="1">
      <c r="A511" s="33" t="s">
        <v>2951</v>
      </c>
      <c r="B511" s="33" t="s">
        <v>10</v>
      </c>
      <c r="C511" s="33">
        <v>0</v>
      </c>
      <c r="D511" s="71" t="s">
        <v>2947</v>
      </c>
      <c r="E511" s="33">
        <v>3</v>
      </c>
      <c r="F511" s="33"/>
      <c r="G511" s="33"/>
      <c r="H511" s="56"/>
      <c r="I511" s="56">
        <f t="shared" si="14"/>
        <v>0</v>
      </c>
      <c r="J511" s="56">
        <f t="shared" si="15"/>
        <v>0</v>
      </c>
      <c r="K511" s="70" t="s">
        <v>84</v>
      </c>
    </row>
    <row r="512" spans="1:11" ht="25.5" hidden="1" customHeight="1">
      <c r="A512" s="33" t="s">
        <v>2403</v>
      </c>
      <c r="B512" s="33" t="s">
        <v>10</v>
      </c>
      <c r="C512" s="33">
        <v>0</v>
      </c>
      <c r="D512" s="71" t="s">
        <v>2947</v>
      </c>
      <c r="E512" s="33">
        <v>3</v>
      </c>
      <c r="F512" s="33"/>
      <c r="G512" s="33"/>
      <c r="H512" s="56"/>
      <c r="I512" s="56">
        <f t="shared" si="14"/>
        <v>0</v>
      </c>
      <c r="J512" s="56">
        <f t="shared" si="15"/>
        <v>0</v>
      </c>
      <c r="K512" s="70" t="s">
        <v>84</v>
      </c>
    </row>
    <row r="513" spans="1:11" ht="25.5" hidden="1" customHeight="1">
      <c r="A513" s="33" t="s">
        <v>2807</v>
      </c>
      <c r="B513" s="33" t="s">
        <v>3026</v>
      </c>
      <c r="C513" s="33">
        <v>0</v>
      </c>
      <c r="D513" s="33" t="s">
        <v>3027</v>
      </c>
      <c r="E513" s="33">
        <v>1</v>
      </c>
      <c r="F513" s="33"/>
      <c r="G513" s="33"/>
      <c r="H513" s="57" t="s">
        <v>3028</v>
      </c>
      <c r="I513" s="56" t="e">
        <f t="shared" si="14"/>
        <v>#VALUE!</v>
      </c>
      <c r="J513" s="57" t="e">
        <f t="shared" si="15"/>
        <v>#VALUE!</v>
      </c>
      <c r="K513" s="70" t="s">
        <v>84</v>
      </c>
    </row>
    <row r="514" spans="1:11" ht="25.5" hidden="1" customHeight="1">
      <c r="A514" s="33" t="s">
        <v>2803</v>
      </c>
      <c r="B514" s="33" t="s">
        <v>41</v>
      </c>
      <c r="C514" s="2">
        <v>0</v>
      </c>
      <c r="D514" s="33" t="s">
        <v>3027</v>
      </c>
      <c r="E514" s="33">
        <v>1</v>
      </c>
      <c r="F514" s="33"/>
      <c r="G514" s="33"/>
      <c r="H514" s="56"/>
      <c r="I514" s="56">
        <f t="shared" ref="I514:I577" si="16">H514 * 1.15</f>
        <v>0</v>
      </c>
      <c r="J514" s="56">
        <f t="shared" ref="J514:J577" si="17">H514 * 1.3</f>
        <v>0</v>
      </c>
      <c r="K514" s="70" t="s">
        <v>84</v>
      </c>
    </row>
    <row r="515" spans="1:11" ht="25.5" hidden="1" customHeight="1">
      <c r="A515" s="33" t="s">
        <v>3061</v>
      </c>
      <c r="B515" s="33" t="s">
        <v>3062</v>
      </c>
      <c r="C515" s="2">
        <v>0</v>
      </c>
      <c r="D515" s="33" t="s">
        <v>3027</v>
      </c>
      <c r="E515" s="33">
        <v>1</v>
      </c>
      <c r="F515" s="33"/>
      <c r="G515" s="33"/>
      <c r="H515" s="56"/>
      <c r="I515" s="56">
        <f t="shared" si="16"/>
        <v>0</v>
      </c>
      <c r="J515" s="56">
        <f t="shared" si="17"/>
        <v>0</v>
      </c>
      <c r="K515" s="70" t="s">
        <v>84</v>
      </c>
    </row>
    <row r="516" spans="1:11" ht="25.5" hidden="1" customHeight="1">
      <c r="A516" s="33" t="s">
        <v>3063</v>
      </c>
      <c r="B516" s="33" t="s">
        <v>3064</v>
      </c>
      <c r="C516" s="2">
        <v>0</v>
      </c>
      <c r="D516" s="33" t="s">
        <v>3027</v>
      </c>
      <c r="E516" s="33">
        <v>1</v>
      </c>
      <c r="F516" s="33"/>
      <c r="G516" s="33"/>
      <c r="H516" s="56"/>
      <c r="I516" s="56">
        <f t="shared" si="16"/>
        <v>0</v>
      </c>
      <c r="J516" s="56">
        <f t="shared" si="17"/>
        <v>0</v>
      </c>
      <c r="K516" s="70" t="s">
        <v>84</v>
      </c>
    </row>
    <row r="517" spans="1:11" ht="25.5" hidden="1" customHeight="1">
      <c r="A517" s="33" t="s">
        <v>2833</v>
      </c>
      <c r="B517" s="33" t="s">
        <v>43</v>
      </c>
      <c r="C517" s="2">
        <v>0</v>
      </c>
      <c r="D517" s="33" t="s">
        <v>3027</v>
      </c>
      <c r="E517" s="33">
        <v>1</v>
      </c>
      <c r="F517" s="33"/>
      <c r="G517" s="33"/>
      <c r="H517" s="56"/>
      <c r="I517" s="56">
        <f t="shared" si="16"/>
        <v>0</v>
      </c>
      <c r="J517" s="56">
        <f t="shared" si="17"/>
        <v>0</v>
      </c>
      <c r="K517" s="70" t="s">
        <v>84</v>
      </c>
    </row>
    <row r="518" spans="1:11" ht="25.5" hidden="1" customHeight="1">
      <c r="A518" s="59" t="s">
        <v>3065</v>
      </c>
      <c r="B518" s="59" t="s">
        <v>3066</v>
      </c>
      <c r="C518" s="2">
        <v>0</v>
      </c>
      <c r="D518" s="33" t="s">
        <v>3027</v>
      </c>
      <c r="E518" s="33">
        <v>1</v>
      </c>
      <c r="F518" s="33"/>
      <c r="G518" s="33"/>
      <c r="H518" s="56"/>
      <c r="I518" s="56">
        <f t="shared" si="16"/>
        <v>0</v>
      </c>
      <c r="J518" s="56">
        <f t="shared" si="17"/>
        <v>0</v>
      </c>
      <c r="K518" s="70" t="s">
        <v>84</v>
      </c>
    </row>
    <row r="519" spans="1:11" ht="25.5" hidden="1" customHeight="1">
      <c r="A519" s="59" t="s">
        <v>2804</v>
      </c>
      <c r="B519" s="59" t="s">
        <v>2290</v>
      </c>
      <c r="C519" s="2">
        <v>0</v>
      </c>
      <c r="D519" s="33" t="s">
        <v>3027</v>
      </c>
      <c r="E519" s="33">
        <v>1</v>
      </c>
      <c r="F519" s="33"/>
      <c r="G519" s="33"/>
      <c r="H519" s="56"/>
      <c r="I519" s="56">
        <f t="shared" si="16"/>
        <v>0</v>
      </c>
      <c r="J519" s="56">
        <f t="shared" si="17"/>
        <v>0</v>
      </c>
      <c r="K519" s="70" t="s">
        <v>84</v>
      </c>
    </row>
    <row r="520" spans="1:11" ht="25.5" hidden="1" customHeight="1">
      <c r="A520" s="59" t="s">
        <v>2805</v>
      </c>
      <c r="B520" s="59" t="s">
        <v>27</v>
      </c>
      <c r="C520" s="2">
        <v>0</v>
      </c>
      <c r="D520" s="33" t="s">
        <v>3027</v>
      </c>
      <c r="E520" s="33">
        <v>1</v>
      </c>
      <c r="F520" s="33"/>
      <c r="G520" s="33"/>
      <c r="H520" s="56"/>
      <c r="I520" s="56">
        <f t="shared" si="16"/>
        <v>0</v>
      </c>
      <c r="J520" s="56">
        <f t="shared" si="17"/>
        <v>0</v>
      </c>
      <c r="K520" s="70" t="s">
        <v>84</v>
      </c>
    </row>
    <row r="521" spans="1:11" ht="25.5" hidden="1" customHeight="1">
      <c r="A521" s="59" t="s">
        <v>2806</v>
      </c>
      <c r="B521" s="59" t="s">
        <v>23</v>
      </c>
      <c r="C521" s="2">
        <v>0</v>
      </c>
      <c r="D521" s="33" t="s">
        <v>3027</v>
      </c>
      <c r="E521" s="33">
        <v>1</v>
      </c>
      <c r="F521" s="33"/>
      <c r="G521" s="33"/>
      <c r="H521" s="56"/>
      <c r="I521" s="56">
        <f t="shared" si="16"/>
        <v>0</v>
      </c>
      <c r="J521" s="56">
        <f t="shared" si="17"/>
        <v>0</v>
      </c>
      <c r="K521" s="70" t="s">
        <v>84</v>
      </c>
    </row>
    <row r="522" spans="1:11" ht="25.5" hidden="1" customHeight="1">
      <c r="A522" s="59" t="s">
        <v>1984</v>
      </c>
      <c r="B522" s="59" t="s">
        <v>10</v>
      </c>
      <c r="C522" s="2">
        <v>0</v>
      </c>
      <c r="D522" s="33" t="s">
        <v>3027</v>
      </c>
      <c r="E522" s="33">
        <v>1</v>
      </c>
      <c r="F522" s="33"/>
      <c r="G522" s="33"/>
      <c r="H522" s="56"/>
      <c r="I522" s="56">
        <f t="shared" si="16"/>
        <v>0</v>
      </c>
      <c r="J522" s="56">
        <f t="shared" si="17"/>
        <v>0</v>
      </c>
      <c r="K522" s="70" t="s">
        <v>84</v>
      </c>
    </row>
    <row r="523" spans="1:11" ht="25.5" hidden="1" customHeight="1">
      <c r="A523" s="59" t="s">
        <v>3067</v>
      </c>
      <c r="B523" s="59" t="s">
        <v>2808</v>
      </c>
      <c r="C523" s="2">
        <v>0</v>
      </c>
      <c r="D523" s="33" t="s">
        <v>3027</v>
      </c>
      <c r="E523" s="33">
        <v>1</v>
      </c>
      <c r="F523" s="33"/>
      <c r="G523" s="33"/>
      <c r="H523" s="56"/>
      <c r="I523" s="56">
        <f t="shared" si="16"/>
        <v>0</v>
      </c>
      <c r="J523" s="56">
        <f t="shared" si="17"/>
        <v>0</v>
      </c>
      <c r="K523" s="70" t="s">
        <v>84</v>
      </c>
    </row>
    <row r="524" spans="1:11" ht="25.5" hidden="1" customHeight="1">
      <c r="A524" s="59" t="s">
        <v>3029</v>
      </c>
      <c r="B524" s="59" t="s">
        <v>3041</v>
      </c>
      <c r="C524" s="2">
        <v>0</v>
      </c>
      <c r="D524" s="33" t="s">
        <v>3027</v>
      </c>
      <c r="E524" s="33">
        <v>1</v>
      </c>
      <c r="F524" s="33"/>
      <c r="G524" s="33"/>
      <c r="H524" s="56"/>
      <c r="I524" s="56">
        <f t="shared" si="16"/>
        <v>0</v>
      </c>
      <c r="J524" s="56">
        <f t="shared" si="17"/>
        <v>0</v>
      </c>
      <c r="K524" s="70" t="s">
        <v>84</v>
      </c>
    </row>
    <row r="525" spans="1:11" ht="25.5" hidden="1" customHeight="1">
      <c r="A525" s="59" t="s">
        <v>1432</v>
      </c>
      <c r="B525" s="59" t="s">
        <v>2809</v>
      </c>
      <c r="C525" s="2">
        <v>0</v>
      </c>
      <c r="D525" s="33" t="s">
        <v>3027</v>
      </c>
      <c r="E525" s="33">
        <v>1</v>
      </c>
      <c r="F525" s="33"/>
      <c r="G525" s="33"/>
      <c r="H525" s="56"/>
      <c r="I525" s="56">
        <f t="shared" si="16"/>
        <v>0</v>
      </c>
      <c r="J525" s="56">
        <f t="shared" si="17"/>
        <v>0</v>
      </c>
      <c r="K525" s="70" t="s">
        <v>84</v>
      </c>
    </row>
    <row r="526" spans="1:11" ht="25.5" hidden="1" customHeight="1">
      <c r="A526" s="59" t="s">
        <v>1020</v>
      </c>
      <c r="B526" s="59" t="s">
        <v>10</v>
      </c>
      <c r="C526" s="2">
        <v>0</v>
      </c>
      <c r="D526" s="33" t="s">
        <v>3027</v>
      </c>
      <c r="E526" s="33">
        <v>1</v>
      </c>
      <c r="F526" s="33"/>
      <c r="G526" s="33"/>
      <c r="H526" s="56"/>
      <c r="I526" s="56">
        <f t="shared" si="16"/>
        <v>0</v>
      </c>
      <c r="J526" s="56">
        <f t="shared" si="17"/>
        <v>0</v>
      </c>
      <c r="K526" s="70" t="s">
        <v>84</v>
      </c>
    </row>
    <row r="527" spans="1:11" ht="25.5" hidden="1" customHeight="1">
      <c r="A527" s="59" t="s">
        <v>2953</v>
      </c>
      <c r="B527" s="59" t="s">
        <v>10</v>
      </c>
      <c r="C527" s="2">
        <v>0</v>
      </c>
      <c r="D527" s="33" t="s">
        <v>3027</v>
      </c>
      <c r="E527" s="33">
        <v>1</v>
      </c>
      <c r="F527" s="33"/>
      <c r="G527" s="33"/>
      <c r="H527" s="56">
        <v>10</v>
      </c>
      <c r="I527" s="56">
        <f t="shared" si="16"/>
        <v>11.5</v>
      </c>
      <c r="J527" s="56">
        <f t="shared" si="17"/>
        <v>13</v>
      </c>
      <c r="K527" s="70" t="s">
        <v>84</v>
      </c>
    </row>
    <row r="528" spans="1:11" ht="25.5" hidden="1" customHeight="1">
      <c r="A528" s="59" t="s">
        <v>2182</v>
      </c>
      <c r="B528" s="59" t="s">
        <v>10</v>
      </c>
      <c r="C528" s="2">
        <v>0</v>
      </c>
      <c r="D528" s="33" t="s">
        <v>3027</v>
      </c>
      <c r="E528" s="33">
        <v>1</v>
      </c>
      <c r="F528" s="33"/>
      <c r="G528" s="33"/>
      <c r="H528" s="56"/>
      <c r="I528" s="56">
        <f t="shared" si="16"/>
        <v>0</v>
      </c>
      <c r="J528" s="56">
        <f t="shared" si="17"/>
        <v>0</v>
      </c>
      <c r="K528" s="70" t="s">
        <v>84</v>
      </c>
    </row>
    <row r="529" spans="1:11" ht="25.5" hidden="1" customHeight="1">
      <c r="A529" s="59" t="s">
        <v>2810</v>
      </c>
      <c r="B529" s="59" t="s">
        <v>10</v>
      </c>
      <c r="C529" s="2">
        <v>0</v>
      </c>
      <c r="D529" s="33" t="s">
        <v>3027</v>
      </c>
      <c r="E529" s="33">
        <v>1</v>
      </c>
      <c r="F529" s="33"/>
      <c r="G529" s="33"/>
      <c r="H529" s="56"/>
      <c r="I529" s="56">
        <f t="shared" si="16"/>
        <v>0</v>
      </c>
      <c r="J529" s="56">
        <f t="shared" si="17"/>
        <v>0</v>
      </c>
      <c r="K529" s="70" t="s">
        <v>84</v>
      </c>
    </row>
    <row r="530" spans="1:11" ht="25.5" hidden="1" customHeight="1">
      <c r="A530" s="59" t="s">
        <v>2113</v>
      </c>
      <c r="B530" s="59" t="s">
        <v>10</v>
      </c>
      <c r="C530" s="2">
        <v>0</v>
      </c>
      <c r="D530" s="33" t="s">
        <v>3027</v>
      </c>
      <c r="E530" s="33">
        <v>1</v>
      </c>
      <c r="F530" s="33"/>
      <c r="G530" s="33"/>
      <c r="H530" s="56">
        <v>6</v>
      </c>
      <c r="I530" s="56">
        <f t="shared" si="16"/>
        <v>6.8999999999999995</v>
      </c>
      <c r="J530" s="56">
        <f t="shared" si="17"/>
        <v>7.8000000000000007</v>
      </c>
      <c r="K530" s="70" t="s">
        <v>84</v>
      </c>
    </row>
    <row r="531" spans="1:11" ht="25.5" hidden="1" customHeight="1">
      <c r="A531" s="59" t="s">
        <v>2579</v>
      </c>
      <c r="B531" s="59" t="s">
        <v>10</v>
      </c>
      <c r="C531" s="2">
        <v>0</v>
      </c>
      <c r="D531" s="33" t="s">
        <v>3027</v>
      </c>
      <c r="E531" s="33">
        <v>1</v>
      </c>
      <c r="F531" s="33"/>
      <c r="G531" s="33"/>
      <c r="H531" s="56"/>
      <c r="I531" s="56">
        <f t="shared" si="16"/>
        <v>0</v>
      </c>
      <c r="J531" s="56">
        <f t="shared" si="17"/>
        <v>0</v>
      </c>
      <c r="K531" s="70" t="s">
        <v>84</v>
      </c>
    </row>
    <row r="532" spans="1:11" ht="25.5" hidden="1" customHeight="1">
      <c r="A532" s="59" t="s">
        <v>419</v>
      </c>
      <c r="B532" s="59" t="s">
        <v>10</v>
      </c>
      <c r="C532" s="2">
        <v>0</v>
      </c>
      <c r="D532" s="33" t="s">
        <v>3027</v>
      </c>
      <c r="E532" s="33">
        <v>1</v>
      </c>
      <c r="F532" s="33"/>
      <c r="G532" s="33"/>
      <c r="H532" s="56">
        <v>1</v>
      </c>
      <c r="I532" s="56">
        <f t="shared" si="16"/>
        <v>1.1499999999999999</v>
      </c>
      <c r="J532" s="56">
        <f t="shared" si="17"/>
        <v>1.3</v>
      </c>
      <c r="K532" s="70" t="s">
        <v>84</v>
      </c>
    </row>
    <row r="533" spans="1:11" ht="25.5" hidden="1" customHeight="1">
      <c r="A533" s="59" t="s">
        <v>2576</v>
      </c>
      <c r="B533" s="59" t="s">
        <v>10</v>
      </c>
      <c r="C533" s="2">
        <v>0</v>
      </c>
      <c r="D533" s="33" t="s">
        <v>3027</v>
      </c>
      <c r="E533" s="33">
        <v>1</v>
      </c>
      <c r="F533" s="33"/>
      <c r="G533" s="33"/>
      <c r="H533" s="56">
        <v>3</v>
      </c>
      <c r="I533" s="56">
        <f t="shared" si="16"/>
        <v>3.4499999999999997</v>
      </c>
      <c r="J533" s="56">
        <f t="shared" si="17"/>
        <v>3.9000000000000004</v>
      </c>
      <c r="K533" s="70" t="s">
        <v>84</v>
      </c>
    </row>
    <row r="534" spans="1:11" ht="25.5" hidden="1" customHeight="1">
      <c r="A534" s="59" t="s">
        <v>2811</v>
      </c>
      <c r="B534" s="59" t="s">
        <v>485</v>
      </c>
      <c r="C534" s="2">
        <v>0</v>
      </c>
      <c r="D534" s="33" t="s">
        <v>3027</v>
      </c>
      <c r="E534" s="33">
        <v>1</v>
      </c>
      <c r="F534" s="33"/>
      <c r="G534" s="33"/>
      <c r="H534" s="56">
        <v>95</v>
      </c>
      <c r="I534" s="56">
        <f t="shared" si="16"/>
        <v>109.24999999999999</v>
      </c>
      <c r="J534" s="56">
        <f t="shared" si="17"/>
        <v>123.5</v>
      </c>
      <c r="K534" s="70" t="s">
        <v>84</v>
      </c>
    </row>
    <row r="535" spans="1:11" ht="25.5" hidden="1" customHeight="1">
      <c r="A535" s="59" t="s">
        <v>2812</v>
      </c>
      <c r="B535" s="59" t="s">
        <v>1926</v>
      </c>
      <c r="C535" s="2">
        <v>0</v>
      </c>
      <c r="D535" s="33" t="s">
        <v>3027</v>
      </c>
      <c r="E535" s="33">
        <v>1</v>
      </c>
      <c r="F535" s="33"/>
      <c r="G535" s="33"/>
      <c r="H535" s="56"/>
      <c r="I535" s="56">
        <f t="shared" si="16"/>
        <v>0</v>
      </c>
      <c r="J535" s="56">
        <f t="shared" si="17"/>
        <v>0</v>
      </c>
      <c r="K535" s="70" t="s">
        <v>84</v>
      </c>
    </row>
    <row r="536" spans="1:11" ht="25.5" hidden="1" customHeight="1">
      <c r="A536" s="59" t="s">
        <v>2832</v>
      </c>
      <c r="B536" s="59" t="s">
        <v>43</v>
      </c>
      <c r="C536" s="2">
        <v>0</v>
      </c>
      <c r="D536" s="33" t="s">
        <v>3027</v>
      </c>
      <c r="E536" s="33">
        <v>1</v>
      </c>
      <c r="F536" s="33"/>
      <c r="G536" s="33"/>
      <c r="H536" s="56"/>
      <c r="I536" s="56">
        <f t="shared" si="16"/>
        <v>0</v>
      </c>
      <c r="J536" s="56">
        <f t="shared" si="17"/>
        <v>0</v>
      </c>
      <c r="K536" s="70" t="s">
        <v>84</v>
      </c>
    </row>
    <row r="537" spans="1:11" ht="25.5" hidden="1" customHeight="1">
      <c r="A537" s="59" t="s">
        <v>2813</v>
      </c>
      <c r="B537" s="59" t="s">
        <v>10</v>
      </c>
      <c r="C537" s="2">
        <v>0</v>
      </c>
      <c r="D537" s="33" t="s">
        <v>3027</v>
      </c>
      <c r="E537" s="33">
        <v>1</v>
      </c>
      <c r="F537" s="33"/>
      <c r="G537" s="33"/>
      <c r="H537" s="56"/>
      <c r="I537" s="56">
        <f t="shared" si="16"/>
        <v>0</v>
      </c>
      <c r="J537" s="56">
        <f t="shared" si="17"/>
        <v>0</v>
      </c>
      <c r="K537" s="70" t="s">
        <v>84</v>
      </c>
    </row>
    <row r="538" spans="1:11" ht="25.5" hidden="1" customHeight="1">
      <c r="A538" s="59" t="s">
        <v>1824</v>
      </c>
      <c r="B538" s="59" t="s">
        <v>10</v>
      </c>
      <c r="C538" s="2">
        <v>0</v>
      </c>
      <c r="D538" s="33" t="s">
        <v>3027</v>
      </c>
      <c r="E538" s="33">
        <v>1</v>
      </c>
      <c r="F538" s="33"/>
      <c r="G538" s="33"/>
      <c r="H538" s="56">
        <v>1</v>
      </c>
      <c r="I538" s="56">
        <f t="shared" si="16"/>
        <v>1.1499999999999999</v>
      </c>
      <c r="J538" s="56">
        <f t="shared" si="17"/>
        <v>1.3</v>
      </c>
      <c r="K538" s="70" t="s">
        <v>84</v>
      </c>
    </row>
    <row r="539" spans="1:11" ht="25.5" hidden="1" customHeight="1">
      <c r="A539" s="59" t="s">
        <v>2814</v>
      </c>
      <c r="B539" s="59" t="s">
        <v>21</v>
      </c>
      <c r="C539" s="2">
        <v>0</v>
      </c>
      <c r="D539" s="33" t="s">
        <v>3027</v>
      </c>
      <c r="E539" s="33">
        <v>1</v>
      </c>
      <c r="F539" s="33"/>
      <c r="G539" s="33"/>
      <c r="H539" s="56"/>
      <c r="I539" s="56">
        <f t="shared" si="16"/>
        <v>0</v>
      </c>
      <c r="J539" s="56">
        <f t="shared" si="17"/>
        <v>0</v>
      </c>
      <c r="K539" s="70" t="s">
        <v>84</v>
      </c>
    </row>
    <row r="540" spans="1:11" ht="25.5" hidden="1" customHeight="1">
      <c r="A540" s="59" t="s">
        <v>2815</v>
      </c>
      <c r="B540" s="59" t="s">
        <v>41</v>
      </c>
      <c r="C540" s="2">
        <v>0</v>
      </c>
      <c r="D540" s="33" t="s">
        <v>3027</v>
      </c>
      <c r="E540" s="33">
        <v>1</v>
      </c>
      <c r="F540" s="33"/>
      <c r="G540" s="33"/>
      <c r="H540" s="56"/>
      <c r="I540" s="56">
        <f t="shared" si="16"/>
        <v>0</v>
      </c>
      <c r="J540" s="56">
        <f t="shared" si="17"/>
        <v>0</v>
      </c>
      <c r="K540" s="70" t="s">
        <v>84</v>
      </c>
    </row>
    <row r="541" spans="1:11" ht="25.5" hidden="1" customHeight="1">
      <c r="A541" s="59" t="s">
        <v>2816</v>
      </c>
      <c r="B541" s="59" t="s">
        <v>41</v>
      </c>
      <c r="C541" s="2">
        <v>0</v>
      </c>
      <c r="D541" s="33" t="s">
        <v>3027</v>
      </c>
      <c r="E541" s="33">
        <v>1</v>
      </c>
      <c r="F541" s="33"/>
      <c r="G541" s="33"/>
      <c r="H541" s="56"/>
      <c r="I541" s="56">
        <f t="shared" si="16"/>
        <v>0</v>
      </c>
      <c r="J541" s="56">
        <f t="shared" si="17"/>
        <v>0</v>
      </c>
      <c r="K541" s="70" t="s">
        <v>84</v>
      </c>
    </row>
    <row r="542" spans="1:11" ht="25.5" hidden="1" customHeight="1">
      <c r="A542" s="59" t="s">
        <v>768</v>
      </c>
      <c r="B542" s="59" t="s">
        <v>19</v>
      </c>
      <c r="C542" s="2">
        <v>0</v>
      </c>
      <c r="D542" s="33" t="s">
        <v>3027</v>
      </c>
      <c r="E542" s="33">
        <v>1</v>
      </c>
      <c r="F542" s="33"/>
      <c r="G542" s="33"/>
      <c r="H542" s="56"/>
      <c r="I542" s="56">
        <f t="shared" si="16"/>
        <v>0</v>
      </c>
      <c r="J542" s="56">
        <f t="shared" si="17"/>
        <v>0</v>
      </c>
      <c r="K542" s="70" t="s">
        <v>84</v>
      </c>
    </row>
    <row r="543" spans="1:11" ht="25.5" hidden="1" customHeight="1">
      <c r="A543" s="59" t="s">
        <v>2817</v>
      </c>
      <c r="B543" s="59" t="s">
        <v>1926</v>
      </c>
      <c r="C543" s="2">
        <v>0</v>
      </c>
      <c r="D543" s="33" t="s">
        <v>3027</v>
      </c>
      <c r="E543" s="33">
        <v>1</v>
      </c>
      <c r="F543" s="33"/>
      <c r="G543" s="33"/>
      <c r="H543" s="56"/>
      <c r="I543" s="56">
        <f t="shared" si="16"/>
        <v>0</v>
      </c>
      <c r="J543" s="56">
        <f t="shared" si="17"/>
        <v>0</v>
      </c>
      <c r="K543" s="70" t="s">
        <v>84</v>
      </c>
    </row>
    <row r="544" spans="1:11" ht="25.5" hidden="1" customHeight="1">
      <c r="A544" s="59">
        <v>7732</v>
      </c>
      <c r="B544" s="59" t="s">
        <v>371</v>
      </c>
      <c r="C544" s="2">
        <v>0</v>
      </c>
      <c r="D544" s="33" t="s">
        <v>3027</v>
      </c>
      <c r="E544" s="33">
        <v>1</v>
      </c>
      <c r="F544" s="33"/>
      <c r="G544" s="33"/>
      <c r="H544" s="56"/>
      <c r="I544" s="56">
        <f t="shared" si="16"/>
        <v>0</v>
      </c>
      <c r="J544" s="56">
        <f t="shared" si="17"/>
        <v>0</v>
      </c>
      <c r="K544" s="70" t="s">
        <v>84</v>
      </c>
    </row>
    <row r="545" spans="1:11" ht="25.5" hidden="1" customHeight="1">
      <c r="A545" s="59" t="s">
        <v>2818</v>
      </c>
      <c r="B545" s="59" t="s">
        <v>41</v>
      </c>
      <c r="C545" s="2">
        <v>0</v>
      </c>
      <c r="D545" s="33" t="s">
        <v>3027</v>
      </c>
      <c r="E545" s="33">
        <v>1</v>
      </c>
      <c r="F545" s="33"/>
      <c r="G545" s="33"/>
      <c r="H545" s="56"/>
      <c r="I545" s="56">
        <f t="shared" si="16"/>
        <v>0</v>
      </c>
      <c r="J545" s="56">
        <f t="shared" si="17"/>
        <v>0</v>
      </c>
      <c r="K545" s="70" t="s">
        <v>84</v>
      </c>
    </row>
    <row r="546" spans="1:11" ht="25.5" hidden="1" customHeight="1">
      <c r="A546" s="59">
        <v>28400104</v>
      </c>
      <c r="B546" s="59" t="s">
        <v>83</v>
      </c>
      <c r="C546" s="2">
        <v>0</v>
      </c>
      <c r="D546" s="33" t="s">
        <v>3027</v>
      </c>
      <c r="E546" s="33">
        <v>1</v>
      </c>
      <c r="F546" s="33"/>
      <c r="G546" s="33"/>
      <c r="H546" s="56"/>
      <c r="I546" s="56">
        <f t="shared" si="16"/>
        <v>0</v>
      </c>
      <c r="J546" s="56">
        <f t="shared" si="17"/>
        <v>0</v>
      </c>
      <c r="K546" s="70" t="s">
        <v>84</v>
      </c>
    </row>
    <row r="547" spans="1:11" ht="25.5" hidden="1" customHeight="1">
      <c r="A547" s="59" t="s">
        <v>2819</v>
      </c>
      <c r="B547" s="59" t="s">
        <v>19</v>
      </c>
      <c r="C547" s="2">
        <v>0</v>
      </c>
      <c r="D547" s="33" t="s">
        <v>3027</v>
      </c>
      <c r="E547" s="33">
        <v>1</v>
      </c>
      <c r="F547" s="33"/>
      <c r="G547" s="33"/>
      <c r="H547" s="56">
        <v>6</v>
      </c>
      <c r="I547" s="56">
        <f t="shared" si="16"/>
        <v>6.8999999999999995</v>
      </c>
      <c r="J547" s="56">
        <f t="shared" si="17"/>
        <v>7.8000000000000007</v>
      </c>
      <c r="K547" s="70" t="s">
        <v>84</v>
      </c>
    </row>
    <row r="548" spans="1:11" ht="25.5" hidden="1" customHeight="1">
      <c r="A548" s="59" t="s">
        <v>2820</v>
      </c>
      <c r="B548" s="59" t="s">
        <v>19</v>
      </c>
      <c r="C548" s="2">
        <v>0</v>
      </c>
      <c r="D548" s="33" t="s">
        <v>3027</v>
      </c>
      <c r="E548" s="33">
        <v>1</v>
      </c>
      <c r="F548" s="33"/>
      <c r="G548" s="33"/>
      <c r="H548" s="56"/>
      <c r="I548" s="56">
        <f t="shared" si="16"/>
        <v>0</v>
      </c>
      <c r="J548" s="56">
        <f t="shared" si="17"/>
        <v>0</v>
      </c>
      <c r="K548" s="70" t="s">
        <v>84</v>
      </c>
    </row>
    <row r="549" spans="1:11" ht="25.5" hidden="1" customHeight="1">
      <c r="A549" s="59" t="s">
        <v>2834</v>
      </c>
      <c r="B549" s="59" t="s">
        <v>21</v>
      </c>
      <c r="C549" s="2">
        <v>0</v>
      </c>
      <c r="D549" s="33" t="s">
        <v>3027</v>
      </c>
      <c r="E549" s="33">
        <v>1</v>
      </c>
      <c r="F549" s="33"/>
      <c r="G549" s="33"/>
      <c r="H549" s="56">
        <v>60</v>
      </c>
      <c r="I549" s="56">
        <f t="shared" si="16"/>
        <v>69</v>
      </c>
      <c r="J549" s="56">
        <f t="shared" si="17"/>
        <v>78</v>
      </c>
      <c r="K549" s="70" t="s">
        <v>84</v>
      </c>
    </row>
    <row r="550" spans="1:11" ht="25.5" hidden="1" customHeight="1">
      <c r="A550" s="59" t="s">
        <v>237</v>
      </c>
      <c r="B550" s="59" t="s">
        <v>19</v>
      </c>
      <c r="C550" s="2">
        <v>0</v>
      </c>
      <c r="D550" s="33" t="s">
        <v>3027</v>
      </c>
      <c r="E550" s="33">
        <v>1</v>
      </c>
      <c r="F550" s="33"/>
      <c r="G550" s="33"/>
      <c r="H550" s="56">
        <v>0.5</v>
      </c>
      <c r="I550" s="56">
        <f t="shared" si="16"/>
        <v>0.57499999999999996</v>
      </c>
      <c r="J550" s="56">
        <f t="shared" si="17"/>
        <v>0.65</v>
      </c>
      <c r="K550" s="70" t="s">
        <v>84</v>
      </c>
    </row>
    <row r="551" spans="1:11" ht="25.5" hidden="1" customHeight="1">
      <c r="A551" s="59" t="s">
        <v>2842</v>
      </c>
      <c r="B551" s="59" t="s">
        <v>21</v>
      </c>
      <c r="C551" s="2">
        <v>0</v>
      </c>
      <c r="D551" s="33" t="s">
        <v>3027</v>
      </c>
      <c r="E551" s="33">
        <v>1</v>
      </c>
      <c r="F551" s="33"/>
      <c r="G551" s="33"/>
      <c r="H551" s="57">
        <v>2</v>
      </c>
      <c r="I551" s="56">
        <f t="shared" si="16"/>
        <v>2.2999999999999998</v>
      </c>
      <c r="J551" s="57">
        <f t="shared" si="17"/>
        <v>2.6</v>
      </c>
      <c r="K551" s="70" t="s">
        <v>84</v>
      </c>
    </row>
    <row r="552" spans="1:11" ht="25.5" hidden="1" customHeight="1">
      <c r="A552" s="59" t="s">
        <v>2821</v>
      </c>
      <c r="B552" s="59" t="s">
        <v>41</v>
      </c>
      <c r="C552" s="2">
        <v>0</v>
      </c>
      <c r="D552" s="33" t="s">
        <v>3027</v>
      </c>
      <c r="E552" s="33">
        <v>1</v>
      </c>
      <c r="F552" s="33"/>
      <c r="G552" s="33"/>
      <c r="H552" s="56"/>
      <c r="I552" s="56">
        <f t="shared" si="16"/>
        <v>0</v>
      </c>
      <c r="J552" s="56">
        <f t="shared" si="17"/>
        <v>0</v>
      </c>
      <c r="K552" s="70" t="s">
        <v>84</v>
      </c>
    </row>
    <row r="553" spans="1:11" ht="25.5" hidden="1" customHeight="1">
      <c r="A553" s="59" t="s">
        <v>2822</v>
      </c>
      <c r="B553" s="59" t="s">
        <v>2823</v>
      </c>
      <c r="C553" s="2">
        <v>0</v>
      </c>
      <c r="D553" s="33" t="s">
        <v>3027</v>
      </c>
      <c r="E553" s="33">
        <v>1</v>
      </c>
      <c r="F553" s="33"/>
      <c r="G553" s="33"/>
      <c r="H553" s="56"/>
      <c r="I553" s="56">
        <f t="shared" si="16"/>
        <v>0</v>
      </c>
      <c r="J553" s="56">
        <f t="shared" si="17"/>
        <v>0</v>
      </c>
      <c r="K553" s="70" t="s">
        <v>84</v>
      </c>
    </row>
    <row r="554" spans="1:11" ht="25.5" hidden="1" customHeight="1">
      <c r="A554" s="59" t="s">
        <v>1825</v>
      </c>
      <c r="B554" s="59" t="s">
        <v>10</v>
      </c>
      <c r="C554" s="2">
        <v>0</v>
      </c>
      <c r="D554" s="33" t="s">
        <v>3027</v>
      </c>
      <c r="E554" s="33">
        <v>1</v>
      </c>
      <c r="F554" s="33"/>
      <c r="G554" s="33"/>
      <c r="H554" s="56">
        <v>2</v>
      </c>
      <c r="I554" s="56">
        <f t="shared" si="16"/>
        <v>2.2999999999999998</v>
      </c>
      <c r="J554" s="56">
        <f t="shared" si="17"/>
        <v>2.6</v>
      </c>
      <c r="K554" s="70" t="s">
        <v>84</v>
      </c>
    </row>
    <row r="555" spans="1:11" ht="25.5" hidden="1" customHeight="1">
      <c r="A555" s="59" t="s">
        <v>2833</v>
      </c>
      <c r="B555" s="59" t="s">
        <v>2165</v>
      </c>
      <c r="C555" s="2">
        <v>0</v>
      </c>
      <c r="D555" s="33" t="s">
        <v>3027</v>
      </c>
      <c r="E555" s="33">
        <v>1</v>
      </c>
      <c r="F555" s="33"/>
      <c r="G555" s="33"/>
      <c r="H555" s="56"/>
      <c r="I555" s="56">
        <f t="shared" si="16"/>
        <v>0</v>
      </c>
      <c r="J555" s="56">
        <f t="shared" si="17"/>
        <v>0</v>
      </c>
      <c r="K555" s="70" t="s">
        <v>84</v>
      </c>
    </row>
    <row r="556" spans="1:11" ht="25.5" hidden="1" customHeight="1">
      <c r="A556" s="59" t="s">
        <v>2824</v>
      </c>
      <c r="B556" s="59" t="s">
        <v>1473</v>
      </c>
      <c r="C556" s="2">
        <v>0</v>
      </c>
      <c r="D556" s="33" t="s">
        <v>3027</v>
      </c>
      <c r="E556" s="33">
        <v>1</v>
      </c>
      <c r="F556" s="33"/>
      <c r="G556" s="33"/>
      <c r="H556" s="56"/>
      <c r="I556" s="56">
        <f t="shared" si="16"/>
        <v>0</v>
      </c>
      <c r="J556" s="56">
        <f t="shared" si="17"/>
        <v>0</v>
      </c>
      <c r="K556" s="70" t="s">
        <v>84</v>
      </c>
    </row>
    <row r="557" spans="1:11" ht="25.5" hidden="1" customHeight="1">
      <c r="A557" s="59" t="s">
        <v>2825</v>
      </c>
      <c r="B557" s="59" t="s">
        <v>10</v>
      </c>
      <c r="C557" s="2">
        <v>0</v>
      </c>
      <c r="D557" s="33" t="s">
        <v>3027</v>
      </c>
      <c r="E557" s="33">
        <v>1</v>
      </c>
      <c r="F557" s="33"/>
      <c r="G557" s="33"/>
      <c r="H557" s="56"/>
      <c r="I557" s="56">
        <f t="shared" si="16"/>
        <v>0</v>
      </c>
      <c r="J557" s="56">
        <f t="shared" si="17"/>
        <v>0</v>
      </c>
      <c r="K557" s="70" t="s">
        <v>84</v>
      </c>
    </row>
    <row r="558" spans="1:11" ht="25.5" hidden="1" customHeight="1">
      <c r="A558" s="59" t="s">
        <v>2826</v>
      </c>
      <c r="B558" s="59" t="s">
        <v>10</v>
      </c>
      <c r="C558" s="2">
        <v>0</v>
      </c>
      <c r="D558" s="33" t="s">
        <v>3027</v>
      </c>
      <c r="E558" s="33">
        <v>1</v>
      </c>
      <c r="F558" s="33"/>
      <c r="G558" s="33"/>
      <c r="H558" s="56"/>
      <c r="I558" s="56">
        <f t="shared" si="16"/>
        <v>0</v>
      </c>
      <c r="J558" s="56">
        <f t="shared" si="17"/>
        <v>0</v>
      </c>
      <c r="K558" s="70" t="s">
        <v>84</v>
      </c>
    </row>
    <row r="559" spans="1:11" ht="25.5" hidden="1" customHeight="1">
      <c r="A559" s="59" t="s">
        <v>499</v>
      </c>
      <c r="B559" s="59" t="s">
        <v>21</v>
      </c>
      <c r="C559" s="2">
        <v>0</v>
      </c>
      <c r="D559" s="33" t="s">
        <v>3027</v>
      </c>
      <c r="E559" s="33">
        <v>1</v>
      </c>
      <c r="F559" s="33"/>
      <c r="G559" s="33"/>
      <c r="H559" s="56"/>
      <c r="I559" s="56">
        <f t="shared" si="16"/>
        <v>0</v>
      </c>
      <c r="J559" s="56">
        <f t="shared" si="17"/>
        <v>0</v>
      </c>
      <c r="K559" s="70" t="s">
        <v>84</v>
      </c>
    </row>
    <row r="560" spans="1:11" ht="25.5" hidden="1" customHeight="1">
      <c r="A560" s="59" t="s">
        <v>2827</v>
      </c>
      <c r="B560" s="59" t="s">
        <v>19</v>
      </c>
      <c r="C560" s="2">
        <v>0</v>
      </c>
      <c r="D560" s="33" t="s">
        <v>3027</v>
      </c>
      <c r="E560" s="33">
        <v>1</v>
      </c>
      <c r="F560" s="33"/>
      <c r="G560" s="33"/>
      <c r="H560" s="56"/>
      <c r="I560" s="56">
        <f t="shared" si="16"/>
        <v>0</v>
      </c>
      <c r="J560" s="56">
        <f t="shared" si="17"/>
        <v>0</v>
      </c>
      <c r="K560" s="70" t="s">
        <v>84</v>
      </c>
    </row>
    <row r="561" spans="1:11" ht="25.5" hidden="1" customHeight="1">
      <c r="A561" s="59" t="s">
        <v>3068</v>
      </c>
      <c r="B561" s="59" t="s">
        <v>27</v>
      </c>
      <c r="C561" s="2">
        <v>0</v>
      </c>
      <c r="D561" s="33" t="s">
        <v>3027</v>
      </c>
      <c r="E561" s="33">
        <v>1</v>
      </c>
      <c r="F561" s="33"/>
      <c r="G561" s="33"/>
      <c r="H561" s="56"/>
      <c r="I561" s="56">
        <f t="shared" si="16"/>
        <v>0</v>
      </c>
      <c r="J561" s="56">
        <f t="shared" si="17"/>
        <v>0</v>
      </c>
      <c r="K561" s="70" t="s">
        <v>84</v>
      </c>
    </row>
    <row r="562" spans="1:11" ht="25.5" customHeight="1">
      <c r="A562" s="74">
        <v>5000181</v>
      </c>
      <c r="B562" s="74" t="s">
        <v>147</v>
      </c>
      <c r="C562" s="74">
        <v>8</v>
      </c>
      <c r="D562" s="33" t="s">
        <v>2363</v>
      </c>
      <c r="E562" s="33">
        <v>5</v>
      </c>
      <c r="F562" s="33"/>
      <c r="G562" s="522"/>
      <c r="H562" s="707"/>
      <c r="I562" s="707">
        <f t="shared" si="16"/>
        <v>0</v>
      </c>
      <c r="J562" s="707">
        <f t="shared" si="17"/>
        <v>0</v>
      </c>
      <c r="K562" s="70"/>
    </row>
    <row r="563" spans="1:11" ht="25.5" hidden="1" customHeight="1">
      <c r="A563" s="59">
        <v>1013862</v>
      </c>
      <c r="B563" s="59" t="s">
        <v>14</v>
      </c>
      <c r="C563" s="2">
        <v>0</v>
      </c>
      <c r="D563" s="33" t="s">
        <v>3027</v>
      </c>
      <c r="E563" s="33">
        <v>1</v>
      </c>
      <c r="F563" s="33"/>
      <c r="G563" s="33"/>
      <c r="H563" s="56"/>
      <c r="I563" s="56">
        <f t="shared" si="16"/>
        <v>0</v>
      </c>
      <c r="J563" s="56">
        <f t="shared" si="17"/>
        <v>0</v>
      </c>
      <c r="K563" s="70" t="s">
        <v>84</v>
      </c>
    </row>
    <row r="564" spans="1:11" ht="25.5" hidden="1" customHeight="1">
      <c r="A564" s="59" t="s">
        <v>2837</v>
      </c>
      <c r="B564" s="59" t="s">
        <v>19</v>
      </c>
      <c r="C564" s="2">
        <v>0</v>
      </c>
      <c r="D564" s="33" t="s">
        <v>3027</v>
      </c>
      <c r="E564" s="33">
        <v>1</v>
      </c>
      <c r="F564" s="33"/>
      <c r="G564" s="33"/>
      <c r="H564" s="56">
        <v>1</v>
      </c>
      <c r="I564" s="56">
        <f t="shared" si="16"/>
        <v>1.1499999999999999</v>
      </c>
      <c r="J564" s="56">
        <f t="shared" si="17"/>
        <v>1.3</v>
      </c>
      <c r="K564" s="70" t="s">
        <v>84</v>
      </c>
    </row>
    <row r="565" spans="1:11" ht="25.5" hidden="1" customHeight="1">
      <c r="A565" s="59" t="s">
        <v>1823</v>
      </c>
      <c r="B565" s="59" t="s">
        <v>23</v>
      </c>
      <c r="C565" s="2">
        <v>0</v>
      </c>
      <c r="D565" s="33" t="s">
        <v>3027</v>
      </c>
      <c r="E565" s="33">
        <v>1</v>
      </c>
      <c r="F565" s="33"/>
      <c r="G565" s="33"/>
      <c r="H565" s="56">
        <v>2</v>
      </c>
      <c r="I565" s="56">
        <f t="shared" si="16"/>
        <v>2.2999999999999998</v>
      </c>
      <c r="J565" s="56">
        <f t="shared" si="17"/>
        <v>2.6</v>
      </c>
      <c r="K565" s="70" t="s">
        <v>84</v>
      </c>
    </row>
    <row r="566" spans="1:11" ht="25.5" hidden="1" customHeight="1">
      <c r="A566" s="59" t="s">
        <v>2829</v>
      </c>
      <c r="B566" s="59" t="s">
        <v>1006</v>
      </c>
      <c r="C566" s="2">
        <v>0</v>
      </c>
      <c r="D566" s="33" t="s">
        <v>3027</v>
      </c>
      <c r="E566" s="33">
        <v>1</v>
      </c>
      <c r="F566" s="33"/>
      <c r="G566" s="33"/>
      <c r="H566" s="56"/>
      <c r="I566" s="56">
        <f t="shared" si="16"/>
        <v>0</v>
      </c>
      <c r="J566" s="56">
        <f t="shared" si="17"/>
        <v>0</v>
      </c>
      <c r="K566" s="70" t="s">
        <v>84</v>
      </c>
    </row>
    <row r="567" spans="1:11" ht="25.5" hidden="1" customHeight="1">
      <c r="A567" s="59" t="s">
        <v>3069</v>
      </c>
      <c r="B567" s="3" t="s">
        <v>2831</v>
      </c>
      <c r="C567" s="2">
        <v>0</v>
      </c>
      <c r="D567" s="33" t="s">
        <v>3027</v>
      </c>
      <c r="E567" s="33">
        <v>1</v>
      </c>
      <c r="F567" s="33"/>
      <c r="G567" s="33"/>
      <c r="H567" s="56"/>
      <c r="I567" s="56">
        <f t="shared" si="16"/>
        <v>0</v>
      </c>
      <c r="J567" s="56">
        <f t="shared" si="17"/>
        <v>0</v>
      </c>
      <c r="K567" s="70" t="s">
        <v>84</v>
      </c>
    </row>
    <row r="568" spans="1:11" ht="25.5" hidden="1" customHeight="1">
      <c r="A568" s="202" t="s">
        <v>984</v>
      </c>
      <c r="B568" s="59" t="s">
        <v>56</v>
      </c>
      <c r="C568" s="2">
        <v>0</v>
      </c>
      <c r="D568" s="33" t="s">
        <v>3053</v>
      </c>
      <c r="E568" s="59">
        <v>5</v>
      </c>
      <c r="F568" s="59"/>
      <c r="G568" s="59"/>
      <c r="H568" s="56">
        <v>150</v>
      </c>
      <c r="I568" s="56">
        <f t="shared" si="16"/>
        <v>172.5</v>
      </c>
      <c r="J568" s="56">
        <f t="shared" si="17"/>
        <v>195</v>
      </c>
      <c r="K568" s="70" t="s">
        <v>84</v>
      </c>
    </row>
    <row r="569" spans="1:11" ht="25.5" hidden="1" customHeight="1">
      <c r="A569" s="194" t="s">
        <v>3093</v>
      </c>
      <c r="B569" s="34" t="s">
        <v>1465</v>
      </c>
      <c r="C569" s="11">
        <v>0</v>
      </c>
      <c r="D569" s="33" t="s">
        <v>3053</v>
      </c>
      <c r="E569" s="33">
        <v>3</v>
      </c>
      <c r="F569" s="33"/>
      <c r="G569" s="33"/>
      <c r="H569" s="56"/>
      <c r="I569" s="56">
        <f t="shared" si="16"/>
        <v>0</v>
      </c>
      <c r="J569" s="56">
        <f t="shared" si="17"/>
        <v>0</v>
      </c>
      <c r="K569" s="70" t="s">
        <v>84</v>
      </c>
    </row>
    <row r="570" spans="1:11" ht="25.5" hidden="1" customHeight="1">
      <c r="A570" s="11" t="s">
        <v>3130</v>
      </c>
      <c r="B570" s="34" t="s">
        <v>10</v>
      </c>
      <c r="C570" s="11">
        <v>0</v>
      </c>
      <c r="D570" s="33" t="s">
        <v>3053</v>
      </c>
      <c r="E570" s="33">
        <v>3</v>
      </c>
      <c r="F570" s="33"/>
      <c r="G570" s="33"/>
      <c r="H570" s="56"/>
      <c r="I570" s="56">
        <f t="shared" si="16"/>
        <v>0</v>
      </c>
      <c r="J570" s="56">
        <f t="shared" si="17"/>
        <v>0</v>
      </c>
      <c r="K570" s="70" t="s">
        <v>84</v>
      </c>
    </row>
    <row r="571" spans="1:11" ht="25.5" hidden="1" customHeight="1">
      <c r="A571" s="11" t="s">
        <v>3145</v>
      </c>
      <c r="B571" s="34" t="s">
        <v>418</v>
      </c>
      <c r="C571" s="11">
        <v>0</v>
      </c>
      <c r="D571" s="33" t="s">
        <v>3053</v>
      </c>
      <c r="E571" s="33">
        <v>3</v>
      </c>
      <c r="F571" s="33"/>
      <c r="G571" s="33"/>
      <c r="H571" s="56"/>
      <c r="I571" s="56">
        <f t="shared" si="16"/>
        <v>0</v>
      </c>
      <c r="J571" s="56">
        <f t="shared" si="17"/>
        <v>0</v>
      </c>
      <c r="K571" s="70" t="s">
        <v>84</v>
      </c>
    </row>
    <row r="572" spans="1:11" ht="25.5" hidden="1" customHeight="1">
      <c r="A572" s="33" t="s">
        <v>3165</v>
      </c>
      <c r="B572" s="33" t="s">
        <v>27</v>
      </c>
      <c r="C572" s="2">
        <v>0</v>
      </c>
      <c r="D572" s="33" t="s">
        <v>3053</v>
      </c>
      <c r="E572" s="33">
        <v>2</v>
      </c>
      <c r="F572" s="33"/>
      <c r="G572" s="33"/>
      <c r="H572" s="56">
        <v>2</v>
      </c>
      <c r="I572" s="56">
        <f t="shared" si="16"/>
        <v>2.2999999999999998</v>
      </c>
      <c r="J572" s="56">
        <f t="shared" si="17"/>
        <v>2.6</v>
      </c>
      <c r="K572" s="70" t="s">
        <v>84</v>
      </c>
    </row>
    <row r="573" spans="1:11" ht="25.5" hidden="1" customHeight="1">
      <c r="A573" s="75" t="s">
        <v>3075</v>
      </c>
      <c r="B573" s="74" t="s">
        <v>150</v>
      </c>
      <c r="C573" s="2">
        <v>0</v>
      </c>
      <c r="D573" s="33" t="s">
        <v>3053</v>
      </c>
      <c r="E573" s="33">
        <v>2</v>
      </c>
      <c r="F573" s="33"/>
      <c r="G573" s="33"/>
      <c r="H573" s="56"/>
      <c r="I573" s="56">
        <f t="shared" si="16"/>
        <v>0</v>
      </c>
      <c r="J573" s="56">
        <f t="shared" si="17"/>
        <v>0</v>
      </c>
      <c r="K573" s="70" t="s">
        <v>84</v>
      </c>
    </row>
    <row r="574" spans="1:11" ht="25.5" hidden="1" customHeight="1">
      <c r="A574" s="74" t="s">
        <v>3084</v>
      </c>
      <c r="B574" s="74" t="s">
        <v>110</v>
      </c>
      <c r="C574" s="2">
        <v>0</v>
      </c>
      <c r="D574" s="33" t="s">
        <v>3053</v>
      </c>
      <c r="E574" s="33">
        <v>2</v>
      </c>
      <c r="F574" s="33"/>
      <c r="G574" s="33"/>
      <c r="H574" s="56"/>
      <c r="I574" s="56">
        <f t="shared" si="16"/>
        <v>0</v>
      </c>
      <c r="J574" s="56">
        <f t="shared" si="17"/>
        <v>0</v>
      </c>
      <c r="K574" s="70" t="s">
        <v>84</v>
      </c>
    </row>
    <row r="575" spans="1:11" ht="25.5" hidden="1" customHeight="1">
      <c r="A575" s="74" t="s">
        <v>3076</v>
      </c>
      <c r="B575" s="74" t="s">
        <v>1778</v>
      </c>
      <c r="C575" s="2">
        <v>0</v>
      </c>
      <c r="D575" s="33" t="s">
        <v>3053</v>
      </c>
      <c r="E575" s="33">
        <v>2</v>
      </c>
      <c r="F575" s="33"/>
      <c r="G575" s="33"/>
      <c r="H575" s="56"/>
      <c r="I575" s="56">
        <f t="shared" si="16"/>
        <v>0</v>
      </c>
      <c r="J575" s="56">
        <f t="shared" si="17"/>
        <v>0</v>
      </c>
      <c r="K575" s="70" t="s">
        <v>84</v>
      </c>
    </row>
    <row r="576" spans="1:11" ht="25.5" hidden="1" customHeight="1">
      <c r="A576" s="74" t="s">
        <v>3058</v>
      </c>
      <c r="B576" s="74" t="s">
        <v>3059</v>
      </c>
      <c r="C576" s="2">
        <v>0</v>
      </c>
      <c r="D576" s="33" t="s">
        <v>3053</v>
      </c>
      <c r="E576" s="33">
        <v>2</v>
      </c>
      <c r="F576" s="33"/>
      <c r="G576" s="33"/>
      <c r="H576" s="56"/>
      <c r="I576" s="56">
        <f t="shared" si="16"/>
        <v>0</v>
      </c>
      <c r="J576" s="56">
        <f t="shared" si="17"/>
        <v>0</v>
      </c>
      <c r="K576" s="70" t="s">
        <v>84</v>
      </c>
    </row>
    <row r="577" spans="1:11" ht="25.5" hidden="1" customHeight="1">
      <c r="A577" s="74" t="s">
        <v>3060</v>
      </c>
      <c r="B577" s="74" t="s">
        <v>558</v>
      </c>
      <c r="C577" s="2">
        <v>0</v>
      </c>
      <c r="D577" s="33" t="s">
        <v>3053</v>
      </c>
      <c r="E577" s="33">
        <v>2</v>
      </c>
      <c r="F577" s="33"/>
      <c r="G577" s="33"/>
      <c r="H577" s="56"/>
      <c r="I577" s="238">
        <f t="shared" si="16"/>
        <v>0</v>
      </c>
      <c r="J577" s="238">
        <f t="shared" si="17"/>
        <v>0</v>
      </c>
      <c r="K577" s="53" t="s">
        <v>84</v>
      </c>
    </row>
    <row r="578" spans="1:11" ht="25.5" hidden="1" customHeight="1">
      <c r="A578" s="74">
        <v>15284</v>
      </c>
      <c r="B578" s="74" t="s">
        <v>1465</v>
      </c>
      <c r="C578" s="2">
        <v>0</v>
      </c>
      <c r="D578" s="33" t="s">
        <v>3053</v>
      </c>
      <c r="E578" s="33">
        <v>2</v>
      </c>
      <c r="F578" s="33"/>
      <c r="G578" s="33"/>
      <c r="H578" s="56"/>
      <c r="I578" s="56">
        <f t="shared" ref="I578:I641" si="18">H578 * 1.15</f>
        <v>0</v>
      </c>
      <c r="J578" s="56">
        <f t="shared" ref="J578:J641" si="19">H578 * 1.3</f>
        <v>0</v>
      </c>
      <c r="K578" s="70" t="s">
        <v>84</v>
      </c>
    </row>
    <row r="579" spans="1:11" ht="25.5" hidden="1" customHeight="1">
      <c r="A579" s="74" t="s">
        <v>3170</v>
      </c>
      <c r="B579" s="74" t="s">
        <v>3171</v>
      </c>
      <c r="C579" s="2">
        <v>0</v>
      </c>
      <c r="D579" s="33" t="s">
        <v>3053</v>
      </c>
      <c r="E579" s="33">
        <v>2</v>
      </c>
      <c r="F579" s="33"/>
      <c r="G579" s="33"/>
      <c r="H579" s="57">
        <v>125</v>
      </c>
      <c r="I579" s="56">
        <f t="shared" si="18"/>
        <v>143.75</v>
      </c>
      <c r="J579" s="57">
        <f t="shared" si="19"/>
        <v>162.5</v>
      </c>
      <c r="K579" s="70" t="s">
        <v>84</v>
      </c>
    </row>
    <row r="580" spans="1:11" ht="25.5" hidden="1" customHeight="1">
      <c r="A580" s="74">
        <v>5004462</v>
      </c>
      <c r="B580" s="74" t="s">
        <v>3173</v>
      </c>
      <c r="C580" s="2">
        <v>0</v>
      </c>
      <c r="D580" s="33" t="s">
        <v>3053</v>
      </c>
      <c r="E580" s="33">
        <v>2</v>
      </c>
      <c r="F580" s="33"/>
      <c r="G580" s="33"/>
      <c r="H580" s="56">
        <v>250</v>
      </c>
      <c r="I580" s="56">
        <f t="shared" si="18"/>
        <v>287.5</v>
      </c>
      <c r="J580" s="56">
        <f t="shared" si="19"/>
        <v>325</v>
      </c>
      <c r="K580" s="70" t="s">
        <v>84</v>
      </c>
    </row>
    <row r="581" spans="1:11" ht="25.5" hidden="1" customHeight="1">
      <c r="A581" s="74" t="s">
        <v>3080</v>
      </c>
      <c r="B581" s="74" t="s">
        <v>3081</v>
      </c>
      <c r="C581" s="2">
        <v>0</v>
      </c>
      <c r="D581" s="33" t="s">
        <v>3053</v>
      </c>
      <c r="E581" s="33">
        <v>2</v>
      </c>
      <c r="F581" s="33"/>
      <c r="G581" s="33"/>
      <c r="H581" s="56"/>
      <c r="I581" s="56">
        <f t="shared" si="18"/>
        <v>0</v>
      </c>
      <c r="J581" s="56">
        <f t="shared" si="19"/>
        <v>0</v>
      </c>
      <c r="K581" s="70" t="s">
        <v>84</v>
      </c>
    </row>
    <row r="582" spans="1:11" ht="25.5" hidden="1" customHeight="1">
      <c r="A582" s="74" t="s">
        <v>3054</v>
      </c>
      <c r="B582" s="74" t="s">
        <v>3174</v>
      </c>
      <c r="C582" s="2">
        <v>0</v>
      </c>
      <c r="D582" s="33" t="s">
        <v>3053</v>
      </c>
      <c r="E582" s="33">
        <v>2</v>
      </c>
      <c r="F582" s="33"/>
      <c r="G582" s="33"/>
      <c r="H582" s="56">
        <v>500</v>
      </c>
      <c r="I582" s="56">
        <f t="shared" si="18"/>
        <v>575</v>
      </c>
      <c r="J582" s="56">
        <f t="shared" si="19"/>
        <v>650</v>
      </c>
      <c r="K582" s="70" t="s">
        <v>84</v>
      </c>
    </row>
    <row r="583" spans="1:11" ht="25.5" hidden="1" customHeight="1">
      <c r="A583" s="33">
        <v>140342</v>
      </c>
      <c r="B583" s="33" t="s">
        <v>1778</v>
      </c>
      <c r="C583" s="2">
        <v>0</v>
      </c>
      <c r="D583" s="33" t="s">
        <v>3053</v>
      </c>
      <c r="E583" s="33">
        <v>2</v>
      </c>
      <c r="F583" s="33"/>
      <c r="G583" s="33"/>
      <c r="H583" s="56"/>
      <c r="I583" s="56">
        <f t="shared" si="18"/>
        <v>0</v>
      </c>
      <c r="J583" s="56">
        <f t="shared" si="19"/>
        <v>0</v>
      </c>
      <c r="K583" s="70" t="s">
        <v>84</v>
      </c>
    </row>
    <row r="584" spans="1:11" ht="25.5" hidden="1" customHeight="1">
      <c r="A584" s="33">
        <v>5000198</v>
      </c>
      <c r="B584" s="33" t="s">
        <v>10</v>
      </c>
      <c r="C584" s="2">
        <v>0</v>
      </c>
      <c r="D584" s="33" t="s">
        <v>3053</v>
      </c>
      <c r="E584" s="33">
        <v>2</v>
      </c>
      <c r="F584" s="33"/>
      <c r="G584" s="33"/>
      <c r="H584" s="57">
        <v>1.5</v>
      </c>
      <c r="I584" s="56">
        <f t="shared" si="18"/>
        <v>1.7249999999999999</v>
      </c>
      <c r="J584" s="57">
        <f t="shared" si="19"/>
        <v>1.9500000000000002</v>
      </c>
      <c r="K584" s="70" t="s">
        <v>84</v>
      </c>
    </row>
    <row r="585" spans="1:11" ht="25.5" hidden="1" customHeight="1">
      <c r="A585" s="10">
        <v>2393</v>
      </c>
      <c r="B585" s="34" t="s">
        <v>1352</v>
      </c>
      <c r="C585" s="2">
        <v>0</v>
      </c>
      <c r="D585" s="33" t="s">
        <v>3053</v>
      </c>
      <c r="E585" s="10">
        <v>2</v>
      </c>
      <c r="F585" s="10"/>
      <c r="G585" s="10"/>
      <c r="H585" s="56"/>
      <c r="I585" s="56">
        <f t="shared" si="18"/>
        <v>0</v>
      </c>
      <c r="J585" s="56">
        <f t="shared" si="19"/>
        <v>0</v>
      </c>
      <c r="K585" s="70" t="s">
        <v>84</v>
      </c>
    </row>
    <row r="586" spans="1:11" ht="25.5" hidden="1" customHeight="1">
      <c r="A586" s="11" t="s">
        <v>3074</v>
      </c>
      <c r="B586" s="34" t="s">
        <v>2281</v>
      </c>
      <c r="C586" s="2">
        <v>0</v>
      </c>
      <c r="D586" s="33" t="s">
        <v>3053</v>
      </c>
      <c r="E586" s="10">
        <v>2</v>
      </c>
      <c r="F586" s="10"/>
      <c r="G586" s="10"/>
      <c r="H586" s="56"/>
      <c r="I586" s="56">
        <f t="shared" si="18"/>
        <v>0</v>
      </c>
      <c r="J586" s="56">
        <f t="shared" si="19"/>
        <v>0</v>
      </c>
      <c r="K586" s="70" t="s">
        <v>84</v>
      </c>
    </row>
    <row r="587" spans="1:11" ht="25.5" hidden="1" customHeight="1">
      <c r="A587" s="11" t="s">
        <v>3070</v>
      </c>
      <c r="B587" s="34" t="s">
        <v>558</v>
      </c>
      <c r="C587" s="2">
        <v>0</v>
      </c>
      <c r="D587" s="33" t="s">
        <v>3053</v>
      </c>
      <c r="E587" s="10">
        <v>2</v>
      </c>
      <c r="F587" s="10"/>
      <c r="G587" s="10"/>
      <c r="H587" s="56"/>
      <c r="I587" s="56">
        <f t="shared" si="18"/>
        <v>0</v>
      </c>
      <c r="J587" s="56">
        <f t="shared" si="19"/>
        <v>0</v>
      </c>
      <c r="K587" s="70" t="s">
        <v>84</v>
      </c>
    </row>
    <row r="588" spans="1:11" ht="25.5" hidden="1" customHeight="1">
      <c r="A588" s="11" t="s">
        <v>3057</v>
      </c>
      <c r="B588" s="34" t="s">
        <v>389</v>
      </c>
      <c r="C588" s="2">
        <v>0</v>
      </c>
      <c r="D588" s="33" t="s">
        <v>3053</v>
      </c>
      <c r="E588" s="10">
        <v>2</v>
      </c>
      <c r="F588" s="10"/>
      <c r="G588" s="10"/>
      <c r="H588" s="56"/>
      <c r="I588" s="56">
        <f t="shared" si="18"/>
        <v>0</v>
      </c>
      <c r="J588" s="56">
        <f t="shared" si="19"/>
        <v>0</v>
      </c>
      <c r="K588" s="70" t="s">
        <v>84</v>
      </c>
    </row>
    <row r="589" spans="1:11" ht="25.5" hidden="1" customHeight="1">
      <c r="A589" s="11" t="s">
        <v>358</v>
      </c>
      <c r="B589" s="34" t="s">
        <v>10</v>
      </c>
      <c r="C589" s="2">
        <v>0</v>
      </c>
      <c r="D589" s="33" t="s">
        <v>3053</v>
      </c>
      <c r="E589" s="10">
        <v>2</v>
      </c>
      <c r="F589" s="10"/>
      <c r="G589" s="10"/>
      <c r="H589" s="56"/>
      <c r="I589" s="56">
        <f t="shared" si="18"/>
        <v>0</v>
      </c>
      <c r="J589" s="56">
        <f t="shared" si="19"/>
        <v>0</v>
      </c>
      <c r="K589" s="70" t="s">
        <v>84</v>
      </c>
    </row>
    <row r="590" spans="1:11" ht="25.5" hidden="1" customHeight="1">
      <c r="A590" s="11" t="s">
        <v>2948</v>
      </c>
      <c r="B590" s="34" t="s">
        <v>83</v>
      </c>
      <c r="C590" s="2">
        <v>0</v>
      </c>
      <c r="D590" s="33" t="s">
        <v>3053</v>
      </c>
      <c r="E590" s="10">
        <v>2</v>
      </c>
      <c r="F590" s="10"/>
      <c r="G590" s="10"/>
      <c r="H590" s="56"/>
      <c r="I590" s="56">
        <f t="shared" si="18"/>
        <v>0</v>
      </c>
      <c r="J590" s="56">
        <f t="shared" si="19"/>
        <v>0</v>
      </c>
      <c r="K590" s="70" t="s">
        <v>84</v>
      </c>
    </row>
    <row r="591" spans="1:11" ht="25.5" hidden="1" customHeight="1">
      <c r="A591" s="11">
        <v>5000198</v>
      </c>
      <c r="B591" s="34" t="s">
        <v>10</v>
      </c>
      <c r="C591" s="2">
        <v>0</v>
      </c>
      <c r="D591" s="33" t="s">
        <v>3053</v>
      </c>
      <c r="E591" s="10">
        <v>2</v>
      </c>
      <c r="F591" s="10"/>
      <c r="G591" s="10"/>
      <c r="H591" s="56">
        <v>1.5</v>
      </c>
      <c r="I591" s="56">
        <f t="shared" si="18"/>
        <v>1.7249999999999999</v>
      </c>
      <c r="J591" s="56">
        <f t="shared" si="19"/>
        <v>1.9500000000000002</v>
      </c>
      <c r="K591" s="70" t="s">
        <v>84</v>
      </c>
    </row>
    <row r="592" spans="1:11" ht="25.5" hidden="1" customHeight="1">
      <c r="A592" s="71">
        <v>5000198</v>
      </c>
      <c r="B592" s="71" t="s">
        <v>10</v>
      </c>
      <c r="C592" s="2">
        <v>0</v>
      </c>
      <c r="D592" s="33" t="s">
        <v>3053</v>
      </c>
      <c r="E592" s="71">
        <v>3</v>
      </c>
      <c r="F592" s="71"/>
      <c r="G592" s="71"/>
      <c r="H592" s="73">
        <v>1.5</v>
      </c>
      <c r="I592" s="73">
        <f t="shared" si="18"/>
        <v>1.7249999999999999</v>
      </c>
      <c r="J592" s="73">
        <f t="shared" si="19"/>
        <v>1.9500000000000002</v>
      </c>
      <c r="K592" s="70" t="s">
        <v>84</v>
      </c>
    </row>
    <row r="593" spans="1:11" ht="25.5" hidden="1" customHeight="1">
      <c r="A593" s="71" t="s">
        <v>3198</v>
      </c>
      <c r="B593" s="71" t="s">
        <v>10</v>
      </c>
      <c r="C593" s="2">
        <v>0</v>
      </c>
      <c r="D593" s="33" t="s">
        <v>3053</v>
      </c>
      <c r="E593" s="71">
        <v>3</v>
      </c>
      <c r="F593" s="71"/>
      <c r="G593" s="71"/>
      <c r="H593" s="73"/>
      <c r="I593" s="73">
        <f t="shared" si="18"/>
        <v>0</v>
      </c>
      <c r="J593" s="73">
        <f t="shared" si="19"/>
        <v>0</v>
      </c>
      <c r="K593" s="70" t="s">
        <v>84</v>
      </c>
    </row>
    <row r="594" spans="1:11" ht="25.5" hidden="1" customHeight="1">
      <c r="A594" s="71" t="s">
        <v>2948</v>
      </c>
      <c r="B594" s="71" t="s">
        <v>10</v>
      </c>
      <c r="C594" s="2">
        <v>0</v>
      </c>
      <c r="D594" s="33" t="s">
        <v>3053</v>
      </c>
      <c r="E594" s="71">
        <v>3</v>
      </c>
      <c r="F594" s="71"/>
      <c r="G594" s="71"/>
      <c r="H594" s="73">
        <v>3</v>
      </c>
      <c r="I594" s="73">
        <f t="shared" si="18"/>
        <v>3.4499999999999997</v>
      </c>
      <c r="J594" s="73">
        <f t="shared" si="19"/>
        <v>3.9000000000000004</v>
      </c>
      <c r="K594" s="70" t="s">
        <v>84</v>
      </c>
    </row>
    <row r="595" spans="1:11" ht="25.5" hidden="1" customHeight="1">
      <c r="A595" s="71" t="s">
        <v>3072</v>
      </c>
      <c r="B595" s="71" t="s">
        <v>10</v>
      </c>
      <c r="C595" s="2">
        <v>0</v>
      </c>
      <c r="D595" s="33" t="s">
        <v>3053</v>
      </c>
      <c r="E595" s="71">
        <v>3</v>
      </c>
      <c r="F595" s="71"/>
      <c r="G595" s="71"/>
      <c r="H595" s="73"/>
      <c r="I595" s="73">
        <f t="shared" si="18"/>
        <v>0</v>
      </c>
      <c r="J595" s="73">
        <f t="shared" si="19"/>
        <v>0</v>
      </c>
      <c r="K595" s="70" t="s">
        <v>84</v>
      </c>
    </row>
    <row r="596" spans="1:11" ht="25.5" hidden="1" customHeight="1">
      <c r="A596" s="71">
        <v>5004462</v>
      </c>
      <c r="B596" s="71" t="s">
        <v>147</v>
      </c>
      <c r="C596" s="2">
        <v>0</v>
      </c>
      <c r="D596" s="33" t="s">
        <v>3053</v>
      </c>
      <c r="E596" s="71">
        <v>3</v>
      </c>
      <c r="F596" s="71"/>
      <c r="G596" s="71"/>
      <c r="H596" s="73">
        <v>250</v>
      </c>
      <c r="I596" s="73">
        <f t="shared" si="18"/>
        <v>287.5</v>
      </c>
      <c r="J596" s="73">
        <f t="shared" si="19"/>
        <v>325</v>
      </c>
      <c r="K596" s="70" t="s">
        <v>84</v>
      </c>
    </row>
    <row r="597" spans="1:11" ht="25.5" hidden="1" customHeight="1">
      <c r="A597" s="71" t="s">
        <v>3130</v>
      </c>
      <c r="B597" s="71" t="s">
        <v>10</v>
      </c>
      <c r="C597" s="2">
        <v>0</v>
      </c>
      <c r="D597" s="33" t="s">
        <v>3053</v>
      </c>
      <c r="E597" s="71">
        <v>3</v>
      </c>
      <c r="F597" s="71"/>
      <c r="G597" s="71"/>
      <c r="H597" s="73">
        <v>3</v>
      </c>
      <c r="I597" s="73">
        <f t="shared" si="18"/>
        <v>3.4499999999999997</v>
      </c>
      <c r="J597" s="73">
        <f t="shared" si="19"/>
        <v>3.9000000000000004</v>
      </c>
      <c r="K597" s="70" t="s">
        <v>84</v>
      </c>
    </row>
    <row r="598" spans="1:11" ht="25.5" hidden="1" customHeight="1">
      <c r="A598" s="33" t="s">
        <v>1178</v>
      </c>
      <c r="B598" s="33" t="s">
        <v>3202</v>
      </c>
      <c r="C598" s="2">
        <v>0</v>
      </c>
      <c r="D598" s="33" t="s">
        <v>3053</v>
      </c>
      <c r="E598" s="33">
        <v>3</v>
      </c>
      <c r="F598" s="33"/>
      <c r="G598" s="33"/>
      <c r="H598" s="56"/>
      <c r="I598" s="56">
        <f t="shared" si="18"/>
        <v>0</v>
      </c>
      <c r="J598" s="56">
        <f t="shared" si="19"/>
        <v>0</v>
      </c>
      <c r="K598" s="70" t="s">
        <v>84</v>
      </c>
    </row>
    <row r="599" spans="1:11" ht="25.5" hidden="1" customHeight="1">
      <c r="A599" s="33" t="s">
        <v>3149</v>
      </c>
      <c r="B599" s="33" t="s">
        <v>558</v>
      </c>
      <c r="C599" s="2">
        <v>0</v>
      </c>
      <c r="D599" s="33" t="s">
        <v>3053</v>
      </c>
      <c r="E599" s="33">
        <v>3</v>
      </c>
      <c r="F599" s="33"/>
      <c r="G599" s="33"/>
      <c r="H599" s="56"/>
      <c r="I599" s="56">
        <f t="shared" si="18"/>
        <v>0</v>
      </c>
      <c r="J599" s="56">
        <f t="shared" si="19"/>
        <v>0</v>
      </c>
      <c r="K599" s="70" t="s">
        <v>84</v>
      </c>
    </row>
    <row r="600" spans="1:11" ht="25.5" hidden="1" customHeight="1">
      <c r="A600" s="33" t="s">
        <v>3205</v>
      </c>
      <c r="B600" s="33" t="s">
        <v>21</v>
      </c>
      <c r="C600" s="2">
        <v>0</v>
      </c>
      <c r="D600" s="33" t="s">
        <v>3053</v>
      </c>
      <c r="E600" s="33">
        <v>3</v>
      </c>
      <c r="F600" s="33"/>
      <c r="G600" s="33"/>
      <c r="H600" s="56"/>
      <c r="I600" s="56">
        <f t="shared" si="18"/>
        <v>0</v>
      </c>
      <c r="J600" s="56">
        <f t="shared" si="19"/>
        <v>0</v>
      </c>
      <c r="K600" s="70" t="s">
        <v>84</v>
      </c>
    </row>
    <row r="601" spans="1:11" ht="25.5" hidden="1" customHeight="1">
      <c r="A601" s="33">
        <v>9524796</v>
      </c>
      <c r="B601" s="33" t="s">
        <v>10</v>
      </c>
      <c r="C601" s="2">
        <v>0</v>
      </c>
      <c r="D601" s="33" t="s">
        <v>3053</v>
      </c>
      <c r="E601" s="33">
        <v>3</v>
      </c>
      <c r="F601" s="33"/>
      <c r="G601" s="33"/>
      <c r="H601" s="56">
        <v>20</v>
      </c>
      <c r="I601" s="56">
        <f t="shared" si="18"/>
        <v>23</v>
      </c>
      <c r="J601" s="56">
        <f t="shared" si="19"/>
        <v>26</v>
      </c>
      <c r="K601" s="70" t="s">
        <v>84</v>
      </c>
    </row>
    <row r="602" spans="1:11" ht="25.5" hidden="1" customHeight="1">
      <c r="A602" s="33" t="s">
        <v>3140</v>
      </c>
      <c r="B602" s="33" t="s">
        <v>558</v>
      </c>
      <c r="C602" s="2">
        <v>0</v>
      </c>
      <c r="D602" s="33" t="s">
        <v>3053</v>
      </c>
      <c r="E602" s="33">
        <v>3</v>
      </c>
      <c r="F602" s="33"/>
      <c r="G602" s="33"/>
      <c r="H602" s="56"/>
      <c r="I602" s="56">
        <f t="shared" si="18"/>
        <v>0</v>
      </c>
      <c r="J602" s="56">
        <f t="shared" si="19"/>
        <v>0</v>
      </c>
      <c r="K602" s="70" t="s">
        <v>84</v>
      </c>
    </row>
    <row r="603" spans="1:11" ht="25.5" hidden="1" customHeight="1">
      <c r="A603" s="33" t="s">
        <v>3140</v>
      </c>
      <c r="B603" s="33" t="s">
        <v>558</v>
      </c>
      <c r="C603" s="2">
        <v>0</v>
      </c>
      <c r="D603" s="33" t="s">
        <v>3053</v>
      </c>
      <c r="E603" s="33">
        <v>3</v>
      </c>
      <c r="F603" s="33"/>
      <c r="G603" s="33"/>
      <c r="H603" s="56"/>
      <c r="I603" s="56">
        <f t="shared" si="18"/>
        <v>0</v>
      </c>
      <c r="J603" s="56">
        <f t="shared" si="19"/>
        <v>0</v>
      </c>
      <c r="K603" s="70" t="s">
        <v>84</v>
      </c>
    </row>
    <row r="604" spans="1:11" ht="25.5" hidden="1" customHeight="1">
      <c r="A604" s="33" t="s">
        <v>3148</v>
      </c>
      <c r="B604" s="33" t="s">
        <v>267</v>
      </c>
      <c r="C604" s="2">
        <v>0</v>
      </c>
      <c r="D604" s="33" t="s">
        <v>3053</v>
      </c>
      <c r="E604" s="33">
        <v>3</v>
      </c>
      <c r="F604" s="33"/>
      <c r="G604" s="33"/>
      <c r="H604" s="56"/>
      <c r="I604" s="238">
        <f t="shared" si="18"/>
        <v>0</v>
      </c>
      <c r="J604" s="238">
        <f t="shared" si="19"/>
        <v>0</v>
      </c>
      <c r="K604" s="53" t="s">
        <v>84</v>
      </c>
    </row>
    <row r="605" spans="1:11" ht="25.5" hidden="1" customHeight="1">
      <c r="A605" s="33" t="s">
        <v>3073</v>
      </c>
      <c r="B605" s="33" t="s">
        <v>21</v>
      </c>
      <c r="C605" s="2">
        <v>0</v>
      </c>
      <c r="D605" s="33" t="s">
        <v>3053</v>
      </c>
      <c r="E605" s="33">
        <v>3</v>
      </c>
      <c r="F605" s="33"/>
      <c r="G605" s="33"/>
      <c r="H605" s="56">
        <v>10</v>
      </c>
      <c r="I605" s="56">
        <f t="shared" si="18"/>
        <v>11.5</v>
      </c>
      <c r="J605" s="56">
        <f t="shared" si="19"/>
        <v>13</v>
      </c>
      <c r="K605" s="70" t="s">
        <v>84</v>
      </c>
    </row>
    <row r="606" spans="1:11" ht="25.5" hidden="1" customHeight="1">
      <c r="A606" s="33" t="s">
        <v>3150</v>
      </c>
      <c r="B606" s="33" t="s">
        <v>27</v>
      </c>
      <c r="C606" s="2">
        <v>0</v>
      </c>
      <c r="D606" s="33" t="s">
        <v>3053</v>
      </c>
      <c r="E606" s="33">
        <v>3</v>
      </c>
      <c r="F606" s="33"/>
      <c r="G606" s="33"/>
      <c r="H606" s="56"/>
      <c r="I606" s="56">
        <f t="shared" si="18"/>
        <v>0</v>
      </c>
      <c r="J606" s="56">
        <f t="shared" si="19"/>
        <v>0</v>
      </c>
      <c r="K606" s="70" t="s">
        <v>84</v>
      </c>
    </row>
    <row r="607" spans="1:11" ht="25.5" hidden="1" customHeight="1">
      <c r="A607" s="33" t="s">
        <v>3084</v>
      </c>
      <c r="B607" s="33" t="s">
        <v>110</v>
      </c>
      <c r="C607" s="2">
        <v>0</v>
      </c>
      <c r="D607" s="33" t="s">
        <v>3053</v>
      </c>
      <c r="E607" s="33">
        <v>3</v>
      </c>
      <c r="F607" s="33"/>
      <c r="G607" s="33"/>
      <c r="H607" s="56"/>
      <c r="I607" s="56">
        <f t="shared" si="18"/>
        <v>0</v>
      </c>
      <c r="J607" s="56">
        <f t="shared" si="19"/>
        <v>0</v>
      </c>
      <c r="K607" s="70" t="s">
        <v>84</v>
      </c>
    </row>
    <row r="608" spans="1:11" ht="25.5" hidden="1" customHeight="1">
      <c r="A608" s="71" t="s">
        <v>2645</v>
      </c>
      <c r="B608" s="71" t="s">
        <v>10</v>
      </c>
      <c r="C608" s="71">
        <v>0</v>
      </c>
      <c r="D608" s="33" t="s">
        <v>3053</v>
      </c>
      <c r="E608" s="71">
        <v>4</v>
      </c>
      <c r="F608" s="71"/>
      <c r="G608" s="71"/>
      <c r="H608" s="56">
        <v>10</v>
      </c>
      <c r="I608" s="56">
        <f t="shared" si="18"/>
        <v>11.5</v>
      </c>
      <c r="J608" s="56">
        <f t="shared" si="19"/>
        <v>13</v>
      </c>
      <c r="K608" s="70" t="s">
        <v>84</v>
      </c>
    </row>
    <row r="609" spans="1:11" ht="25.5" hidden="1" customHeight="1">
      <c r="A609" s="33">
        <v>140342</v>
      </c>
      <c r="B609" s="33" t="s">
        <v>1778</v>
      </c>
      <c r="C609" s="2">
        <v>0</v>
      </c>
      <c r="D609" s="33" t="s">
        <v>3053</v>
      </c>
      <c r="E609" s="33">
        <v>3</v>
      </c>
      <c r="F609" s="33"/>
      <c r="G609" s="33"/>
      <c r="H609" s="56"/>
      <c r="I609" s="56">
        <f t="shared" si="18"/>
        <v>0</v>
      </c>
      <c r="J609" s="56">
        <f t="shared" si="19"/>
        <v>0</v>
      </c>
      <c r="K609" s="70" t="s">
        <v>84</v>
      </c>
    </row>
    <row r="610" spans="1:11" ht="25.5" hidden="1" customHeight="1">
      <c r="A610" s="33" t="s">
        <v>3074</v>
      </c>
      <c r="B610" s="33" t="s">
        <v>3212</v>
      </c>
      <c r="C610" s="2">
        <v>0</v>
      </c>
      <c r="D610" s="33" t="s">
        <v>3053</v>
      </c>
      <c r="E610" s="33">
        <v>3</v>
      </c>
      <c r="F610" s="33"/>
      <c r="G610" s="33"/>
      <c r="H610" s="56"/>
      <c r="I610" s="56">
        <f t="shared" si="18"/>
        <v>0</v>
      </c>
      <c r="J610" s="56">
        <f t="shared" si="19"/>
        <v>0</v>
      </c>
      <c r="K610" s="70" t="s">
        <v>84</v>
      </c>
    </row>
    <row r="611" spans="1:11" ht="25.5" hidden="1" customHeight="1">
      <c r="A611" s="33" t="s">
        <v>3080</v>
      </c>
      <c r="B611" s="33" t="s">
        <v>201</v>
      </c>
      <c r="C611" s="2">
        <v>0</v>
      </c>
      <c r="D611" s="33" t="s">
        <v>3053</v>
      </c>
      <c r="E611" s="33">
        <v>3</v>
      </c>
      <c r="F611" s="33"/>
      <c r="G611" s="33"/>
      <c r="H611" s="56"/>
      <c r="I611" s="56">
        <f t="shared" si="18"/>
        <v>0</v>
      </c>
      <c r="J611" s="56">
        <f t="shared" si="19"/>
        <v>0</v>
      </c>
      <c r="K611" s="70" t="s">
        <v>84</v>
      </c>
    </row>
    <row r="612" spans="1:11" ht="25.5" hidden="1" customHeight="1">
      <c r="A612" s="33" t="s">
        <v>3213</v>
      </c>
      <c r="B612" s="33" t="s">
        <v>41</v>
      </c>
      <c r="C612" s="2">
        <v>0</v>
      </c>
      <c r="D612" s="33" t="s">
        <v>3053</v>
      </c>
      <c r="E612" s="33">
        <v>3</v>
      </c>
      <c r="F612" s="33"/>
      <c r="G612" s="33"/>
      <c r="H612" s="56"/>
      <c r="I612" s="56">
        <f t="shared" si="18"/>
        <v>0</v>
      </c>
      <c r="J612" s="56">
        <f t="shared" si="19"/>
        <v>0</v>
      </c>
      <c r="K612" s="70" t="s">
        <v>84</v>
      </c>
    </row>
    <row r="613" spans="1:11" ht="25.5" hidden="1" customHeight="1">
      <c r="A613" s="33" t="s">
        <v>2541</v>
      </c>
      <c r="B613" s="33" t="s">
        <v>10</v>
      </c>
      <c r="C613" s="2">
        <v>0</v>
      </c>
      <c r="D613" s="33" t="s">
        <v>3053</v>
      </c>
      <c r="E613" s="33">
        <v>3</v>
      </c>
      <c r="F613" s="33"/>
      <c r="G613" s="33"/>
      <c r="H613" s="56">
        <v>1</v>
      </c>
      <c r="I613" s="56">
        <f t="shared" si="18"/>
        <v>1.1499999999999999</v>
      </c>
      <c r="J613" s="56">
        <f t="shared" si="19"/>
        <v>1.3</v>
      </c>
      <c r="K613" s="70" t="s">
        <v>84</v>
      </c>
    </row>
    <row r="614" spans="1:11" ht="25.5" hidden="1" customHeight="1">
      <c r="A614" s="33" t="s">
        <v>3215</v>
      </c>
      <c r="B614" s="33" t="s">
        <v>115</v>
      </c>
      <c r="C614" s="2">
        <v>0</v>
      </c>
      <c r="D614" s="33" t="s">
        <v>3053</v>
      </c>
      <c r="E614" s="33">
        <v>3</v>
      </c>
      <c r="F614" s="33"/>
      <c r="G614" s="33"/>
      <c r="H614" s="57">
        <v>500</v>
      </c>
      <c r="I614" s="56">
        <f t="shared" si="18"/>
        <v>575</v>
      </c>
      <c r="J614" s="57">
        <f t="shared" si="19"/>
        <v>650</v>
      </c>
      <c r="K614" s="70" t="s">
        <v>84</v>
      </c>
    </row>
    <row r="615" spans="1:11" ht="25.5" hidden="1" customHeight="1">
      <c r="A615" s="33" t="s">
        <v>3157</v>
      </c>
      <c r="B615" s="33" t="s">
        <v>3216</v>
      </c>
      <c r="C615" s="2">
        <v>0</v>
      </c>
      <c r="D615" s="33" t="s">
        <v>3053</v>
      </c>
      <c r="E615" s="33">
        <v>3</v>
      </c>
      <c r="F615" s="33"/>
      <c r="G615" s="33"/>
      <c r="H615" s="56"/>
      <c r="I615" s="56">
        <f t="shared" si="18"/>
        <v>0</v>
      </c>
      <c r="J615" s="56">
        <f t="shared" si="19"/>
        <v>0</v>
      </c>
      <c r="K615" s="70" t="s">
        <v>84</v>
      </c>
    </row>
    <row r="616" spans="1:11" ht="25.5" hidden="1" customHeight="1">
      <c r="A616" s="33" t="s">
        <v>3172</v>
      </c>
      <c r="B616" s="33" t="s">
        <v>19</v>
      </c>
      <c r="C616" s="2">
        <v>0</v>
      </c>
      <c r="D616" s="33" t="s">
        <v>3053</v>
      </c>
      <c r="E616" s="33">
        <v>3</v>
      </c>
      <c r="F616" s="33"/>
      <c r="G616" s="33"/>
      <c r="H616" s="56"/>
      <c r="I616" s="56">
        <f t="shared" si="18"/>
        <v>0</v>
      </c>
      <c r="J616" s="56">
        <f t="shared" si="19"/>
        <v>0</v>
      </c>
      <c r="K616" s="70" t="s">
        <v>84</v>
      </c>
    </row>
    <row r="617" spans="1:11" ht="25.5" hidden="1" customHeight="1">
      <c r="A617" s="33" t="s">
        <v>3144</v>
      </c>
      <c r="B617" s="33" t="s">
        <v>10</v>
      </c>
      <c r="C617" s="2">
        <v>0</v>
      </c>
      <c r="D617" s="33" t="s">
        <v>3053</v>
      </c>
      <c r="E617" s="33">
        <v>3</v>
      </c>
      <c r="F617" s="33"/>
      <c r="G617" s="33"/>
      <c r="H617" s="56">
        <v>2</v>
      </c>
      <c r="I617" s="56">
        <f t="shared" si="18"/>
        <v>2.2999999999999998</v>
      </c>
      <c r="J617" s="56">
        <f t="shared" si="19"/>
        <v>2.6</v>
      </c>
      <c r="K617" s="70" t="s">
        <v>84</v>
      </c>
    </row>
    <row r="618" spans="1:11" ht="25.5" hidden="1" customHeight="1">
      <c r="A618" s="11" t="s">
        <v>3104</v>
      </c>
      <c r="B618" s="34" t="s">
        <v>10</v>
      </c>
      <c r="C618" s="2">
        <v>0</v>
      </c>
      <c r="D618" s="33" t="s">
        <v>3053</v>
      </c>
      <c r="E618" s="33">
        <v>3</v>
      </c>
      <c r="F618" s="33"/>
      <c r="G618" s="33"/>
      <c r="H618" s="56">
        <v>1.5</v>
      </c>
      <c r="I618" s="56">
        <f t="shared" si="18"/>
        <v>1.7249999999999999</v>
      </c>
      <c r="J618" s="56">
        <f t="shared" si="19"/>
        <v>1.9500000000000002</v>
      </c>
      <c r="K618" s="70" t="s">
        <v>84</v>
      </c>
    </row>
    <row r="619" spans="1:11" ht="25.5" hidden="1" customHeight="1">
      <c r="A619" s="11" t="s">
        <v>3218</v>
      </c>
      <c r="B619" s="34" t="s">
        <v>41</v>
      </c>
      <c r="C619" s="2">
        <v>0</v>
      </c>
      <c r="D619" s="33" t="s">
        <v>3053</v>
      </c>
      <c r="E619" s="33">
        <v>3</v>
      </c>
      <c r="F619" s="33"/>
      <c r="G619" s="33"/>
      <c r="H619" s="56">
        <v>1</v>
      </c>
      <c r="I619" s="56">
        <f t="shared" si="18"/>
        <v>1.1499999999999999</v>
      </c>
      <c r="J619" s="56">
        <f t="shared" si="19"/>
        <v>1.3</v>
      </c>
      <c r="K619" s="70" t="s">
        <v>84</v>
      </c>
    </row>
    <row r="620" spans="1:11" ht="25.5" hidden="1" customHeight="1">
      <c r="A620" s="11" t="s">
        <v>3219</v>
      </c>
      <c r="B620" s="34" t="s">
        <v>3220</v>
      </c>
      <c r="C620" s="2">
        <v>0</v>
      </c>
      <c r="D620" s="33" t="s">
        <v>3053</v>
      </c>
      <c r="E620" s="33">
        <v>3</v>
      </c>
      <c r="F620" s="33"/>
      <c r="G620" s="33"/>
      <c r="H620" s="56"/>
      <c r="I620" s="56">
        <f t="shared" si="18"/>
        <v>0</v>
      </c>
      <c r="J620" s="56">
        <f t="shared" si="19"/>
        <v>0</v>
      </c>
      <c r="K620" s="70" t="s">
        <v>84</v>
      </c>
    </row>
    <row r="621" spans="1:11" ht="25.5" hidden="1" customHeight="1">
      <c r="A621" s="11" t="s">
        <v>3120</v>
      </c>
      <c r="B621" s="34" t="s">
        <v>1473</v>
      </c>
      <c r="C621" s="2">
        <v>0</v>
      </c>
      <c r="D621" s="33" t="s">
        <v>3053</v>
      </c>
      <c r="E621" s="33">
        <v>3</v>
      </c>
      <c r="F621" s="33"/>
      <c r="G621" s="33"/>
      <c r="H621" s="56"/>
      <c r="I621" s="56">
        <f t="shared" si="18"/>
        <v>0</v>
      </c>
      <c r="J621" s="56">
        <f t="shared" si="19"/>
        <v>0</v>
      </c>
      <c r="K621" s="70" t="s">
        <v>84</v>
      </c>
    </row>
    <row r="622" spans="1:11" ht="25.5" hidden="1" customHeight="1">
      <c r="A622" s="11" t="s">
        <v>3111</v>
      </c>
      <c r="B622" s="34" t="s">
        <v>558</v>
      </c>
      <c r="C622" s="2">
        <v>0</v>
      </c>
      <c r="D622" s="33" t="s">
        <v>3053</v>
      </c>
      <c r="E622" s="33">
        <v>3</v>
      </c>
      <c r="F622" s="33"/>
      <c r="G622" s="33"/>
      <c r="H622" s="56">
        <v>0.5</v>
      </c>
      <c r="I622" s="56">
        <f t="shared" si="18"/>
        <v>0.57499999999999996</v>
      </c>
      <c r="J622" s="56">
        <f t="shared" si="19"/>
        <v>0.65</v>
      </c>
      <c r="K622" s="70" t="s">
        <v>84</v>
      </c>
    </row>
    <row r="623" spans="1:11" ht="25.5" hidden="1" customHeight="1">
      <c r="A623" s="11" t="s">
        <v>3116</v>
      </c>
      <c r="B623" s="34" t="s">
        <v>3117</v>
      </c>
      <c r="C623" s="2">
        <v>0</v>
      </c>
      <c r="D623" s="33" t="s">
        <v>3053</v>
      </c>
      <c r="E623" s="33">
        <v>3</v>
      </c>
      <c r="F623" s="33"/>
      <c r="G623" s="33"/>
      <c r="H623" s="56"/>
      <c r="I623" s="56">
        <f t="shared" si="18"/>
        <v>0</v>
      </c>
      <c r="J623" s="56">
        <f t="shared" si="19"/>
        <v>0</v>
      </c>
      <c r="K623" s="70" t="s">
        <v>84</v>
      </c>
    </row>
    <row r="624" spans="1:11" ht="25.5" hidden="1" customHeight="1">
      <c r="A624" s="11" t="s">
        <v>3223</v>
      </c>
      <c r="B624" s="34" t="s">
        <v>558</v>
      </c>
      <c r="C624" s="2">
        <v>0</v>
      </c>
      <c r="D624" s="33" t="s">
        <v>3053</v>
      </c>
      <c r="E624" s="33">
        <v>3</v>
      </c>
      <c r="F624" s="33"/>
      <c r="G624" s="33"/>
      <c r="H624" s="56"/>
      <c r="I624" s="56">
        <f t="shared" si="18"/>
        <v>0</v>
      </c>
      <c r="J624" s="56">
        <f t="shared" si="19"/>
        <v>0</v>
      </c>
      <c r="K624" s="70" t="s">
        <v>84</v>
      </c>
    </row>
    <row r="625" spans="1:11" ht="25.5" hidden="1" customHeight="1">
      <c r="A625" s="59" t="s">
        <v>3230</v>
      </c>
      <c r="B625" s="59" t="s">
        <v>147</v>
      </c>
      <c r="C625" s="59">
        <v>0</v>
      </c>
      <c r="D625" s="33" t="s">
        <v>3053</v>
      </c>
      <c r="E625" s="59">
        <v>5</v>
      </c>
      <c r="F625" s="59"/>
      <c r="G625" s="59"/>
      <c r="H625" s="56"/>
      <c r="I625" s="56">
        <f t="shared" si="18"/>
        <v>0</v>
      </c>
      <c r="J625" s="56">
        <f t="shared" si="19"/>
        <v>0</v>
      </c>
      <c r="K625" s="70" t="s">
        <v>84</v>
      </c>
    </row>
    <row r="626" spans="1:11" ht="25.5" hidden="1" customHeight="1">
      <c r="A626" s="11" t="s">
        <v>3115</v>
      </c>
      <c r="B626" s="34" t="s">
        <v>558</v>
      </c>
      <c r="C626" s="2">
        <v>0</v>
      </c>
      <c r="D626" s="33" t="s">
        <v>3053</v>
      </c>
      <c r="E626" s="33">
        <v>3</v>
      </c>
      <c r="F626" s="33"/>
      <c r="G626" s="33"/>
      <c r="H626" s="56"/>
      <c r="I626" s="56">
        <f t="shared" si="18"/>
        <v>0</v>
      </c>
      <c r="J626" s="56">
        <f t="shared" si="19"/>
        <v>0</v>
      </c>
      <c r="K626" s="70" t="s">
        <v>84</v>
      </c>
    </row>
    <row r="627" spans="1:11" ht="25.5" hidden="1" customHeight="1">
      <c r="A627" s="11" t="s">
        <v>3105</v>
      </c>
      <c r="B627" s="34" t="s">
        <v>558</v>
      </c>
      <c r="C627" s="2">
        <v>0</v>
      </c>
      <c r="D627" s="33" t="s">
        <v>3053</v>
      </c>
      <c r="E627" s="33">
        <v>3</v>
      </c>
      <c r="F627" s="33"/>
      <c r="G627" s="33"/>
      <c r="H627" s="56"/>
      <c r="I627" s="56">
        <f t="shared" si="18"/>
        <v>0</v>
      </c>
      <c r="J627" s="56">
        <f t="shared" si="19"/>
        <v>0</v>
      </c>
      <c r="K627" s="70" t="s">
        <v>84</v>
      </c>
    </row>
    <row r="628" spans="1:11" ht="25.5" hidden="1" customHeight="1">
      <c r="A628" s="11" t="s">
        <v>3180</v>
      </c>
      <c r="B628" s="34" t="s">
        <v>1030</v>
      </c>
      <c r="C628" s="2">
        <v>0</v>
      </c>
      <c r="D628" s="33" t="s">
        <v>3053</v>
      </c>
      <c r="E628" s="33">
        <v>3</v>
      </c>
      <c r="F628" s="33"/>
      <c r="G628" s="33"/>
      <c r="H628" s="56"/>
      <c r="I628" s="56">
        <f t="shared" si="18"/>
        <v>0</v>
      </c>
      <c r="J628" s="56">
        <f t="shared" si="19"/>
        <v>0</v>
      </c>
      <c r="K628" s="70" t="s">
        <v>84</v>
      </c>
    </row>
    <row r="629" spans="1:11" ht="25.5" hidden="1" customHeight="1">
      <c r="A629" s="59" t="s">
        <v>3248</v>
      </c>
      <c r="B629" s="59" t="s">
        <v>267</v>
      </c>
      <c r="C629" s="59">
        <v>0</v>
      </c>
      <c r="D629" s="33" t="s">
        <v>3053</v>
      </c>
      <c r="E629" s="354">
        <v>5</v>
      </c>
      <c r="F629" s="354"/>
      <c r="G629" s="354"/>
      <c r="H629" s="56">
        <v>7</v>
      </c>
      <c r="I629" s="56">
        <f t="shared" si="18"/>
        <v>8.0499999999999989</v>
      </c>
      <c r="J629" s="56">
        <f t="shared" si="19"/>
        <v>9.1</v>
      </c>
      <c r="K629" s="70" t="s">
        <v>84</v>
      </c>
    </row>
    <row r="630" spans="1:11" ht="25.5" hidden="1" customHeight="1">
      <c r="A630" s="11" t="s">
        <v>3114</v>
      </c>
      <c r="B630" s="34" t="s">
        <v>690</v>
      </c>
      <c r="C630" s="2">
        <v>0</v>
      </c>
      <c r="D630" s="33" t="s">
        <v>3053</v>
      </c>
      <c r="E630" s="33">
        <v>3</v>
      </c>
      <c r="F630" s="33"/>
      <c r="G630" s="33"/>
      <c r="H630" s="56"/>
      <c r="I630" s="56">
        <f t="shared" si="18"/>
        <v>0</v>
      </c>
      <c r="J630" s="56">
        <f t="shared" si="19"/>
        <v>0</v>
      </c>
      <c r="K630" s="70" t="s">
        <v>84</v>
      </c>
    </row>
    <row r="631" spans="1:11" ht="25.5" hidden="1" customHeight="1">
      <c r="A631" s="11" t="s">
        <v>3106</v>
      </c>
      <c r="B631" s="34" t="s">
        <v>558</v>
      </c>
      <c r="C631" s="2">
        <v>0</v>
      </c>
      <c r="D631" s="33" t="s">
        <v>3053</v>
      </c>
      <c r="E631" s="33">
        <v>3</v>
      </c>
      <c r="F631" s="33"/>
      <c r="G631" s="33"/>
      <c r="H631" s="56"/>
      <c r="I631" s="56">
        <f t="shared" si="18"/>
        <v>0</v>
      </c>
      <c r="J631" s="56">
        <f t="shared" si="19"/>
        <v>0</v>
      </c>
      <c r="K631" s="70" t="s">
        <v>84</v>
      </c>
    </row>
    <row r="632" spans="1:11" ht="25.5" hidden="1" customHeight="1">
      <c r="A632" s="11" t="s">
        <v>3113</v>
      </c>
      <c r="B632" s="34" t="s">
        <v>19</v>
      </c>
      <c r="C632" s="2">
        <v>0</v>
      </c>
      <c r="D632" s="33" t="s">
        <v>3053</v>
      </c>
      <c r="E632" s="33">
        <v>3</v>
      </c>
      <c r="F632" s="33"/>
      <c r="G632" s="33"/>
      <c r="H632" s="56"/>
      <c r="I632" s="56">
        <f t="shared" si="18"/>
        <v>0</v>
      </c>
      <c r="J632" s="56">
        <f t="shared" si="19"/>
        <v>0</v>
      </c>
      <c r="K632" s="70" t="s">
        <v>84</v>
      </c>
    </row>
    <row r="633" spans="1:11" ht="25.5" hidden="1" customHeight="1">
      <c r="A633" s="34" t="s">
        <v>3147</v>
      </c>
      <c r="B633" s="34" t="s">
        <v>41</v>
      </c>
      <c r="C633" s="2">
        <v>0</v>
      </c>
      <c r="D633" s="33" t="s">
        <v>3053</v>
      </c>
      <c r="E633" s="33">
        <v>3</v>
      </c>
      <c r="F633" s="33"/>
      <c r="G633" s="33"/>
      <c r="H633" s="56"/>
      <c r="I633" s="56">
        <f t="shared" si="18"/>
        <v>0</v>
      </c>
      <c r="J633" s="56">
        <f t="shared" si="19"/>
        <v>0</v>
      </c>
      <c r="K633" s="70" t="s">
        <v>84</v>
      </c>
    </row>
    <row r="634" spans="1:11" ht="25.5" hidden="1" customHeight="1">
      <c r="A634" s="11" t="s">
        <v>3103</v>
      </c>
      <c r="B634" s="34" t="s">
        <v>558</v>
      </c>
      <c r="C634" s="2">
        <v>0</v>
      </c>
      <c r="D634" s="33" t="s">
        <v>3053</v>
      </c>
      <c r="E634" s="33">
        <v>3</v>
      </c>
      <c r="F634" s="33"/>
      <c r="G634" s="33"/>
      <c r="H634" s="56"/>
      <c r="I634" s="56">
        <f t="shared" si="18"/>
        <v>0</v>
      </c>
      <c r="J634" s="56">
        <f t="shared" si="19"/>
        <v>0</v>
      </c>
      <c r="K634" s="70" t="s">
        <v>84</v>
      </c>
    </row>
    <row r="635" spans="1:11" ht="25.5" hidden="1" customHeight="1">
      <c r="A635" s="11" t="s">
        <v>3118</v>
      </c>
      <c r="B635" s="34" t="s">
        <v>27</v>
      </c>
      <c r="C635" s="2">
        <v>0</v>
      </c>
      <c r="D635" s="33" t="s">
        <v>3053</v>
      </c>
      <c r="E635" s="33">
        <v>3</v>
      </c>
      <c r="F635" s="33"/>
      <c r="G635" s="33"/>
      <c r="H635" s="56"/>
      <c r="I635" s="56">
        <f t="shared" si="18"/>
        <v>0</v>
      </c>
      <c r="J635" s="56">
        <f t="shared" si="19"/>
        <v>0</v>
      </c>
      <c r="K635" s="70" t="s">
        <v>84</v>
      </c>
    </row>
    <row r="636" spans="1:11" ht="25.5" hidden="1" customHeight="1">
      <c r="A636" s="11" t="s">
        <v>3262</v>
      </c>
      <c r="B636" s="34" t="s">
        <v>558</v>
      </c>
      <c r="C636" s="2">
        <v>0</v>
      </c>
      <c r="D636" s="33" t="s">
        <v>3053</v>
      </c>
      <c r="E636" s="33">
        <v>3</v>
      </c>
      <c r="F636" s="33"/>
      <c r="G636" s="33"/>
      <c r="H636" s="56"/>
      <c r="I636" s="56">
        <f t="shared" si="18"/>
        <v>0</v>
      </c>
      <c r="J636" s="56">
        <f t="shared" si="19"/>
        <v>0</v>
      </c>
      <c r="K636" s="70" t="s">
        <v>84</v>
      </c>
    </row>
    <row r="637" spans="1:11" ht="25.5" hidden="1" customHeight="1">
      <c r="A637" s="11" t="s">
        <v>3109</v>
      </c>
      <c r="B637" s="34" t="s">
        <v>3263</v>
      </c>
      <c r="C637" s="2">
        <v>0</v>
      </c>
      <c r="D637" s="33" t="s">
        <v>3053</v>
      </c>
      <c r="E637" s="33">
        <v>3</v>
      </c>
      <c r="F637" s="33"/>
      <c r="G637" s="33"/>
      <c r="H637" s="56"/>
      <c r="I637" s="56">
        <f t="shared" si="18"/>
        <v>0</v>
      </c>
      <c r="J637" s="56">
        <f t="shared" si="19"/>
        <v>0</v>
      </c>
      <c r="K637" s="70" t="s">
        <v>84</v>
      </c>
    </row>
    <row r="638" spans="1:11" ht="25.5" hidden="1" customHeight="1">
      <c r="A638" s="11" t="s">
        <v>3264</v>
      </c>
      <c r="B638" s="34" t="s">
        <v>529</v>
      </c>
      <c r="C638" s="2">
        <v>0</v>
      </c>
      <c r="D638" s="33" t="s">
        <v>3053</v>
      </c>
      <c r="E638" s="33">
        <v>3</v>
      </c>
      <c r="F638" s="33"/>
      <c r="G638" s="33"/>
      <c r="H638" s="56"/>
      <c r="I638" s="56">
        <f t="shared" si="18"/>
        <v>0</v>
      </c>
      <c r="J638" s="56">
        <f t="shared" si="19"/>
        <v>0</v>
      </c>
      <c r="K638" s="70" t="s">
        <v>84</v>
      </c>
    </row>
    <row r="639" spans="1:11" ht="25.5" hidden="1" customHeight="1">
      <c r="A639" s="59" t="s">
        <v>6848</v>
      </c>
      <c r="B639" s="59" t="s">
        <v>1521</v>
      </c>
      <c r="C639" s="2">
        <v>0</v>
      </c>
      <c r="D639" s="33" t="s">
        <v>3053</v>
      </c>
      <c r="E639" s="354">
        <v>5</v>
      </c>
      <c r="F639" s="354"/>
      <c r="G639" s="354"/>
      <c r="H639" s="56">
        <v>950</v>
      </c>
      <c r="I639" s="56">
        <f t="shared" si="18"/>
        <v>1092.5</v>
      </c>
      <c r="J639" s="56">
        <f t="shared" si="19"/>
        <v>1235</v>
      </c>
      <c r="K639" s="70" t="s">
        <v>84</v>
      </c>
    </row>
    <row r="640" spans="1:11" ht="25.5" hidden="1" customHeight="1">
      <c r="A640" s="59" t="s">
        <v>3266</v>
      </c>
      <c r="B640" s="59" t="s">
        <v>110</v>
      </c>
      <c r="C640" s="2">
        <v>0</v>
      </c>
      <c r="D640" s="33" t="s">
        <v>3053</v>
      </c>
      <c r="E640" s="354">
        <v>5</v>
      </c>
      <c r="F640" s="354"/>
      <c r="G640" s="354"/>
      <c r="H640" s="56"/>
      <c r="I640" s="56">
        <f t="shared" si="18"/>
        <v>0</v>
      </c>
      <c r="J640" s="56">
        <f t="shared" si="19"/>
        <v>0</v>
      </c>
      <c r="K640" s="70" t="s">
        <v>84</v>
      </c>
    </row>
    <row r="641" spans="1:11" ht="25.5" hidden="1" customHeight="1">
      <c r="A641" s="59" t="s">
        <v>1066</v>
      </c>
      <c r="B641" s="59" t="s">
        <v>34</v>
      </c>
      <c r="C641" s="2">
        <v>0</v>
      </c>
      <c r="D641" s="33" t="s">
        <v>3053</v>
      </c>
      <c r="E641" s="354">
        <v>5</v>
      </c>
      <c r="F641" s="354"/>
      <c r="G641" s="354"/>
      <c r="H641" s="56"/>
      <c r="I641" s="56">
        <f t="shared" si="18"/>
        <v>0</v>
      </c>
      <c r="J641" s="56">
        <f t="shared" si="19"/>
        <v>0</v>
      </c>
      <c r="K641" s="70" t="s">
        <v>84</v>
      </c>
    </row>
    <row r="642" spans="1:11" ht="25.5" hidden="1" customHeight="1">
      <c r="A642" s="59" t="s">
        <v>3267</v>
      </c>
      <c r="B642" s="59" t="s">
        <v>41</v>
      </c>
      <c r="C642" s="2">
        <v>0</v>
      </c>
      <c r="D642" s="33" t="s">
        <v>3053</v>
      </c>
      <c r="E642" s="354">
        <v>5</v>
      </c>
      <c r="F642" s="354"/>
      <c r="G642" s="354"/>
      <c r="H642" s="56"/>
      <c r="I642" s="56">
        <f t="shared" ref="I642:I705" si="20">H642 * 1.15</f>
        <v>0</v>
      </c>
      <c r="J642" s="56">
        <f t="shared" ref="J642:J705" si="21">H642 * 1.3</f>
        <v>0</v>
      </c>
      <c r="K642" s="70" t="s">
        <v>84</v>
      </c>
    </row>
    <row r="643" spans="1:11" ht="25.5" hidden="1" customHeight="1">
      <c r="A643" s="662" t="s">
        <v>1687</v>
      </c>
      <c r="B643" s="33" t="s">
        <v>3269</v>
      </c>
      <c r="C643" s="2">
        <v>0</v>
      </c>
      <c r="D643" s="2" t="s">
        <v>3256</v>
      </c>
      <c r="E643" s="33">
        <v>1</v>
      </c>
      <c r="F643" s="33"/>
      <c r="G643" s="33"/>
      <c r="H643" s="56"/>
      <c r="I643" s="56">
        <f t="shared" si="20"/>
        <v>0</v>
      </c>
      <c r="J643" s="56">
        <f t="shared" si="21"/>
        <v>0</v>
      </c>
      <c r="K643" s="70" t="s">
        <v>84</v>
      </c>
    </row>
    <row r="644" spans="1:11" ht="25.5" hidden="1" customHeight="1">
      <c r="A644" s="2" t="s">
        <v>3282</v>
      </c>
      <c r="B644" s="2" t="s">
        <v>3283</v>
      </c>
      <c r="C644" s="2">
        <v>0</v>
      </c>
      <c r="D644" s="2" t="s">
        <v>3256</v>
      </c>
      <c r="E644" s="33">
        <v>1</v>
      </c>
      <c r="F644" s="33"/>
      <c r="G644" s="33"/>
      <c r="H644" s="56">
        <v>2500</v>
      </c>
      <c r="I644" s="56">
        <f t="shared" si="20"/>
        <v>2875</v>
      </c>
      <c r="J644" s="56">
        <f t="shared" si="21"/>
        <v>3250</v>
      </c>
      <c r="K644" s="70" t="s">
        <v>84</v>
      </c>
    </row>
    <row r="645" spans="1:11" ht="25.5" hidden="1" customHeight="1">
      <c r="A645" s="2" t="s">
        <v>3270</v>
      </c>
      <c r="B645" s="2" t="s">
        <v>14</v>
      </c>
      <c r="C645" s="2">
        <v>0</v>
      </c>
      <c r="D645" s="2" t="s">
        <v>3256</v>
      </c>
      <c r="E645" s="33">
        <v>1</v>
      </c>
      <c r="F645" s="33"/>
      <c r="G645" s="33"/>
      <c r="H645" s="56"/>
      <c r="I645" s="56">
        <f t="shared" si="20"/>
        <v>0</v>
      </c>
      <c r="J645" s="56">
        <f t="shared" si="21"/>
        <v>0</v>
      </c>
      <c r="K645" s="70" t="s">
        <v>84</v>
      </c>
    </row>
    <row r="646" spans="1:11" ht="25.5" hidden="1" customHeight="1">
      <c r="A646" s="2" t="s">
        <v>1313</v>
      </c>
      <c r="B646" s="2" t="s">
        <v>10</v>
      </c>
      <c r="C646" s="2">
        <v>0</v>
      </c>
      <c r="D646" s="2" t="s">
        <v>3256</v>
      </c>
      <c r="E646" s="33">
        <v>1</v>
      </c>
      <c r="F646" s="33"/>
      <c r="G646" s="33"/>
      <c r="H646" s="56">
        <v>2</v>
      </c>
      <c r="I646" s="56">
        <f t="shared" si="20"/>
        <v>2.2999999999999998</v>
      </c>
      <c r="J646" s="56">
        <f t="shared" si="21"/>
        <v>2.6</v>
      </c>
      <c r="K646" s="70" t="s">
        <v>84</v>
      </c>
    </row>
    <row r="647" spans="1:11" ht="25.5" hidden="1" customHeight="1">
      <c r="A647" s="2" t="s">
        <v>1665</v>
      </c>
      <c r="B647" s="2" t="s">
        <v>10</v>
      </c>
      <c r="C647" s="2">
        <v>0</v>
      </c>
      <c r="D647" s="2" t="s">
        <v>3273</v>
      </c>
      <c r="E647" s="33">
        <v>2</v>
      </c>
      <c r="F647" s="33"/>
      <c r="G647" s="33"/>
      <c r="H647" s="56"/>
      <c r="I647" s="56">
        <f t="shared" si="20"/>
        <v>0</v>
      </c>
      <c r="J647" s="56">
        <f t="shared" si="21"/>
        <v>0</v>
      </c>
      <c r="K647" s="70" t="s">
        <v>84</v>
      </c>
    </row>
    <row r="648" spans="1:11" ht="25.5" hidden="1" customHeight="1">
      <c r="A648" s="2" t="s">
        <v>3271</v>
      </c>
      <c r="B648" s="2" t="s">
        <v>14</v>
      </c>
      <c r="C648" s="2">
        <v>0</v>
      </c>
      <c r="D648" s="2" t="s">
        <v>3273</v>
      </c>
      <c r="E648" s="33">
        <v>2</v>
      </c>
      <c r="F648" s="33"/>
      <c r="G648" s="33"/>
      <c r="H648" s="56"/>
      <c r="I648" s="56">
        <f t="shared" si="20"/>
        <v>0</v>
      </c>
      <c r="J648" s="56">
        <f t="shared" si="21"/>
        <v>0</v>
      </c>
      <c r="K648" s="70" t="s">
        <v>84</v>
      </c>
    </row>
    <row r="649" spans="1:11" ht="25.5" hidden="1" customHeight="1">
      <c r="A649" s="33" t="s">
        <v>3307</v>
      </c>
      <c r="B649" s="33" t="s">
        <v>909</v>
      </c>
      <c r="C649" s="33">
        <v>0</v>
      </c>
      <c r="D649" s="33" t="s">
        <v>3279</v>
      </c>
      <c r="E649" s="33">
        <v>3</v>
      </c>
      <c r="F649" s="33"/>
      <c r="G649" s="33"/>
      <c r="H649" s="56"/>
      <c r="I649" s="56">
        <f t="shared" si="20"/>
        <v>0</v>
      </c>
      <c r="J649" s="56">
        <f t="shared" si="21"/>
        <v>0</v>
      </c>
      <c r="K649" s="70" t="s">
        <v>84</v>
      </c>
    </row>
    <row r="650" spans="1:11" ht="25.5" hidden="1" customHeight="1">
      <c r="A650" s="66" t="s">
        <v>3254</v>
      </c>
      <c r="B650" s="66" t="s">
        <v>10</v>
      </c>
      <c r="C650" s="2">
        <v>0</v>
      </c>
      <c r="D650" s="66" t="s">
        <v>3279</v>
      </c>
      <c r="E650" s="66">
        <v>3</v>
      </c>
      <c r="F650" s="66"/>
      <c r="G650" s="66"/>
      <c r="H650" s="56"/>
      <c r="I650" s="56">
        <f t="shared" si="20"/>
        <v>0</v>
      </c>
      <c r="J650" s="56">
        <f t="shared" si="21"/>
        <v>0</v>
      </c>
      <c r="K650" s="70" t="s">
        <v>84</v>
      </c>
    </row>
    <row r="651" spans="1:11" ht="25.5" hidden="1" customHeight="1">
      <c r="A651" s="33" t="s">
        <v>3322</v>
      </c>
      <c r="B651" s="33" t="s">
        <v>56</v>
      </c>
      <c r="C651" s="2">
        <v>0</v>
      </c>
      <c r="D651" s="33" t="s">
        <v>3279</v>
      </c>
      <c r="E651" s="33">
        <v>4</v>
      </c>
      <c r="F651" s="33"/>
      <c r="G651" s="33"/>
      <c r="H651" s="57">
        <v>100</v>
      </c>
      <c r="I651" s="56">
        <f t="shared" si="20"/>
        <v>114.99999999999999</v>
      </c>
      <c r="J651" s="57">
        <f t="shared" si="21"/>
        <v>130</v>
      </c>
      <c r="K651" s="70" t="s">
        <v>84</v>
      </c>
    </row>
    <row r="652" spans="1:11" ht="25.5" hidden="1" customHeight="1">
      <c r="A652" s="2" t="s">
        <v>659</v>
      </c>
      <c r="B652" s="2" t="s">
        <v>10</v>
      </c>
      <c r="C652" s="2">
        <v>0</v>
      </c>
      <c r="D652" s="2" t="s">
        <v>3279</v>
      </c>
      <c r="E652" s="33">
        <v>5</v>
      </c>
      <c r="F652" s="33"/>
      <c r="G652" s="33"/>
      <c r="H652" s="56">
        <v>2</v>
      </c>
      <c r="I652" s="56">
        <f t="shared" si="20"/>
        <v>2.2999999999999998</v>
      </c>
      <c r="J652" s="56">
        <f t="shared" si="21"/>
        <v>2.6</v>
      </c>
      <c r="K652" s="70" t="s">
        <v>84</v>
      </c>
    </row>
    <row r="653" spans="1:11" ht="25.5" hidden="1" customHeight="1">
      <c r="A653" s="2" t="s">
        <v>691</v>
      </c>
      <c r="B653" s="2" t="s">
        <v>83</v>
      </c>
      <c r="C653" s="2">
        <v>0</v>
      </c>
      <c r="D653" s="2" t="s">
        <v>3279</v>
      </c>
      <c r="E653" s="33">
        <v>5</v>
      </c>
      <c r="F653" s="33"/>
      <c r="G653" s="33"/>
      <c r="H653" s="56">
        <v>150</v>
      </c>
      <c r="I653" s="56">
        <f t="shared" si="20"/>
        <v>172.5</v>
      </c>
      <c r="J653" s="56">
        <f t="shared" si="21"/>
        <v>195</v>
      </c>
      <c r="K653" s="70" t="s">
        <v>84</v>
      </c>
    </row>
    <row r="654" spans="1:11" ht="25.5" hidden="1" customHeight="1">
      <c r="A654" s="2" t="s">
        <v>255</v>
      </c>
      <c r="B654" s="2" t="s">
        <v>83</v>
      </c>
      <c r="C654" s="2">
        <v>0</v>
      </c>
      <c r="D654" s="2" t="s">
        <v>3279</v>
      </c>
      <c r="E654" s="33">
        <v>5</v>
      </c>
      <c r="F654" s="33"/>
      <c r="G654" s="33"/>
      <c r="H654" s="57">
        <v>50</v>
      </c>
      <c r="I654" s="56">
        <f t="shared" si="20"/>
        <v>57.499999999999993</v>
      </c>
      <c r="J654" s="57">
        <f t="shared" si="21"/>
        <v>65</v>
      </c>
      <c r="K654" s="70" t="s">
        <v>84</v>
      </c>
    </row>
    <row r="655" spans="1:11" ht="25.5" hidden="1" customHeight="1">
      <c r="A655" s="2" t="s">
        <v>359</v>
      </c>
      <c r="B655" s="2" t="s">
        <v>10</v>
      </c>
      <c r="C655" s="2">
        <v>0</v>
      </c>
      <c r="D655" s="2" t="s">
        <v>3279</v>
      </c>
      <c r="E655" s="33">
        <v>5</v>
      </c>
      <c r="F655" s="33"/>
      <c r="G655" s="33"/>
      <c r="H655" s="56">
        <v>1.5</v>
      </c>
      <c r="I655" s="56">
        <f t="shared" si="20"/>
        <v>1.7249999999999999</v>
      </c>
      <c r="J655" s="56">
        <f t="shared" si="21"/>
        <v>1.9500000000000002</v>
      </c>
      <c r="K655" s="70" t="s">
        <v>84</v>
      </c>
    </row>
    <row r="656" spans="1:11" ht="25.5" hidden="1" customHeight="1">
      <c r="A656" s="2" t="s">
        <v>1491</v>
      </c>
      <c r="B656" s="2" t="s">
        <v>10</v>
      </c>
      <c r="C656" s="2">
        <v>0</v>
      </c>
      <c r="D656" s="2" t="s">
        <v>3279</v>
      </c>
      <c r="E656" s="33">
        <v>5</v>
      </c>
      <c r="F656" s="33"/>
      <c r="G656" s="33"/>
      <c r="H656" s="56">
        <v>1</v>
      </c>
      <c r="I656" s="56">
        <f t="shared" si="20"/>
        <v>1.1499999999999999</v>
      </c>
      <c r="J656" s="56">
        <f t="shared" si="21"/>
        <v>1.3</v>
      </c>
      <c r="K656" s="70" t="s">
        <v>84</v>
      </c>
    </row>
    <row r="657" spans="1:11" ht="25.5" hidden="1" customHeight="1">
      <c r="A657" s="2" t="s">
        <v>3254</v>
      </c>
      <c r="B657" s="2" t="s">
        <v>10</v>
      </c>
      <c r="C657" s="2">
        <v>0</v>
      </c>
      <c r="D657" s="2" t="s">
        <v>3279</v>
      </c>
      <c r="E657" s="33">
        <v>5</v>
      </c>
      <c r="F657" s="33"/>
      <c r="G657" s="33"/>
      <c r="H657" s="56">
        <v>2</v>
      </c>
      <c r="I657" s="56">
        <f t="shared" si="20"/>
        <v>2.2999999999999998</v>
      </c>
      <c r="J657" s="56">
        <f t="shared" si="21"/>
        <v>2.6</v>
      </c>
      <c r="K657" s="70" t="s">
        <v>84</v>
      </c>
    </row>
    <row r="658" spans="1:11" ht="25.5" hidden="1" customHeight="1">
      <c r="A658" s="2" t="s">
        <v>3341</v>
      </c>
      <c r="B658" s="2" t="s">
        <v>10</v>
      </c>
      <c r="C658" s="2">
        <v>0</v>
      </c>
      <c r="D658" s="2" t="s">
        <v>3279</v>
      </c>
      <c r="E658" s="33">
        <v>5</v>
      </c>
      <c r="F658" s="33"/>
      <c r="G658" s="33"/>
      <c r="H658" s="56"/>
      <c r="I658" s="56">
        <f t="shared" si="20"/>
        <v>0</v>
      </c>
      <c r="J658" s="56">
        <f t="shared" si="21"/>
        <v>0</v>
      </c>
      <c r="K658" s="70" t="s">
        <v>84</v>
      </c>
    </row>
    <row r="659" spans="1:11" ht="25.5" hidden="1" customHeight="1">
      <c r="A659" s="2" t="s">
        <v>2628</v>
      </c>
      <c r="B659" s="2" t="s">
        <v>10</v>
      </c>
      <c r="C659" s="2">
        <v>0</v>
      </c>
      <c r="D659" s="2" t="s">
        <v>3279</v>
      </c>
      <c r="E659" s="33">
        <v>5</v>
      </c>
      <c r="F659" s="33"/>
      <c r="G659" s="33"/>
      <c r="H659" s="56"/>
      <c r="I659" s="56">
        <f t="shared" si="20"/>
        <v>0</v>
      </c>
      <c r="J659" s="56">
        <f t="shared" si="21"/>
        <v>0</v>
      </c>
      <c r="K659" s="70" t="s">
        <v>84</v>
      </c>
    </row>
    <row r="660" spans="1:11" ht="25.5" hidden="1" customHeight="1">
      <c r="A660" s="2" t="s">
        <v>3342</v>
      </c>
      <c r="B660" s="2" t="s">
        <v>53</v>
      </c>
      <c r="C660" s="2">
        <v>0</v>
      </c>
      <c r="D660" s="2" t="s">
        <v>3279</v>
      </c>
      <c r="E660" s="33">
        <v>5</v>
      </c>
      <c r="F660" s="33"/>
      <c r="G660" s="33"/>
      <c r="H660" s="56">
        <v>15</v>
      </c>
      <c r="I660" s="56">
        <f t="shared" si="20"/>
        <v>17.25</v>
      </c>
      <c r="J660" s="56">
        <f t="shared" si="21"/>
        <v>19.5</v>
      </c>
      <c r="K660" s="70" t="s">
        <v>84</v>
      </c>
    </row>
    <row r="661" spans="1:11" ht="25.5" hidden="1" customHeight="1">
      <c r="A661" s="2" t="s">
        <v>3343</v>
      </c>
      <c r="B661" s="2" t="s">
        <v>50</v>
      </c>
      <c r="C661" s="2">
        <v>0</v>
      </c>
      <c r="D661" s="2" t="s">
        <v>3279</v>
      </c>
      <c r="E661" s="33">
        <v>5</v>
      </c>
      <c r="F661" s="33"/>
      <c r="G661" s="33"/>
      <c r="H661" s="56">
        <v>6</v>
      </c>
      <c r="I661" s="56">
        <f t="shared" si="20"/>
        <v>6.8999999999999995</v>
      </c>
      <c r="J661" s="56">
        <f t="shared" si="21"/>
        <v>7.8000000000000007</v>
      </c>
      <c r="K661" s="70" t="s">
        <v>84</v>
      </c>
    </row>
    <row r="662" spans="1:11" ht="25.5" hidden="1" customHeight="1">
      <c r="A662" s="33" t="s">
        <v>3347</v>
      </c>
      <c r="B662" s="33" t="s">
        <v>2264</v>
      </c>
      <c r="C662" s="33">
        <v>0</v>
      </c>
      <c r="D662" s="33" t="s">
        <v>3348</v>
      </c>
      <c r="E662" s="33">
        <v>3</v>
      </c>
      <c r="F662" s="33"/>
      <c r="G662" s="33"/>
      <c r="H662" s="56"/>
      <c r="I662" s="56">
        <f t="shared" si="20"/>
        <v>0</v>
      </c>
      <c r="J662" s="56">
        <f t="shared" si="21"/>
        <v>0</v>
      </c>
      <c r="K662" s="70" t="s">
        <v>84</v>
      </c>
    </row>
    <row r="663" spans="1:11" ht="25.5" hidden="1" customHeight="1">
      <c r="A663" s="2" t="s">
        <v>186</v>
      </c>
      <c r="B663" s="33" t="s">
        <v>41</v>
      </c>
      <c r="C663" s="2">
        <v>0</v>
      </c>
      <c r="D663" s="33" t="s">
        <v>3338</v>
      </c>
      <c r="E663" s="33">
        <v>1</v>
      </c>
      <c r="F663" s="33"/>
      <c r="G663" s="33"/>
      <c r="H663" s="56"/>
      <c r="I663" s="56">
        <f t="shared" si="20"/>
        <v>0</v>
      </c>
      <c r="J663" s="56">
        <f t="shared" si="21"/>
        <v>0</v>
      </c>
      <c r="K663" s="70" t="s">
        <v>84</v>
      </c>
    </row>
    <row r="664" spans="1:11" ht="25.5" hidden="1" customHeight="1">
      <c r="A664" s="2" t="s">
        <v>91</v>
      </c>
      <c r="B664" s="2" t="s">
        <v>27</v>
      </c>
      <c r="C664" s="2">
        <v>0</v>
      </c>
      <c r="D664" s="33" t="s">
        <v>3338</v>
      </c>
      <c r="E664" s="33">
        <v>1</v>
      </c>
      <c r="F664" s="33"/>
      <c r="G664" s="33"/>
      <c r="H664" s="56">
        <v>1</v>
      </c>
      <c r="I664" s="56">
        <f t="shared" si="20"/>
        <v>1.1499999999999999</v>
      </c>
      <c r="J664" s="56">
        <f t="shared" si="21"/>
        <v>1.3</v>
      </c>
      <c r="K664" s="70" t="s">
        <v>84</v>
      </c>
    </row>
    <row r="665" spans="1:11" ht="25.5" hidden="1" customHeight="1">
      <c r="A665" s="2" t="s">
        <v>189</v>
      </c>
      <c r="B665" s="2" t="s">
        <v>27</v>
      </c>
      <c r="C665" s="2">
        <v>0</v>
      </c>
      <c r="D665" s="33" t="s">
        <v>3338</v>
      </c>
      <c r="E665" s="33">
        <v>1</v>
      </c>
      <c r="F665" s="33"/>
      <c r="G665" s="33"/>
      <c r="H665" s="56">
        <v>2</v>
      </c>
      <c r="I665" s="56">
        <f t="shared" si="20"/>
        <v>2.2999999999999998</v>
      </c>
      <c r="J665" s="56">
        <f t="shared" si="21"/>
        <v>2.6</v>
      </c>
      <c r="K665" s="70" t="s">
        <v>84</v>
      </c>
    </row>
    <row r="666" spans="1:11" ht="25.5" hidden="1" customHeight="1">
      <c r="A666" s="2" t="s">
        <v>534</v>
      </c>
      <c r="B666" s="2" t="s">
        <v>27</v>
      </c>
      <c r="C666" s="2">
        <v>0</v>
      </c>
      <c r="D666" s="33" t="s">
        <v>3338</v>
      </c>
      <c r="E666" s="33">
        <v>2</v>
      </c>
      <c r="F666" s="33"/>
      <c r="G666" s="33"/>
      <c r="H666" s="56"/>
      <c r="I666" s="56">
        <f t="shared" si="20"/>
        <v>0</v>
      </c>
      <c r="J666" s="56">
        <f t="shared" si="21"/>
        <v>0</v>
      </c>
      <c r="K666" s="70" t="s">
        <v>84</v>
      </c>
    </row>
    <row r="667" spans="1:11" ht="25.5" hidden="1" customHeight="1">
      <c r="A667" s="33" t="s">
        <v>3376</v>
      </c>
      <c r="B667" s="33" t="s">
        <v>3377</v>
      </c>
      <c r="C667" s="2">
        <v>0</v>
      </c>
      <c r="D667" s="33" t="s">
        <v>3348</v>
      </c>
      <c r="E667" s="33">
        <v>3</v>
      </c>
      <c r="F667" s="33"/>
      <c r="G667" s="33"/>
      <c r="H667" s="56">
        <v>45</v>
      </c>
      <c r="I667" s="56">
        <f t="shared" si="20"/>
        <v>51.749999999999993</v>
      </c>
      <c r="J667" s="56">
        <f t="shared" si="21"/>
        <v>58.5</v>
      </c>
      <c r="K667" s="70" t="s">
        <v>84</v>
      </c>
    </row>
    <row r="668" spans="1:11" ht="25.5" hidden="1" customHeight="1">
      <c r="A668" s="2" t="s">
        <v>3424</v>
      </c>
      <c r="B668" s="2" t="s">
        <v>3425</v>
      </c>
      <c r="C668" s="2">
        <v>0</v>
      </c>
      <c r="D668" s="65" t="s">
        <v>3348</v>
      </c>
      <c r="E668" s="33">
        <v>5</v>
      </c>
      <c r="F668" s="33"/>
      <c r="G668" s="33"/>
      <c r="H668" s="56">
        <v>40</v>
      </c>
      <c r="I668" s="56">
        <f t="shared" si="20"/>
        <v>46</v>
      </c>
      <c r="J668" s="56">
        <f t="shared" si="21"/>
        <v>52</v>
      </c>
      <c r="K668" s="70" t="s">
        <v>84</v>
      </c>
    </row>
    <row r="669" spans="1:11" ht="25.5" hidden="1" customHeight="1">
      <c r="A669" s="33" t="s">
        <v>1711</v>
      </c>
      <c r="B669" s="33" t="s">
        <v>1712</v>
      </c>
      <c r="C669" s="2">
        <v>0</v>
      </c>
      <c r="D669" s="65" t="s">
        <v>3348</v>
      </c>
      <c r="E669" s="33">
        <v>5</v>
      </c>
      <c r="F669" s="33"/>
      <c r="G669" s="33"/>
      <c r="H669" s="56"/>
      <c r="I669" s="56">
        <f t="shared" si="20"/>
        <v>0</v>
      </c>
      <c r="J669" s="56">
        <f t="shared" si="21"/>
        <v>0</v>
      </c>
      <c r="K669" s="70" t="s">
        <v>84</v>
      </c>
    </row>
    <row r="670" spans="1:11" ht="25.5" hidden="1" customHeight="1">
      <c r="A670" s="33" t="s">
        <v>3447</v>
      </c>
      <c r="B670" s="83" t="s">
        <v>83</v>
      </c>
      <c r="C670" s="90">
        <v>0</v>
      </c>
      <c r="D670" s="33" t="s">
        <v>3348</v>
      </c>
      <c r="E670" s="33">
        <v>4</v>
      </c>
      <c r="F670" s="33"/>
      <c r="G670" s="33"/>
      <c r="H670" s="56"/>
      <c r="I670" s="56">
        <f t="shared" si="20"/>
        <v>0</v>
      </c>
      <c r="J670" s="56">
        <f t="shared" si="21"/>
        <v>0</v>
      </c>
      <c r="K670" s="70" t="s">
        <v>84</v>
      </c>
    </row>
    <row r="671" spans="1:11" ht="25.5" hidden="1" customHeight="1">
      <c r="A671" s="33" t="s">
        <v>3448</v>
      </c>
      <c r="B671" s="33" t="s">
        <v>2713</v>
      </c>
      <c r="C671" s="2">
        <v>0</v>
      </c>
      <c r="D671" s="33" t="s">
        <v>3348</v>
      </c>
      <c r="E671" s="33">
        <v>4</v>
      </c>
      <c r="F671" s="33"/>
      <c r="G671" s="33"/>
      <c r="H671" s="56" t="s">
        <v>3449</v>
      </c>
      <c r="I671" s="56" t="e">
        <f t="shared" si="20"/>
        <v>#VALUE!</v>
      </c>
      <c r="J671" s="56" t="e">
        <f t="shared" si="21"/>
        <v>#VALUE!</v>
      </c>
      <c r="K671" s="70" t="s">
        <v>84</v>
      </c>
    </row>
    <row r="672" spans="1:11" ht="25.5" hidden="1" customHeight="1">
      <c r="A672" s="33" t="s">
        <v>248</v>
      </c>
      <c r="B672" s="33" t="s">
        <v>137</v>
      </c>
      <c r="C672" s="2">
        <v>0</v>
      </c>
      <c r="D672" s="65" t="s">
        <v>3348</v>
      </c>
      <c r="E672" s="33">
        <v>5</v>
      </c>
      <c r="F672" s="33"/>
      <c r="G672" s="33"/>
      <c r="H672" s="56"/>
      <c r="I672" s="56">
        <f t="shared" si="20"/>
        <v>0</v>
      </c>
      <c r="J672" s="56">
        <f t="shared" si="21"/>
        <v>0</v>
      </c>
      <c r="K672" s="70" t="s">
        <v>84</v>
      </c>
    </row>
    <row r="673" spans="1:11" ht="25.5" hidden="1" customHeight="1">
      <c r="A673" s="2" t="s">
        <v>700</v>
      </c>
      <c r="B673" s="2" t="s">
        <v>50</v>
      </c>
      <c r="C673" s="2">
        <v>0</v>
      </c>
      <c r="D673" s="65" t="s">
        <v>3348</v>
      </c>
      <c r="E673" s="33">
        <v>5</v>
      </c>
      <c r="F673" s="33"/>
      <c r="G673" s="33"/>
      <c r="H673" s="56">
        <v>2</v>
      </c>
      <c r="I673" s="56">
        <f t="shared" si="20"/>
        <v>2.2999999999999998</v>
      </c>
      <c r="J673" s="56">
        <f t="shared" si="21"/>
        <v>2.6</v>
      </c>
      <c r="K673" s="70" t="s">
        <v>84</v>
      </c>
    </row>
    <row r="674" spans="1:11" ht="25.5" hidden="1" customHeight="1">
      <c r="A674" s="2" t="s">
        <v>741</v>
      </c>
      <c r="B674" s="2" t="s">
        <v>50</v>
      </c>
      <c r="C674" s="2">
        <v>0</v>
      </c>
      <c r="D674" s="65" t="s">
        <v>3348</v>
      </c>
      <c r="E674" s="33">
        <v>5</v>
      </c>
      <c r="F674" s="33"/>
      <c r="G674" s="33"/>
      <c r="H674" s="56">
        <v>2</v>
      </c>
      <c r="I674" s="56">
        <f t="shared" si="20"/>
        <v>2.2999999999999998</v>
      </c>
      <c r="J674" s="56">
        <f t="shared" si="21"/>
        <v>2.6</v>
      </c>
      <c r="K674" s="70" t="s">
        <v>84</v>
      </c>
    </row>
    <row r="675" spans="1:11" ht="25.5" hidden="1" customHeight="1">
      <c r="A675" s="2" t="s">
        <v>1849</v>
      </c>
      <c r="B675" s="2" t="s">
        <v>50</v>
      </c>
      <c r="C675" s="2">
        <v>0</v>
      </c>
      <c r="D675" s="65" t="s">
        <v>3348</v>
      </c>
      <c r="E675" s="33">
        <v>5</v>
      </c>
      <c r="F675" s="33"/>
      <c r="G675" s="33"/>
      <c r="H675" s="56">
        <v>2</v>
      </c>
      <c r="I675" s="56">
        <f t="shared" si="20"/>
        <v>2.2999999999999998</v>
      </c>
      <c r="J675" s="56">
        <f t="shared" si="21"/>
        <v>2.6</v>
      </c>
      <c r="K675" s="70" t="s">
        <v>84</v>
      </c>
    </row>
    <row r="676" spans="1:11" ht="25.5" hidden="1" customHeight="1">
      <c r="A676" s="2" t="s">
        <v>1847</v>
      </c>
      <c r="B676" s="2" t="s">
        <v>83</v>
      </c>
      <c r="C676" s="2">
        <v>0</v>
      </c>
      <c r="D676" s="65" t="s">
        <v>3348</v>
      </c>
      <c r="E676" s="33">
        <v>5</v>
      </c>
      <c r="F676" s="33"/>
      <c r="G676" s="33"/>
      <c r="H676" s="56"/>
      <c r="I676" s="56">
        <f t="shared" si="20"/>
        <v>0</v>
      </c>
      <c r="J676" s="56">
        <f t="shared" si="21"/>
        <v>0</v>
      </c>
      <c r="K676" s="70" t="s">
        <v>84</v>
      </c>
    </row>
    <row r="677" spans="1:11" ht="25.5" hidden="1" customHeight="1">
      <c r="A677" s="2" t="s">
        <v>1860</v>
      </c>
      <c r="B677" s="90" t="s">
        <v>27</v>
      </c>
      <c r="C677" s="90">
        <v>0</v>
      </c>
      <c r="D677" s="65" t="s">
        <v>3348</v>
      </c>
      <c r="E677" s="33">
        <v>5</v>
      </c>
      <c r="F677" s="33"/>
      <c r="G677" s="33"/>
      <c r="H677" s="56">
        <v>4</v>
      </c>
      <c r="I677" s="56">
        <f t="shared" si="20"/>
        <v>4.5999999999999996</v>
      </c>
      <c r="J677" s="56">
        <f t="shared" si="21"/>
        <v>5.2</v>
      </c>
      <c r="K677" s="70" t="s">
        <v>84</v>
      </c>
    </row>
    <row r="678" spans="1:11" ht="25.5" hidden="1" customHeight="1">
      <c r="A678" s="2" t="s">
        <v>131</v>
      </c>
      <c r="B678" s="2" t="s">
        <v>10</v>
      </c>
      <c r="C678" s="2">
        <v>0</v>
      </c>
      <c r="D678" s="65" t="s">
        <v>3348</v>
      </c>
      <c r="E678" s="33">
        <v>5</v>
      </c>
      <c r="F678" s="33"/>
      <c r="G678" s="33"/>
      <c r="H678" s="56">
        <v>20</v>
      </c>
      <c r="I678" s="56">
        <f t="shared" si="20"/>
        <v>23</v>
      </c>
      <c r="J678" s="56">
        <f t="shared" si="21"/>
        <v>26</v>
      </c>
      <c r="K678" s="70" t="s">
        <v>84</v>
      </c>
    </row>
    <row r="679" spans="1:11" ht="25.5" hidden="1" customHeight="1">
      <c r="A679" s="2" t="s">
        <v>1845</v>
      </c>
      <c r="B679" s="2" t="s">
        <v>10</v>
      </c>
      <c r="C679" s="2">
        <v>0</v>
      </c>
      <c r="D679" s="65" t="s">
        <v>3348</v>
      </c>
      <c r="E679" s="33">
        <v>5</v>
      </c>
      <c r="F679" s="33"/>
      <c r="G679" s="33"/>
      <c r="H679" s="56"/>
      <c r="I679" s="56">
        <f t="shared" si="20"/>
        <v>0</v>
      </c>
      <c r="J679" s="56">
        <f t="shared" si="21"/>
        <v>0</v>
      </c>
      <c r="K679" s="70" t="s">
        <v>84</v>
      </c>
    </row>
    <row r="680" spans="1:11" ht="25.5" hidden="1" customHeight="1">
      <c r="A680" s="2" t="s">
        <v>1850</v>
      </c>
      <c r="B680" s="2" t="s">
        <v>23</v>
      </c>
      <c r="C680" s="2">
        <v>0</v>
      </c>
      <c r="D680" s="65" t="s">
        <v>3348</v>
      </c>
      <c r="E680" s="33">
        <v>5</v>
      </c>
      <c r="F680" s="33"/>
      <c r="G680" s="33"/>
      <c r="H680" s="56">
        <v>1</v>
      </c>
      <c r="I680" s="56">
        <f t="shared" si="20"/>
        <v>1.1499999999999999</v>
      </c>
      <c r="J680" s="56">
        <f t="shared" si="21"/>
        <v>1.3</v>
      </c>
      <c r="K680" s="70" t="s">
        <v>84</v>
      </c>
    </row>
    <row r="681" spans="1:11" ht="25.5" hidden="1" customHeight="1">
      <c r="A681" s="2" t="s">
        <v>1851</v>
      </c>
      <c r="B681" s="2" t="s">
        <v>10</v>
      </c>
      <c r="C681" s="2">
        <v>0</v>
      </c>
      <c r="D681" s="65" t="s">
        <v>3348</v>
      </c>
      <c r="E681" s="33">
        <v>5</v>
      </c>
      <c r="F681" s="33"/>
      <c r="G681" s="33"/>
      <c r="H681" s="56"/>
      <c r="I681" s="56">
        <f t="shared" si="20"/>
        <v>0</v>
      </c>
      <c r="J681" s="56">
        <f t="shared" si="21"/>
        <v>0</v>
      </c>
      <c r="K681" s="70" t="s">
        <v>84</v>
      </c>
    </row>
    <row r="682" spans="1:11" ht="25.5" hidden="1" customHeight="1">
      <c r="A682" s="2" t="s">
        <v>3450</v>
      </c>
      <c r="B682" s="2" t="s">
        <v>10</v>
      </c>
      <c r="C682" s="2">
        <v>0</v>
      </c>
      <c r="D682" s="65" t="s">
        <v>3348</v>
      </c>
      <c r="E682" s="33">
        <v>5</v>
      </c>
      <c r="F682" s="33"/>
      <c r="G682" s="33"/>
      <c r="H682" s="56"/>
      <c r="I682" s="56">
        <f t="shared" si="20"/>
        <v>0</v>
      </c>
      <c r="J682" s="56">
        <f t="shared" si="21"/>
        <v>0</v>
      </c>
      <c r="K682" s="70" t="s">
        <v>84</v>
      </c>
    </row>
    <row r="683" spans="1:11" ht="25.5" hidden="1" customHeight="1">
      <c r="A683" s="2" t="s">
        <v>303</v>
      </c>
      <c r="B683" s="2" t="s">
        <v>50</v>
      </c>
      <c r="C683" s="2">
        <v>0</v>
      </c>
      <c r="D683" s="65" t="s">
        <v>3348</v>
      </c>
      <c r="E683" s="33">
        <v>5</v>
      </c>
      <c r="F683" s="33"/>
      <c r="G683" s="33"/>
      <c r="H683" s="56"/>
      <c r="I683" s="56">
        <f t="shared" si="20"/>
        <v>0</v>
      </c>
      <c r="J683" s="56">
        <f t="shared" si="21"/>
        <v>0</v>
      </c>
      <c r="K683" s="70" t="s">
        <v>84</v>
      </c>
    </row>
    <row r="684" spans="1:11" ht="25.5" hidden="1" customHeight="1">
      <c r="A684" s="194">
        <v>3039526</v>
      </c>
      <c r="B684" s="11" t="s">
        <v>485</v>
      </c>
      <c r="C684" s="11">
        <v>0</v>
      </c>
      <c r="D684" s="131" t="s">
        <v>3451</v>
      </c>
      <c r="E684" s="11">
        <v>3</v>
      </c>
      <c r="F684" s="11"/>
      <c r="G684" s="11"/>
      <c r="H684" s="56"/>
      <c r="I684" s="56">
        <f t="shared" si="20"/>
        <v>0</v>
      </c>
      <c r="J684" s="56">
        <f t="shared" si="21"/>
        <v>0</v>
      </c>
      <c r="K684" s="70" t="s">
        <v>84</v>
      </c>
    </row>
    <row r="685" spans="1:11" ht="25.5" hidden="1" customHeight="1">
      <c r="A685" s="335">
        <v>29685</v>
      </c>
      <c r="B685" s="204" t="s">
        <v>272</v>
      </c>
      <c r="C685" s="11">
        <v>0</v>
      </c>
      <c r="D685" s="131" t="s">
        <v>3451</v>
      </c>
      <c r="E685" s="15">
        <v>1</v>
      </c>
      <c r="F685" s="15"/>
      <c r="G685" s="15"/>
      <c r="H685" s="56"/>
      <c r="I685" s="56">
        <f t="shared" si="20"/>
        <v>0</v>
      </c>
      <c r="J685" s="56">
        <f t="shared" si="21"/>
        <v>0</v>
      </c>
      <c r="K685" s="70" t="s">
        <v>84</v>
      </c>
    </row>
    <row r="686" spans="1:11" ht="25.5" hidden="1" customHeight="1">
      <c r="A686" s="11" t="s">
        <v>238</v>
      </c>
      <c r="B686" s="11" t="s">
        <v>10</v>
      </c>
      <c r="C686" s="11">
        <v>0</v>
      </c>
      <c r="D686" s="131" t="s">
        <v>3451</v>
      </c>
      <c r="E686" s="11">
        <v>3</v>
      </c>
      <c r="F686" s="11"/>
      <c r="G686" s="11"/>
      <c r="H686" s="56"/>
      <c r="I686" s="56">
        <f t="shared" si="20"/>
        <v>0</v>
      </c>
      <c r="J686" s="56">
        <f t="shared" si="21"/>
        <v>0</v>
      </c>
      <c r="K686" s="70" t="s">
        <v>84</v>
      </c>
    </row>
    <row r="687" spans="1:11" ht="25.5" hidden="1" customHeight="1">
      <c r="A687" s="11" t="s">
        <v>359</v>
      </c>
      <c r="B687" s="11" t="s">
        <v>14</v>
      </c>
      <c r="C687" s="11">
        <v>0</v>
      </c>
      <c r="D687" s="131" t="s">
        <v>3451</v>
      </c>
      <c r="E687" s="11">
        <v>3</v>
      </c>
      <c r="F687" s="11"/>
      <c r="G687" s="11"/>
      <c r="H687" s="56">
        <v>1.5</v>
      </c>
      <c r="I687" s="56">
        <f t="shared" si="20"/>
        <v>1.7249999999999999</v>
      </c>
      <c r="J687" s="56">
        <f t="shared" si="21"/>
        <v>1.9500000000000002</v>
      </c>
      <c r="K687" s="70" t="s">
        <v>84</v>
      </c>
    </row>
    <row r="688" spans="1:11" ht="25.5" hidden="1" customHeight="1">
      <c r="A688" s="10" t="s">
        <v>3519</v>
      </c>
      <c r="B688" s="11" t="s">
        <v>10</v>
      </c>
      <c r="C688" s="2">
        <v>0</v>
      </c>
      <c r="D688" s="131" t="s">
        <v>3451</v>
      </c>
      <c r="E688" s="11">
        <v>3</v>
      </c>
      <c r="F688" s="11"/>
      <c r="G688" s="11"/>
      <c r="H688" s="56">
        <v>70</v>
      </c>
      <c r="I688" s="56">
        <f t="shared" si="20"/>
        <v>80.5</v>
      </c>
      <c r="J688" s="56">
        <f t="shared" si="21"/>
        <v>91</v>
      </c>
      <c r="K688" s="70" t="s">
        <v>84</v>
      </c>
    </row>
    <row r="689" spans="1:11" ht="25.5" hidden="1" customHeight="1">
      <c r="A689" s="11" t="s">
        <v>194</v>
      </c>
      <c r="B689" s="11" t="s">
        <v>10</v>
      </c>
      <c r="C689" s="11">
        <v>0</v>
      </c>
      <c r="D689" s="131" t="s">
        <v>3539</v>
      </c>
      <c r="E689" s="11">
        <v>4</v>
      </c>
      <c r="F689" s="11"/>
      <c r="G689" s="11"/>
      <c r="H689" s="56"/>
      <c r="I689" s="56">
        <f t="shared" si="20"/>
        <v>0</v>
      </c>
      <c r="J689" s="56">
        <f t="shared" si="21"/>
        <v>0</v>
      </c>
      <c r="K689" s="70" t="s">
        <v>84</v>
      </c>
    </row>
    <row r="690" spans="1:11" ht="25.5" hidden="1" customHeight="1">
      <c r="A690" s="11" t="s">
        <v>3542</v>
      </c>
      <c r="B690" s="11" t="s">
        <v>418</v>
      </c>
      <c r="C690" s="2">
        <v>0</v>
      </c>
      <c r="D690" s="131" t="s">
        <v>3451</v>
      </c>
      <c r="E690" s="11">
        <v>2</v>
      </c>
      <c r="F690" s="11"/>
      <c r="G690" s="11"/>
      <c r="H690" s="57">
        <v>950</v>
      </c>
      <c r="I690" s="56">
        <f t="shared" si="20"/>
        <v>1092.5</v>
      </c>
      <c r="J690" s="57">
        <f t="shared" si="21"/>
        <v>1235</v>
      </c>
      <c r="K690" s="70" t="s">
        <v>84</v>
      </c>
    </row>
    <row r="691" spans="1:11" ht="25.5" hidden="1" customHeight="1">
      <c r="A691" s="11" t="s">
        <v>3512</v>
      </c>
      <c r="B691" s="34" t="s">
        <v>3513</v>
      </c>
      <c r="C691" s="2">
        <v>0</v>
      </c>
      <c r="D691" s="131" t="s">
        <v>3451</v>
      </c>
      <c r="E691" s="11">
        <v>2</v>
      </c>
      <c r="F691" s="11"/>
      <c r="G691" s="11"/>
      <c r="H691" s="56"/>
      <c r="I691" s="56">
        <f t="shared" si="20"/>
        <v>0</v>
      </c>
      <c r="J691" s="56">
        <f t="shared" si="21"/>
        <v>0</v>
      </c>
      <c r="K691" s="70" t="s">
        <v>84</v>
      </c>
    </row>
    <row r="692" spans="1:11" ht="25.5" hidden="1" customHeight="1">
      <c r="A692" s="11" t="s">
        <v>3516</v>
      </c>
      <c r="B692" s="34" t="s">
        <v>10</v>
      </c>
      <c r="C692" s="2">
        <v>0</v>
      </c>
      <c r="D692" s="131" t="s">
        <v>3451</v>
      </c>
      <c r="E692" s="11">
        <v>2</v>
      </c>
      <c r="F692" s="11"/>
      <c r="G692" s="11"/>
      <c r="H692" s="56">
        <v>1</v>
      </c>
      <c r="I692" s="56">
        <f t="shared" si="20"/>
        <v>1.1499999999999999</v>
      </c>
      <c r="J692" s="56">
        <f t="shared" si="21"/>
        <v>1.3</v>
      </c>
      <c r="K692" s="70" t="s">
        <v>84</v>
      </c>
    </row>
    <row r="693" spans="1:11" ht="25.5" hidden="1" customHeight="1">
      <c r="A693" s="11" t="s">
        <v>3543</v>
      </c>
      <c r="B693" s="34" t="s">
        <v>10</v>
      </c>
      <c r="C693" s="2">
        <v>0</v>
      </c>
      <c r="D693" s="131" t="s">
        <v>3451</v>
      </c>
      <c r="E693" s="11">
        <v>2</v>
      </c>
      <c r="F693" s="11"/>
      <c r="G693" s="11"/>
      <c r="H693" s="56"/>
      <c r="I693" s="56">
        <f t="shared" si="20"/>
        <v>0</v>
      </c>
      <c r="J693" s="56">
        <f t="shared" si="21"/>
        <v>0</v>
      </c>
      <c r="K693" s="70" t="s">
        <v>84</v>
      </c>
    </row>
    <row r="694" spans="1:11" ht="25.5" hidden="1" customHeight="1">
      <c r="A694" s="11">
        <v>731351</v>
      </c>
      <c r="B694" s="34" t="s">
        <v>1030</v>
      </c>
      <c r="C694" s="2">
        <v>0</v>
      </c>
      <c r="D694" s="131" t="s">
        <v>3451</v>
      </c>
      <c r="E694" s="11">
        <v>2</v>
      </c>
      <c r="F694" s="11"/>
      <c r="G694" s="11"/>
      <c r="H694" s="56"/>
      <c r="I694" s="56">
        <f t="shared" si="20"/>
        <v>0</v>
      </c>
      <c r="J694" s="56">
        <f t="shared" si="21"/>
        <v>0</v>
      </c>
      <c r="K694" s="70" t="s">
        <v>84</v>
      </c>
    </row>
    <row r="695" spans="1:11" ht="25.5" hidden="1" customHeight="1">
      <c r="A695" s="11" t="s">
        <v>3517</v>
      </c>
      <c r="B695" s="34" t="s">
        <v>115</v>
      </c>
      <c r="C695" s="2">
        <v>0</v>
      </c>
      <c r="D695" s="131" t="s">
        <v>3451</v>
      </c>
      <c r="E695" s="11">
        <v>2</v>
      </c>
      <c r="F695" s="11"/>
      <c r="G695" s="11"/>
      <c r="H695" s="56"/>
      <c r="I695" s="56">
        <f t="shared" si="20"/>
        <v>0</v>
      </c>
      <c r="J695" s="56">
        <f t="shared" si="21"/>
        <v>0</v>
      </c>
      <c r="K695" s="70" t="s">
        <v>84</v>
      </c>
    </row>
    <row r="696" spans="1:11" ht="25.5" hidden="1" customHeight="1">
      <c r="A696" s="11" t="s">
        <v>3518</v>
      </c>
      <c r="B696" s="34" t="s">
        <v>115</v>
      </c>
      <c r="C696" s="2">
        <v>0</v>
      </c>
      <c r="D696" s="131" t="s">
        <v>3451</v>
      </c>
      <c r="E696" s="11">
        <v>2</v>
      </c>
      <c r="F696" s="11"/>
      <c r="G696" s="11"/>
      <c r="H696" s="56"/>
      <c r="I696" s="56">
        <f t="shared" si="20"/>
        <v>0</v>
      </c>
      <c r="J696" s="56">
        <f t="shared" si="21"/>
        <v>0</v>
      </c>
      <c r="K696" s="70" t="s">
        <v>84</v>
      </c>
    </row>
    <row r="697" spans="1:11" ht="25.5" hidden="1" customHeight="1">
      <c r="A697" s="11" t="s">
        <v>3514</v>
      </c>
      <c r="B697" s="34" t="s">
        <v>41</v>
      </c>
      <c r="C697" s="2">
        <v>0</v>
      </c>
      <c r="D697" s="131" t="s">
        <v>3451</v>
      </c>
      <c r="E697" s="11">
        <v>2</v>
      </c>
      <c r="F697" s="11"/>
      <c r="G697" s="11"/>
      <c r="H697" s="56"/>
      <c r="I697" s="56">
        <f t="shared" si="20"/>
        <v>0</v>
      </c>
      <c r="J697" s="56">
        <f t="shared" si="21"/>
        <v>0</v>
      </c>
      <c r="K697" s="70" t="s">
        <v>84</v>
      </c>
    </row>
    <row r="698" spans="1:11" ht="25.5" hidden="1" customHeight="1">
      <c r="A698" s="11" t="s">
        <v>3544</v>
      </c>
      <c r="B698" s="34" t="s">
        <v>3511</v>
      </c>
      <c r="C698" s="2">
        <v>0</v>
      </c>
      <c r="D698" s="131" t="s">
        <v>3451</v>
      </c>
      <c r="E698" s="11">
        <v>2</v>
      </c>
      <c r="F698" s="11"/>
      <c r="G698" s="11"/>
      <c r="H698" s="56"/>
      <c r="I698" s="56">
        <f t="shared" si="20"/>
        <v>0</v>
      </c>
      <c r="J698" s="56">
        <f t="shared" si="21"/>
        <v>0</v>
      </c>
      <c r="K698" s="70" t="s">
        <v>84</v>
      </c>
    </row>
    <row r="699" spans="1:11" ht="25.5" hidden="1" customHeight="1">
      <c r="A699" s="11" t="s">
        <v>3524</v>
      </c>
      <c r="B699" s="34" t="s">
        <v>1649</v>
      </c>
      <c r="C699" s="2">
        <v>0</v>
      </c>
      <c r="D699" s="131" t="s">
        <v>3451</v>
      </c>
      <c r="E699" s="11">
        <v>2</v>
      </c>
      <c r="F699" s="11"/>
      <c r="G699" s="11"/>
      <c r="H699" s="56"/>
      <c r="I699" s="56">
        <f t="shared" si="20"/>
        <v>0</v>
      </c>
      <c r="J699" s="56">
        <f t="shared" si="21"/>
        <v>0</v>
      </c>
      <c r="K699" s="70" t="s">
        <v>84</v>
      </c>
    </row>
    <row r="700" spans="1:11" ht="25.5" hidden="1" customHeight="1">
      <c r="A700" s="11" t="s">
        <v>3525</v>
      </c>
      <c r="B700" s="34" t="s">
        <v>1649</v>
      </c>
      <c r="C700" s="2">
        <v>0</v>
      </c>
      <c r="D700" s="131" t="s">
        <v>3451</v>
      </c>
      <c r="E700" s="11">
        <v>2</v>
      </c>
      <c r="F700" s="11"/>
      <c r="G700" s="11"/>
      <c r="H700" s="56"/>
      <c r="I700" s="56">
        <f t="shared" si="20"/>
        <v>0</v>
      </c>
      <c r="J700" s="56">
        <f t="shared" si="21"/>
        <v>0</v>
      </c>
      <c r="K700" s="70" t="s">
        <v>84</v>
      </c>
    </row>
    <row r="701" spans="1:11" ht="25.5" hidden="1" customHeight="1">
      <c r="A701" s="11" t="s">
        <v>3523</v>
      </c>
      <c r="B701" s="34" t="s">
        <v>1649</v>
      </c>
      <c r="C701" s="2">
        <v>0</v>
      </c>
      <c r="D701" s="131" t="s">
        <v>3451</v>
      </c>
      <c r="E701" s="11">
        <v>2</v>
      </c>
      <c r="F701" s="11"/>
      <c r="G701" s="11"/>
      <c r="H701" s="56"/>
      <c r="I701" s="56">
        <f t="shared" si="20"/>
        <v>0</v>
      </c>
      <c r="J701" s="56">
        <f t="shared" si="21"/>
        <v>0</v>
      </c>
      <c r="K701" s="70" t="s">
        <v>84</v>
      </c>
    </row>
    <row r="702" spans="1:11" ht="25.5" hidden="1" customHeight="1">
      <c r="A702" s="11" t="s">
        <v>3522</v>
      </c>
      <c r="B702" s="34" t="s">
        <v>1649</v>
      </c>
      <c r="C702" s="2">
        <v>0</v>
      </c>
      <c r="D702" s="131" t="s">
        <v>3451</v>
      </c>
      <c r="E702" s="11">
        <v>2</v>
      </c>
      <c r="F702" s="11"/>
      <c r="G702" s="11"/>
      <c r="H702" s="56"/>
      <c r="I702" s="56">
        <f t="shared" si="20"/>
        <v>0</v>
      </c>
      <c r="J702" s="56">
        <f t="shared" si="21"/>
        <v>0</v>
      </c>
      <c r="K702" s="70" t="s">
        <v>84</v>
      </c>
    </row>
    <row r="703" spans="1:11" ht="25.5" hidden="1" customHeight="1">
      <c r="A703" s="11" t="s">
        <v>3521</v>
      </c>
      <c r="B703" s="34" t="s">
        <v>1649</v>
      </c>
      <c r="C703" s="2">
        <v>0</v>
      </c>
      <c r="D703" s="131" t="s">
        <v>3451</v>
      </c>
      <c r="E703" s="11">
        <v>2</v>
      </c>
      <c r="F703" s="11"/>
      <c r="G703" s="11"/>
      <c r="H703" s="56"/>
      <c r="I703" s="56">
        <f t="shared" si="20"/>
        <v>0</v>
      </c>
      <c r="J703" s="56">
        <f t="shared" si="21"/>
        <v>0</v>
      </c>
      <c r="K703" s="70" t="s">
        <v>84</v>
      </c>
    </row>
    <row r="704" spans="1:11" ht="25.5" hidden="1" customHeight="1">
      <c r="A704" s="11" t="s">
        <v>3520</v>
      </c>
      <c r="B704" s="34" t="s">
        <v>1649</v>
      </c>
      <c r="C704" s="2">
        <v>0</v>
      </c>
      <c r="D704" s="131" t="s">
        <v>3451</v>
      </c>
      <c r="E704" s="11">
        <v>2</v>
      </c>
      <c r="F704" s="11"/>
      <c r="G704" s="11"/>
      <c r="H704" s="56"/>
      <c r="I704" s="56">
        <f t="shared" si="20"/>
        <v>0</v>
      </c>
      <c r="J704" s="56">
        <f t="shared" si="21"/>
        <v>0</v>
      </c>
      <c r="K704" s="70" t="s">
        <v>84</v>
      </c>
    </row>
    <row r="705" spans="1:11" ht="25.5" hidden="1" customHeight="1">
      <c r="A705" s="11" t="s">
        <v>3526</v>
      </c>
      <c r="B705" s="34" t="s">
        <v>1649</v>
      </c>
      <c r="C705" s="2">
        <v>0</v>
      </c>
      <c r="D705" s="131" t="s">
        <v>3451</v>
      </c>
      <c r="E705" s="11">
        <v>2</v>
      </c>
      <c r="F705" s="11"/>
      <c r="G705" s="11"/>
      <c r="H705" s="56"/>
      <c r="I705" s="56">
        <f t="shared" si="20"/>
        <v>0</v>
      </c>
      <c r="J705" s="56">
        <f t="shared" si="21"/>
        <v>0</v>
      </c>
      <c r="K705" s="70" t="s">
        <v>84</v>
      </c>
    </row>
    <row r="706" spans="1:11" ht="25.5" hidden="1" customHeight="1">
      <c r="A706" s="11" t="s">
        <v>3536</v>
      </c>
      <c r="B706" s="34" t="s">
        <v>1649</v>
      </c>
      <c r="C706" s="2">
        <v>0</v>
      </c>
      <c r="D706" s="131" t="s">
        <v>3451</v>
      </c>
      <c r="E706" s="11">
        <v>2</v>
      </c>
      <c r="F706" s="11"/>
      <c r="G706" s="11"/>
      <c r="H706" s="56"/>
      <c r="I706" s="56">
        <f t="shared" ref="I706:I769" si="22">H706 * 1.15</f>
        <v>0</v>
      </c>
      <c r="J706" s="56">
        <f t="shared" ref="J706:J769" si="23">H706 * 1.3</f>
        <v>0</v>
      </c>
      <c r="K706" s="70" t="s">
        <v>84</v>
      </c>
    </row>
    <row r="707" spans="1:11" ht="25.5" hidden="1" customHeight="1">
      <c r="A707" s="11" t="s">
        <v>3527</v>
      </c>
      <c r="B707" s="34" t="s">
        <v>1649</v>
      </c>
      <c r="C707" s="2">
        <v>0</v>
      </c>
      <c r="D707" s="131" t="s">
        <v>3451</v>
      </c>
      <c r="E707" s="11">
        <v>2</v>
      </c>
      <c r="F707" s="11"/>
      <c r="G707" s="11"/>
      <c r="H707" s="56"/>
      <c r="I707" s="56">
        <f t="shared" si="22"/>
        <v>0</v>
      </c>
      <c r="J707" s="56">
        <f t="shared" si="23"/>
        <v>0</v>
      </c>
      <c r="K707" s="70" t="s">
        <v>84</v>
      </c>
    </row>
    <row r="708" spans="1:11" ht="25.5" hidden="1" customHeight="1">
      <c r="A708" s="64" t="s">
        <v>3545</v>
      </c>
      <c r="B708" s="63" t="s">
        <v>10</v>
      </c>
      <c r="C708" s="2">
        <v>0</v>
      </c>
      <c r="D708" s="131" t="s">
        <v>3451</v>
      </c>
      <c r="E708" s="62">
        <v>3</v>
      </c>
      <c r="F708" s="62"/>
      <c r="G708" s="62"/>
      <c r="H708" s="56"/>
      <c r="I708" s="56">
        <f t="shared" si="22"/>
        <v>0</v>
      </c>
      <c r="J708" s="56">
        <f t="shared" si="23"/>
        <v>0</v>
      </c>
      <c r="K708" s="70" t="s">
        <v>84</v>
      </c>
    </row>
    <row r="709" spans="1:11" ht="25.5" hidden="1" customHeight="1">
      <c r="A709" s="11" t="s">
        <v>3257</v>
      </c>
      <c r="B709" s="11" t="s">
        <v>14</v>
      </c>
      <c r="C709" s="2">
        <v>0</v>
      </c>
      <c r="D709" s="131" t="s">
        <v>3539</v>
      </c>
      <c r="E709" s="11">
        <v>4</v>
      </c>
      <c r="F709" s="11"/>
      <c r="G709" s="11"/>
      <c r="H709" s="56">
        <v>8</v>
      </c>
      <c r="I709" s="56">
        <f t="shared" si="22"/>
        <v>9.1999999999999993</v>
      </c>
      <c r="J709" s="56">
        <f t="shared" si="23"/>
        <v>10.4</v>
      </c>
      <c r="K709" s="70" t="s">
        <v>84</v>
      </c>
    </row>
    <row r="710" spans="1:11" ht="25.5" hidden="1" customHeight="1">
      <c r="A710" s="11" t="s">
        <v>91</v>
      </c>
      <c r="B710" s="11" t="s">
        <v>41</v>
      </c>
      <c r="C710" s="11">
        <v>0</v>
      </c>
      <c r="D710" s="131" t="s">
        <v>3539</v>
      </c>
      <c r="E710" s="15">
        <v>4</v>
      </c>
      <c r="F710" s="15"/>
      <c r="G710" s="15"/>
      <c r="H710" s="56">
        <v>1</v>
      </c>
      <c r="I710" s="56">
        <f t="shared" si="22"/>
        <v>1.1499999999999999</v>
      </c>
      <c r="J710" s="56">
        <f t="shared" si="23"/>
        <v>1.3</v>
      </c>
      <c r="K710" s="70" t="s">
        <v>84</v>
      </c>
    </row>
    <row r="711" spans="1:11" ht="25.5" hidden="1" customHeight="1">
      <c r="A711" s="11">
        <v>7554262</v>
      </c>
      <c r="B711" s="11" t="s">
        <v>34</v>
      </c>
      <c r="C711" s="2">
        <v>0</v>
      </c>
      <c r="D711" s="131" t="s">
        <v>3539</v>
      </c>
      <c r="E711" s="11">
        <v>4</v>
      </c>
      <c r="F711" s="11"/>
      <c r="G711" s="11"/>
      <c r="H711" s="57">
        <v>105</v>
      </c>
      <c r="I711" s="56">
        <f t="shared" si="22"/>
        <v>120.74999999999999</v>
      </c>
      <c r="J711" s="57">
        <f t="shared" si="23"/>
        <v>136.5</v>
      </c>
      <c r="K711" s="70" t="s">
        <v>84</v>
      </c>
    </row>
    <row r="712" spans="1:11" ht="25.5" hidden="1" customHeight="1">
      <c r="A712" s="61">
        <v>7513122</v>
      </c>
      <c r="B712" s="663" t="s">
        <v>34</v>
      </c>
      <c r="C712" s="2">
        <v>0</v>
      </c>
      <c r="D712" s="131" t="s">
        <v>3539</v>
      </c>
      <c r="E712" s="61">
        <v>4</v>
      </c>
      <c r="F712" s="61"/>
      <c r="G712" s="61"/>
      <c r="H712" s="60">
        <v>100</v>
      </c>
      <c r="I712" s="60">
        <f t="shared" si="22"/>
        <v>114.99999999999999</v>
      </c>
      <c r="J712" s="60">
        <f t="shared" si="23"/>
        <v>130</v>
      </c>
      <c r="K712" s="70" t="s">
        <v>84</v>
      </c>
    </row>
    <row r="713" spans="1:11" ht="25.5" hidden="1" customHeight="1">
      <c r="A713" s="2" t="s">
        <v>2121</v>
      </c>
      <c r="B713" s="19" t="s">
        <v>10</v>
      </c>
      <c r="C713" s="33">
        <v>0</v>
      </c>
      <c r="D713" s="2" t="s">
        <v>3548</v>
      </c>
      <c r="E713" s="33">
        <v>5</v>
      </c>
      <c r="F713" s="33"/>
      <c r="G713" s="33"/>
      <c r="H713" s="56"/>
      <c r="I713" s="56">
        <f t="shared" si="22"/>
        <v>0</v>
      </c>
      <c r="J713" s="56">
        <f t="shared" si="23"/>
        <v>0</v>
      </c>
      <c r="K713" s="70" t="s">
        <v>84</v>
      </c>
    </row>
    <row r="714" spans="1:11" ht="25.5" hidden="1" customHeight="1">
      <c r="A714" s="11" t="s">
        <v>3550</v>
      </c>
      <c r="B714" s="9" t="s">
        <v>34</v>
      </c>
      <c r="C714" s="2">
        <v>0</v>
      </c>
      <c r="D714" s="131" t="s">
        <v>3539</v>
      </c>
      <c r="E714" s="11">
        <v>4</v>
      </c>
      <c r="F714" s="11"/>
      <c r="G714" s="11"/>
      <c r="H714" s="56"/>
      <c r="I714" s="56">
        <f t="shared" si="22"/>
        <v>0</v>
      </c>
      <c r="J714" s="56">
        <f t="shared" si="23"/>
        <v>0</v>
      </c>
      <c r="K714" s="70" t="s">
        <v>84</v>
      </c>
    </row>
    <row r="715" spans="1:11" ht="25.5" hidden="1" customHeight="1">
      <c r="A715" s="11" t="s">
        <v>298</v>
      </c>
      <c r="B715" s="11" t="s">
        <v>10</v>
      </c>
      <c r="C715" s="2">
        <v>0</v>
      </c>
      <c r="D715" s="131" t="s">
        <v>3539</v>
      </c>
      <c r="E715" s="11">
        <v>4</v>
      </c>
      <c r="F715" s="11"/>
      <c r="G715" s="11"/>
      <c r="H715" s="56"/>
      <c r="I715" s="56">
        <f t="shared" si="22"/>
        <v>0</v>
      </c>
      <c r="J715" s="56">
        <f t="shared" si="23"/>
        <v>0</v>
      </c>
      <c r="K715" s="70" t="s">
        <v>84</v>
      </c>
    </row>
    <row r="716" spans="1:11" ht="25.5" hidden="1" customHeight="1">
      <c r="A716" s="11">
        <v>7553276</v>
      </c>
      <c r="B716" s="11" t="s">
        <v>34</v>
      </c>
      <c r="C716" s="2">
        <v>0</v>
      </c>
      <c r="D716" s="131" t="s">
        <v>3539</v>
      </c>
      <c r="E716" s="11">
        <v>4</v>
      </c>
      <c r="F716" s="11"/>
      <c r="G716" s="11"/>
      <c r="H716" s="56">
        <v>60</v>
      </c>
      <c r="I716" s="56">
        <f t="shared" si="22"/>
        <v>69</v>
      </c>
      <c r="J716" s="56">
        <f t="shared" si="23"/>
        <v>78</v>
      </c>
      <c r="K716" s="70" t="s">
        <v>84</v>
      </c>
    </row>
    <row r="717" spans="1:11" ht="25.5" hidden="1" customHeight="1">
      <c r="A717" s="11">
        <v>7553575</v>
      </c>
      <c r="B717" s="11" t="s">
        <v>34</v>
      </c>
      <c r="C717" s="2">
        <v>0</v>
      </c>
      <c r="D717" s="131" t="s">
        <v>3539</v>
      </c>
      <c r="E717" s="11">
        <v>4</v>
      </c>
      <c r="F717" s="11"/>
      <c r="G717" s="11"/>
      <c r="H717" s="56">
        <v>200</v>
      </c>
      <c r="I717" s="56">
        <f t="shared" si="22"/>
        <v>229.99999999999997</v>
      </c>
      <c r="J717" s="56">
        <f t="shared" si="23"/>
        <v>260</v>
      </c>
      <c r="K717" s="70" t="s">
        <v>84</v>
      </c>
    </row>
    <row r="718" spans="1:11" ht="25.5" hidden="1" customHeight="1">
      <c r="A718" s="11" t="s">
        <v>2906</v>
      </c>
      <c r="B718" s="11" t="s">
        <v>41</v>
      </c>
      <c r="C718" s="2">
        <v>0</v>
      </c>
      <c r="D718" s="131" t="s">
        <v>3539</v>
      </c>
      <c r="E718" s="11">
        <v>4</v>
      </c>
      <c r="F718" s="11"/>
      <c r="G718" s="11"/>
      <c r="H718" s="56">
        <v>3</v>
      </c>
      <c r="I718" s="56">
        <f t="shared" si="22"/>
        <v>3.4499999999999997</v>
      </c>
      <c r="J718" s="56">
        <f t="shared" si="23"/>
        <v>3.9000000000000004</v>
      </c>
      <c r="K718" s="70" t="s">
        <v>84</v>
      </c>
    </row>
    <row r="719" spans="1:11" ht="25.5" hidden="1" customHeight="1">
      <c r="A719" s="11" t="s">
        <v>2272</v>
      </c>
      <c r="B719" s="11" t="s">
        <v>21</v>
      </c>
      <c r="C719" s="2">
        <v>0</v>
      </c>
      <c r="D719" s="131" t="s">
        <v>3539</v>
      </c>
      <c r="E719" s="11">
        <v>4</v>
      </c>
      <c r="F719" s="11"/>
      <c r="G719" s="11"/>
      <c r="H719" s="56"/>
      <c r="I719" s="56">
        <f t="shared" si="22"/>
        <v>0</v>
      </c>
      <c r="J719" s="56">
        <f t="shared" si="23"/>
        <v>0</v>
      </c>
      <c r="K719" s="70" t="s">
        <v>84</v>
      </c>
    </row>
    <row r="720" spans="1:11" ht="25.5" hidden="1" customHeight="1">
      <c r="A720" s="11" t="s">
        <v>90</v>
      </c>
      <c r="B720" s="11" t="s">
        <v>41</v>
      </c>
      <c r="C720" s="2">
        <v>0</v>
      </c>
      <c r="D720" s="131" t="s">
        <v>3539</v>
      </c>
      <c r="E720" s="11">
        <v>4</v>
      </c>
      <c r="F720" s="11"/>
      <c r="G720" s="11"/>
      <c r="H720" s="56">
        <v>3</v>
      </c>
      <c r="I720" s="56">
        <f t="shared" si="22"/>
        <v>3.4499999999999997</v>
      </c>
      <c r="J720" s="56">
        <f t="shared" si="23"/>
        <v>3.9000000000000004</v>
      </c>
      <c r="K720" s="70" t="s">
        <v>84</v>
      </c>
    </row>
    <row r="721" spans="1:11" ht="25.5" hidden="1" customHeight="1">
      <c r="A721" s="11" t="s">
        <v>229</v>
      </c>
      <c r="B721" s="11" t="s">
        <v>10</v>
      </c>
      <c r="C721" s="2">
        <v>0</v>
      </c>
      <c r="D721" s="131" t="s">
        <v>3539</v>
      </c>
      <c r="E721" s="11">
        <v>4</v>
      </c>
      <c r="F721" s="11"/>
      <c r="G721" s="11"/>
      <c r="H721" s="56"/>
      <c r="I721" s="56">
        <f t="shared" si="22"/>
        <v>0</v>
      </c>
      <c r="J721" s="56">
        <f t="shared" si="23"/>
        <v>0</v>
      </c>
      <c r="K721" s="70" t="s">
        <v>84</v>
      </c>
    </row>
    <row r="722" spans="1:11" ht="25.5" hidden="1" customHeight="1">
      <c r="A722" s="11" t="s">
        <v>182</v>
      </c>
      <c r="B722" s="11" t="s">
        <v>10</v>
      </c>
      <c r="C722" s="2">
        <v>0</v>
      </c>
      <c r="D722" s="131" t="s">
        <v>3539</v>
      </c>
      <c r="E722" s="11">
        <v>4</v>
      </c>
      <c r="F722" s="11"/>
      <c r="G722" s="11"/>
      <c r="H722" s="56">
        <v>1</v>
      </c>
      <c r="I722" s="56">
        <f t="shared" si="22"/>
        <v>1.1499999999999999</v>
      </c>
      <c r="J722" s="56">
        <f t="shared" si="23"/>
        <v>1.3</v>
      </c>
      <c r="K722" s="70" t="s">
        <v>84</v>
      </c>
    </row>
    <row r="723" spans="1:11" ht="25.5" hidden="1" customHeight="1">
      <c r="A723" s="2" t="s">
        <v>298</v>
      </c>
      <c r="B723" s="2" t="s">
        <v>10</v>
      </c>
      <c r="C723" s="2">
        <v>0</v>
      </c>
      <c r="D723" s="2" t="s">
        <v>3548</v>
      </c>
      <c r="E723" s="33">
        <v>5</v>
      </c>
      <c r="F723" s="33"/>
      <c r="G723" s="33"/>
      <c r="H723" s="56"/>
      <c r="I723" s="56">
        <f t="shared" si="22"/>
        <v>0</v>
      </c>
      <c r="J723" s="56">
        <f t="shared" si="23"/>
        <v>0</v>
      </c>
      <c r="K723" s="70" t="s">
        <v>84</v>
      </c>
    </row>
    <row r="724" spans="1:11" ht="25.5" hidden="1" customHeight="1">
      <c r="A724" s="2" t="s">
        <v>3558</v>
      </c>
      <c r="B724" s="2" t="s">
        <v>371</v>
      </c>
      <c r="C724" s="2">
        <v>0</v>
      </c>
      <c r="D724" s="2" t="s">
        <v>3553</v>
      </c>
      <c r="E724" s="33">
        <v>2</v>
      </c>
      <c r="F724" s="33"/>
      <c r="G724" s="33"/>
      <c r="H724" s="56"/>
      <c r="I724" s="56">
        <f t="shared" si="22"/>
        <v>0</v>
      </c>
      <c r="J724" s="56">
        <f t="shared" si="23"/>
        <v>0</v>
      </c>
      <c r="K724" s="70" t="s">
        <v>84</v>
      </c>
    </row>
    <row r="725" spans="1:11" ht="25.5" hidden="1" customHeight="1">
      <c r="A725" s="193" t="s">
        <v>2694</v>
      </c>
      <c r="B725" s="2" t="s">
        <v>10</v>
      </c>
      <c r="C725" s="33">
        <v>0</v>
      </c>
      <c r="D725" s="2" t="s">
        <v>3553</v>
      </c>
      <c r="E725" s="33">
        <v>2</v>
      </c>
      <c r="F725" s="33"/>
      <c r="G725" s="33"/>
      <c r="H725" s="56"/>
      <c r="I725" s="56">
        <f t="shared" si="22"/>
        <v>0</v>
      </c>
      <c r="J725" s="56">
        <f t="shared" si="23"/>
        <v>0</v>
      </c>
      <c r="K725" s="70" t="s">
        <v>84</v>
      </c>
    </row>
    <row r="726" spans="1:11" ht="25.5" hidden="1" customHeight="1">
      <c r="A726" s="2" t="s">
        <v>3562</v>
      </c>
      <c r="B726" s="2" t="s">
        <v>10</v>
      </c>
      <c r="C726" s="33">
        <v>0</v>
      </c>
      <c r="D726" s="2" t="s">
        <v>3553</v>
      </c>
      <c r="E726" s="33">
        <v>2</v>
      </c>
      <c r="F726" s="33"/>
      <c r="G726" s="33"/>
      <c r="H726" s="56"/>
      <c r="I726" s="56">
        <f t="shared" si="22"/>
        <v>0</v>
      </c>
      <c r="J726" s="56">
        <f t="shared" si="23"/>
        <v>0</v>
      </c>
      <c r="K726" s="70" t="s">
        <v>84</v>
      </c>
    </row>
    <row r="727" spans="1:11" ht="25.5" hidden="1" customHeight="1">
      <c r="A727" s="33">
        <v>4559</v>
      </c>
      <c r="B727" s="33" t="s">
        <v>371</v>
      </c>
      <c r="C727" s="33">
        <v>0</v>
      </c>
      <c r="D727" s="2" t="s">
        <v>3566</v>
      </c>
      <c r="E727" s="33">
        <v>5</v>
      </c>
      <c r="F727" s="33"/>
      <c r="G727" s="33"/>
      <c r="H727" s="56"/>
      <c r="I727" s="56">
        <f t="shared" si="22"/>
        <v>0</v>
      </c>
      <c r="J727" s="56">
        <f t="shared" si="23"/>
        <v>0</v>
      </c>
      <c r="K727" s="70" t="s">
        <v>84</v>
      </c>
    </row>
    <row r="728" spans="1:11" ht="25.5" hidden="1" customHeight="1">
      <c r="A728" s="11" t="s">
        <v>589</v>
      </c>
      <c r="B728" s="134" t="s">
        <v>41</v>
      </c>
      <c r="C728" s="5">
        <v>0</v>
      </c>
      <c r="D728" s="131" t="s">
        <v>3577</v>
      </c>
      <c r="E728" s="10">
        <v>4</v>
      </c>
      <c r="F728" s="10"/>
      <c r="G728" s="10"/>
      <c r="H728" s="57">
        <v>5</v>
      </c>
      <c r="I728" s="56">
        <f t="shared" si="22"/>
        <v>5.75</v>
      </c>
      <c r="J728" s="57">
        <f t="shared" si="23"/>
        <v>6.5</v>
      </c>
      <c r="K728" s="70" t="s">
        <v>84</v>
      </c>
    </row>
    <row r="729" spans="1:11" ht="25.5" hidden="1" customHeight="1">
      <c r="A729" s="33" t="s">
        <v>3578</v>
      </c>
      <c r="B729" s="33" t="s">
        <v>10</v>
      </c>
      <c r="C729" s="2">
        <v>0</v>
      </c>
      <c r="D729" s="33" t="s">
        <v>3579</v>
      </c>
      <c r="E729" s="33"/>
      <c r="F729" s="33"/>
      <c r="G729" s="33"/>
      <c r="H729" s="57">
        <v>3.5</v>
      </c>
      <c r="I729" s="56">
        <f t="shared" si="22"/>
        <v>4.0249999999999995</v>
      </c>
      <c r="J729" s="57">
        <f t="shared" si="23"/>
        <v>4.55</v>
      </c>
      <c r="K729" s="70" t="s">
        <v>84</v>
      </c>
    </row>
    <row r="730" spans="1:11" ht="25.5" hidden="1" customHeight="1">
      <c r="A730" s="33" t="s">
        <v>3580</v>
      </c>
      <c r="B730" s="33" t="s">
        <v>10</v>
      </c>
      <c r="C730" s="2">
        <v>0</v>
      </c>
      <c r="D730" s="2" t="s">
        <v>3581</v>
      </c>
      <c r="E730" s="33"/>
      <c r="F730" s="33"/>
      <c r="G730" s="33"/>
      <c r="H730" s="57">
        <v>5</v>
      </c>
      <c r="I730" s="56">
        <f t="shared" si="22"/>
        <v>5.75</v>
      </c>
      <c r="J730" s="57">
        <f t="shared" si="23"/>
        <v>6.5</v>
      </c>
      <c r="K730" s="70" t="s">
        <v>84</v>
      </c>
    </row>
    <row r="731" spans="1:11" ht="25.5" hidden="1" customHeight="1">
      <c r="A731" s="74" t="s">
        <v>2842</v>
      </c>
      <c r="B731" s="74" t="s">
        <v>3582</v>
      </c>
      <c r="C731" s="2">
        <v>0</v>
      </c>
      <c r="D731" s="33" t="s">
        <v>3583</v>
      </c>
      <c r="E731" s="33">
        <v>5</v>
      </c>
      <c r="F731" s="33"/>
      <c r="G731" s="33"/>
      <c r="H731" s="56">
        <v>2</v>
      </c>
      <c r="I731" s="56">
        <f t="shared" si="22"/>
        <v>2.2999999999999998</v>
      </c>
      <c r="J731" s="56">
        <f t="shared" si="23"/>
        <v>2.6</v>
      </c>
      <c r="K731" s="70" t="s">
        <v>84</v>
      </c>
    </row>
    <row r="732" spans="1:11" ht="25.5" hidden="1" customHeight="1">
      <c r="A732" s="2" t="s">
        <v>3620</v>
      </c>
      <c r="B732" s="2" t="s">
        <v>245</v>
      </c>
      <c r="C732" s="2">
        <v>0</v>
      </c>
      <c r="D732" s="2" t="s">
        <v>3568</v>
      </c>
      <c r="E732" s="33">
        <v>3</v>
      </c>
      <c r="F732" s="33"/>
      <c r="G732" s="33"/>
      <c r="H732" s="56"/>
      <c r="I732" s="56">
        <f t="shared" si="22"/>
        <v>0</v>
      </c>
      <c r="J732" s="56">
        <f t="shared" si="23"/>
        <v>0</v>
      </c>
      <c r="K732" s="70" t="s">
        <v>84</v>
      </c>
    </row>
    <row r="733" spans="1:11" ht="25.5" hidden="1" customHeight="1">
      <c r="A733" s="2" t="s">
        <v>3635</v>
      </c>
      <c r="B733" s="2" t="s">
        <v>485</v>
      </c>
      <c r="C733" s="2">
        <v>0</v>
      </c>
      <c r="D733" s="2" t="s">
        <v>3636</v>
      </c>
      <c r="E733" s="33">
        <v>3</v>
      </c>
      <c r="F733" s="33"/>
      <c r="G733" s="33"/>
      <c r="H733" s="56"/>
      <c r="I733" s="56">
        <f t="shared" si="22"/>
        <v>0</v>
      </c>
      <c r="J733" s="56">
        <f t="shared" si="23"/>
        <v>0</v>
      </c>
      <c r="K733" s="70" t="s">
        <v>84</v>
      </c>
    </row>
    <row r="734" spans="1:11" ht="25.5" hidden="1" customHeight="1">
      <c r="A734" s="2" t="s">
        <v>3637</v>
      </c>
      <c r="B734" s="2" t="s">
        <v>485</v>
      </c>
      <c r="C734" s="2">
        <v>0</v>
      </c>
      <c r="D734" s="2" t="s">
        <v>3636</v>
      </c>
      <c r="E734" s="33">
        <v>3</v>
      </c>
      <c r="F734" s="33"/>
      <c r="G734" s="33"/>
      <c r="H734" s="56"/>
      <c r="I734" s="56">
        <f t="shared" si="22"/>
        <v>0</v>
      </c>
      <c r="J734" s="56">
        <f t="shared" si="23"/>
        <v>0</v>
      </c>
      <c r="K734" s="70" t="s">
        <v>84</v>
      </c>
    </row>
    <row r="735" spans="1:11" ht="25.5" hidden="1" customHeight="1">
      <c r="A735" s="2" t="s">
        <v>3638</v>
      </c>
      <c r="B735" s="2" t="s">
        <v>485</v>
      </c>
      <c r="C735" s="2">
        <v>0</v>
      </c>
      <c r="D735" s="2" t="s">
        <v>3636</v>
      </c>
      <c r="E735" s="33">
        <v>3</v>
      </c>
      <c r="F735" s="33"/>
      <c r="G735" s="33"/>
      <c r="H735" s="56"/>
      <c r="I735" s="56">
        <f t="shared" si="22"/>
        <v>0</v>
      </c>
      <c r="J735" s="56">
        <f t="shared" si="23"/>
        <v>0</v>
      </c>
      <c r="K735" s="70" t="s">
        <v>84</v>
      </c>
    </row>
    <row r="736" spans="1:11" ht="25.5" hidden="1" customHeight="1">
      <c r="A736" s="2" t="s">
        <v>2706</v>
      </c>
      <c r="B736" s="2" t="s">
        <v>21</v>
      </c>
      <c r="C736" s="2">
        <v>0</v>
      </c>
      <c r="D736" s="2" t="s">
        <v>3636</v>
      </c>
      <c r="E736" s="33">
        <v>2</v>
      </c>
      <c r="F736" s="33"/>
      <c r="G736" s="33"/>
      <c r="H736" s="56"/>
      <c r="I736" s="56">
        <f t="shared" si="22"/>
        <v>0</v>
      </c>
      <c r="J736" s="56">
        <f t="shared" si="23"/>
        <v>0</v>
      </c>
      <c r="K736" s="70" t="s">
        <v>84</v>
      </c>
    </row>
    <row r="737" spans="1:11" ht="25.5" hidden="1" customHeight="1">
      <c r="A737" s="2">
        <v>6667621</v>
      </c>
      <c r="B737" s="2" t="s">
        <v>34</v>
      </c>
      <c r="C737" s="2">
        <v>0</v>
      </c>
      <c r="D737" s="2" t="s">
        <v>3705</v>
      </c>
      <c r="E737" s="33">
        <v>2</v>
      </c>
      <c r="F737" s="33"/>
      <c r="G737" s="33"/>
      <c r="H737" s="56"/>
      <c r="I737" s="56">
        <f t="shared" si="22"/>
        <v>0</v>
      </c>
      <c r="J737" s="56">
        <f t="shared" si="23"/>
        <v>0</v>
      </c>
      <c r="K737" s="70" t="s">
        <v>84</v>
      </c>
    </row>
    <row r="738" spans="1:11" ht="25.5" customHeight="1">
      <c r="A738" s="33">
        <v>5000198</v>
      </c>
      <c r="B738" s="33" t="s">
        <v>10</v>
      </c>
      <c r="C738" s="33">
        <v>5</v>
      </c>
      <c r="D738" s="33" t="s">
        <v>2540</v>
      </c>
      <c r="E738" s="33">
        <v>2</v>
      </c>
      <c r="F738" s="33"/>
      <c r="G738" s="522"/>
      <c r="H738" s="707">
        <v>1.5</v>
      </c>
      <c r="I738" s="707">
        <f t="shared" si="22"/>
        <v>1.7249999999999999</v>
      </c>
      <c r="J738" s="707">
        <f t="shared" si="23"/>
        <v>1.9500000000000002</v>
      </c>
      <c r="K738" s="70"/>
    </row>
    <row r="739" spans="1:11" ht="25.5" customHeight="1">
      <c r="A739" s="33">
        <v>5000280</v>
      </c>
      <c r="B739" s="33" t="s">
        <v>50</v>
      </c>
      <c r="C739" s="33">
        <v>100</v>
      </c>
      <c r="D739" s="33" t="s">
        <v>1938</v>
      </c>
      <c r="E739" s="33">
        <v>1</v>
      </c>
      <c r="F739" s="33"/>
      <c r="G739" s="522"/>
      <c r="H739" s="707"/>
      <c r="I739" s="707">
        <f t="shared" si="22"/>
        <v>0</v>
      </c>
      <c r="J739" s="707">
        <f t="shared" si="23"/>
        <v>0</v>
      </c>
      <c r="K739" s="70" t="s">
        <v>51</v>
      </c>
    </row>
    <row r="740" spans="1:11" ht="25.5" customHeight="1">
      <c r="A740" s="33">
        <v>5000280</v>
      </c>
      <c r="B740" s="33" t="s">
        <v>10</v>
      </c>
      <c r="C740" s="33">
        <v>2</v>
      </c>
      <c r="D740" s="33" t="s">
        <v>1548</v>
      </c>
      <c r="E740" s="33">
        <v>3</v>
      </c>
      <c r="F740" s="33"/>
      <c r="G740" s="522"/>
      <c r="H740" s="707"/>
      <c r="I740" s="707">
        <f t="shared" si="22"/>
        <v>0</v>
      </c>
      <c r="J740" s="707">
        <f t="shared" si="23"/>
        <v>0</v>
      </c>
      <c r="K740" s="70"/>
    </row>
    <row r="741" spans="1:11" ht="25.5" customHeight="1">
      <c r="A741" s="33">
        <v>5000280</v>
      </c>
      <c r="B741" s="222" t="s">
        <v>10</v>
      </c>
      <c r="C741" s="33">
        <v>90</v>
      </c>
      <c r="D741" s="71" t="s">
        <v>2947</v>
      </c>
      <c r="E741" s="33">
        <v>3</v>
      </c>
      <c r="F741" s="33"/>
      <c r="G741" s="522"/>
      <c r="H741" s="707"/>
      <c r="I741" s="707">
        <f t="shared" si="22"/>
        <v>0</v>
      </c>
      <c r="J741" s="707">
        <f t="shared" si="23"/>
        <v>0</v>
      </c>
      <c r="K741" s="70"/>
    </row>
    <row r="742" spans="1:11" ht="25.5" customHeight="1">
      <c r="A742" s="33">
        <v>5000416</v>
      </c>
      <c r="B742" s="33" t="s">
        <v>83</v>
      </c>
      <c r="C742" s="33">
        <v>8</v>
      </c>
      <c r="D742" s="33" t="s">
        <v>2276</v>
      </c>
      <c r="E742" s="33">
        <v>1</v>
      </c>
      <c r="F742" s="33"/>
      <c r="G742" s="522"/>
      <c r="H742" s="707"/>
      <c r="I742" s="707">
        <f t="shared" si="22"/>
        <v>0</v>
      </c>
      <c r="J742" s="707">
        <f t="shared" si="23"/>
        <v>0</v>
      </c>
      <c r="K742" s="70" t="s">
        <v>51</v>
      </c>
    </row>
    <row r="743" spans="1:11" ht="25.5" customHeight="1">
      <c r="A743" s="33">
        <v>5000920</v>
      </c>
      <c r="B743" s="33" t="s">
        <v>10</v>
      </c>
      <c r="C743" s="33">
        <v>19</v>
      </c>
      <c r="D743" s="33" t="s">
        <v>1938</v>
      </c>
      <c r="E743" s="33">
        <v>2</v>
      </c>
      <c r="F743" s="33"/>
      <c r="G743" s="522"/>
      <c r="H743" s="707">
        <v>800</v>
      </c>
      <c r="I743" s="707">
        <f t="shared" si="22"/>
        <v>919.99999999999989</v>
      </c>
      <c r="J743" s="707">
        <f t="shared" si="23"/>
        <v>1040</v>
      </c>
      <c r="K743" s="70" t="s">
        <v>51</v>
      </c>
    </row>
    <row r="744" spans="1:11" ht="25.5" customHeight="1">
      <c r="A744" s="17">
        <v>5004462</v>
      </c>
      <c r="B744" s="131" t="s">
        <v>3079</v>
      </c>
      <c r="C744" s="17">
        <v>3</v>
      </c>
      <c r="D744" s="33" t="s">
        <v>3053</v>
      </c>
      <c r="E744" s="17">
        <v>2</v>
      </c>
      <c r="F744" s="17"/>
      <c r="G744" s="687"/>
      <c r="H744" s="707">
        <v>250</v>
      </c>
      <c r="I744" s="707">
        <f t="shared" si="22"/>
        <v>287.5</v>
      </c>
      <c r="J744" s="707">
        <f t="shared" si="23"/>
        <v>325</v>
      </c>
      <c r="K744" s="70" t="s">
        <v>51</v>
      </c>
    </row>
    <row r="745" spans="1:11" ht="25.5" customHeight="1">
      <c r="A745" s="11">
        <v>5004484</v>
      </c>
      <c r="B745" s="11" t="s">
        <v>474</v>
      </c>
      <c r="C745" s="11">
        <v>79</v>
      </c>
      <c r="D745" s="131" t="s">
        <v>1775</v>
      </c>
      <c r="E745" s="15">
        <v>5</v>
      </c>
      <c r="F745" s="15"/>
      <c r="G745" s="684"/>
      <c r="H745" s="707"/>
      <c r="I745" s="707">
        <f t="shared" si="22"/>
        <v>0</v>
      </c>
      <c r="J745" s="707">
        <f t="shared" si="23"/>
        <v>0</v>
      </c>
      <c r="K745" s="70"/>
    </row>
    <row r="746" spans="1:11" ht="25.5" customHeight="1">
      <c r="A746" s="74">
        <v>5004524</v>
      </c>
      <c r="B746" s="74" t="s">
        <v>2238</v>
      </c>
      <c r="C746" s="74">
        <v>22</v>
      </c>
      <c r="D746" s="33" t="s">
        <v>2191</v>
      </c>
      <c r="E746" s="33">
        <v>5</v>
      </c>
      <c r="F746" s="33"/>
      <c r="G746" s="522"/>
      <c r="H746" s="707"/>
      <c r="I746" s="707">
        <f t="shared" si="22"/>
        <v>0</v>
      </c>
      <c r="J746" s="707">
        <f t="shared" si="23"/>
        <v>0</v>
      </c>
      <c r="K746" s="70"/>
    </row>
    <row r="747" spans="1:11" ht="25.5" customHeight="1">
      <c r="A747" s="11">
        <v>5004627</v>
      </c>
      <c r="B747" s="11" t="s">
        <v>2776</v>
      </c>
      <c r="C747" s="11">
        <v>35</v>
      </c>
      <c r="D747" s="131" t="s">
        <v>2772</v>
      </c>
      <c r="E747" s="17">
        <v>4</v>
      </c>
      <c r="F747" s="17"/>
      <c r="G747" s="687"/>
      <c r="H747" s="707">
        <v>180</v>
      </c>
      <c r="I747" s="707">
        <f t="shared" si="22"/>
        <v>206.99999999999997</v>
      </c>
      <c r="J747" s="707">
        <f t="shared" si="23"/>
        <v>234</v>
      </c>
      <c r="K747" s="70"/>
    </row>
    <row r="748" spans="1:11" ht="25.5" customHeight="1">
      <c r="A748" s="59">
        <v>5004704</v>
      </c>
      <c r="B748" s="59" t="s">
        <v>147</v>
      </c>
      <c r="C748" s="59">
        <v>133</v>
      </c>
      <c r="D748" s="33" t="s">
        <v>2624</v>
      </c>
      <c r="E748" s="354">
        <v>5</v>
      </c>
      <c r="F748" s="354"/>
      <c r="G748" s="688"/>
      <c r="H748" s="707"/>
      <c r="I748" s="707">
        <f t="shared" si="22"/>
        <v>0</v>
      </c>
      <c r="J748" s="707">
        <f t="shared" si="23"/>
        <v>0</v>
      </c>
      <c r="K748" s="70"/>
    </row>
    <row r="749" spans="1:11" ht="25.5" customHeight="1">
      <c r="A749" s="74">
        <v>5005388</v>
      </c>
      <c r="B749" s="74" t="s">
        <v>2528</v>
      </c>
      <c r="C749" s="74">
        <v>4</v>
      </c>
      <c r="D749" s="33" t="s">
        <v>2504</v>
      </c>
      <c r="E749" s="33">
        <v>5</v>
      </c>
      <c r="F749" s="33"/>
      <c r="G749" s="522"/>
      <c r="H749" s="707"/>
      <c r="I749" s="707">
        <f t="shared" si="22"/>
        <v>0</v>
      </c>
      <c r="J749" s="707">
        <f t="shared" si="23"/>
        <v>0</v>
      </c>
      <c r="K749" s="70"/>
    </row>
    <row r="750" spans="1:11" ht="25.5" customHeight="1">
      <c r="A750" s="33">
        <v>5005498</v>
      </c>
      <c r="B750" s="33" t="s">
        <v>529</v>
      </c>
      <c r="C750" s="33">
        <v>56</v>
      </c>
      <c r="D750" s="33" t="s">
        <v>1201</v>
      </c>
      <c r="E750" s="33">
        <v>3</v>
      </c>
      <c r="F750" s="33"/>
      <c r="G750" s="522"/>
      <c r="H750" s="707"/>
      <c r="I750" s="707">
        <f t="shared" si="22"/>
        <v>0</v>
      </c>
      <c r="J750" s="707">
        <f t="shared" si="23"/>
        <v>0</v>
      </c>
      <c r="K750" s="70"/>
    </row>
    <row r="751" spans="1:11" ht="25.5" customHeight="1">
      <c r="A751" s="59">
        <v>5006377</v>
      </c>
      <c r="B751" s="59" t="s">
        <v>2238</v>
      </c>
      <c r="C751" s="59">
        <v>32</v>
      </c>
      <c r="D751" s="33" t="s">
        <v>3053</v>
      </c>
      <c r="E751" s="354">
        <v>5</v>
      </c>
      <c r="F751" s="354"/>
      <c r="G751" s="688"/>
      <c r="H751" s="707"/>
      <c r="I751" s="707">
        <f t="shared" si="22"/>
        <v>0</v>
      </c>
      <c r="J751" s="707">
        <f t="shared" si="23"/>
        <v>0</v>
      </c>
      <c r="K751" s="70"/>
    </row>
    <row r="752" spans="1:11" ht="25.5" customHeight="1">
      <c r="A752" s="74">
        <v>5007046</v>
      </c>
      <c r="B752" s="74" t="s">
        <v>23</v>
      </c>
      <c r="C752" s="74">
        <v>2</v>
      </c>
      <c r="D752" s="33" t="s">
        <v>2191</v>
      </c>
      <c r="E752" s="33">
        <v>5</v>
      </c>
      <c r="F752" s="33"/>
      <c r="G752" s="522"/>
      <c r="H752" s="707">
        <v>60</v>
      </c>
      <c r="I752" s="707">
        <f t="shared" si="22"/>
        <v>69</v>
      </c>
      <c r="J752" s="707">
        <f t="shared" si="23"/>
        <v>78</v>
      </c>
      <c r="K752" s="70"/>
    </row>
    <row r="753" spans="1:11" ht="25.5" customHeight="1">
      <c r="A753" s="74">
        <v>5007046</v>
      </c>
      <c r="B753" s="74" t="s">
        <v>23</v>
      </c>
      <c r="C753" s="74">
        <v>2</v>
      </c>
      <c r="D753" s="33" t="s">
        <v>2504</v>
      </c>
      <c r="E753" s="33">
        <v>5</v>
      </c>
      <c r="F753" s="33"/>
      <c r="G753" s="522"/>
      <c r="H753" s="707">
        <v>60</v>
      </c>
      <c r="I753" s="707">
        <f t="shared" si="22"/>
        <v>69</v>
      </c>
      <c r="J753" s="707">
        <f t="shared" si="23"/>
        <v>78</v>
      </c>
      <c r="K753" s="70"/>
    </row>
    <row r="754" spans="1:11" ht="25.5" customHeight="1">
      <c r="A754" s="33">
        <v>5007225</v>
      </c>
      <c r="B754" s="33" t="s">
        <v>96</v>
      </c>
      <c r="C754" s="33">
        <v>3</v>
      </c>
      <c r="D754" s="33" t="s">
        <v>2276</v>
      </c>
      <c r="E754" s="33">
        <v>1</v>
      </c>
      <c r="F754" s="33"/>
      <c r="G754" s="522"/>
      <c r="H754" s="707">
        <v>1000</v>
      </c>
      <c r="I754" s="707">
        <f t="shared" si="22"/>
        <v>1150</v>
      </c>
      <c r="J754" s="707">
        <f t="shared" si="23"/>
        <v>1300</v>
      </c>
      <c r="K754" s="70"/>
    </row>
    <row r="755" spans="1:11" ht="25.5" customHeight="1">
      <c r="A755" s="11">
        <v>5007225</v>
      </c>
      <c r="B755" s="34" t="s">
        <v>96</v>
      </c>
      <c r="C755" s="11">
        <v>1</v>
      </c>
      <c r="D755" s="33" t="s">
        <v>3053</v>
      </c>
      <c r="E755" s="33">
        <v>3</v>
      </c>
      <c r="F755" s="33"/>
      <c r="G755" s="522"/>
      <c r="H755" s="707">
        <v>1000</v>
      </c>
      <c r="I755" s="707">
        <f t="shared" si="22"/>
        <v>1150</v>
      </c>
      <c r="J755" s="707">
        <f t="shared" si="23"/>
        <v>1300</v>
      </c>
      <c r="K755" s="70"/>
    </row>
    <row r="756" spans="1:11" ht="25.5" customHeight="1">
      <c r="A756" s="74">
        <v>5007415</v>
      </c>
      <c r="B756" s="74" t="s">
        <v>1030</v>
      </c>
      <c r="C756" s="74">
        <v>1</v>
      </c>
      <c r="D756" s="33" t="s">
        <v>2504</v>
      </c>
      <c r="E756" s="33">
        <v>5</v>
      </c>
      <c r="F756" s="33"/>
      <c r="G756" s="522"/>
      <c r="H756" s="707"/>
      <c r="I756" s="707">
        <f t="shared" si="22"/>
        <v>0</v>
      </c>
      <c r="J756" s="707">
        <f t="shared" si="23"/>
        <v>0</v>
      </c>
      <c r="K756" s="70"/>
    </row>
    <row r="757" spans="1:11" ht="25.5" customHeight="1">
      <c r="A757" s="11">
        <v>5008120</v>
      </c>
      <c r="B757" s="11" t="s">
        <v>96</v>
      </c>
      <c r="C757" s="11">
        <v>4</v>
      </c>
      <c r="D757" s="131" t="s">
        <v>1723</v>
      </c>
      <c r="E757" s="15">
        <v>1</v>
      </c>
      <c r="F757" s="15"/>
      <c r="G757" s="684"/>
      <c r="H757" s="707">
        <v>1500</v>
      </c>
      <c r="I757" s="707">
        <f t="shared" si="22"/>
        <v>1724.9999999999998</v>
      </c>
      <c r="J757" s="707">
        <f t="shared" si="23"/>
        <v>1950</v>
      </c>
      <c r="K757" s="70"/>
    </row>
    <row r="758" spans="1:11" ht="25.5" customHeight="1">
      <c r="A758" s="74">
        <v>5009098</v>
      </c>
      <c r="B758" s="74" t="s">
        <v>147</v>
      </c>
      <c r="C758" s="74">
        <v>192</v>
      </c>
      <c r="D758" s="33" t="s">
        <v>2191</v>
      </c>
      <c r="E758" s="33">
        <v>5</v>
      </c>
      <c r="F758" s="33"/>
      <c r="G758" s="522"/>
      <c r="H758" s="707">
        <v>1.5</v>
      </c>
      <c r="I758" s="707">
        <f t="shared" si="22"/>
        <v>1.7249999999999999</v>
      </c>
      <c r="J758" s="707">
        <f t="shared" si="23"/>
        <v>1.9500000000000002</v>
      </c>
      <c r="K758" s="70"/>
    </row>
    <row r="759" spans="1:11" ht="25.5" customHeight="1">
      <c r="A759" s="59">
        <v>5010655</v>
      </c>
      <c r="B759" s="59" t="s">
        <v>845</v>
      </c>
      <c r="C759" s="59">
        <v>1</v>
      </c>
      <c r="D759" s="33" t="s">
        <v>3053</v>
      </c>
      <c r="E759" s="354">
        <v>5</v>
      </c>
      <c r="F759" s="354"/>
      <c r="G759" s="688"/>
      <c r="H759" s="707"/>
      <c r="I759" s="707">
        <f t="shared" si="22"/>
        <v>0</v>
      </c>
      <c r="J759" s="707">
        <f t="shared" si="23"/>
        <v>0</v>
      </c>
      <c r="K759" s="70"/>
    </row>
    <row r="760" spans="1:11" ht="25.5" customHeight="1">
      <c r="A760" s="3">
        <v>5011750</v>
      </c>
      <c r="B760" s="3" t="s">
        <v>2934</v>
      </c>
      <c r="C760" s="3">
        <v>5</v>
      </c>
      <c r="D760" s="15" t="s">
        <v>2918</v>
      </c>
      <c r="E760" s="15">
        <v>1</v>
      </c>
      <c r="F760" s="15"/>
      <c r="G760" s="684"/>
      <c r="H760" s="707"/>
      <c r="I760" s="707">
        <f t="shared" si="22"/>
        <v>0</v>
      </c>
      <c r="J760" s="707">
        <f t="shared" si="23"/>
        <v>0</v>
      </c>
      <c r="K760" s="70"/>
    </row>
    <row r="761" spans="1:11" ht="25.5" customHeight="1">
      <c r="A761" s="33">
        <v>5011942</v>
      </c>
      <c r="B761" s="66" t="s">
        <v>2238</v>
      </c>
      <c r="C761" s="66">
        <v>2</v>
      </c>
      <c r="D761" s="66" t="s">
        <v>2363</v>
      </c>
      <c r="E761" s="66">
        <v>5</v>
      </c>
      <c r="F761" s="66"/>
      <c r="G761" s="689"/>
      <c r="H761" s="707"/>
      <c r="I761" s="707">
        <f t="shared" si="22"/>
        <v>0</v>
      </c>
      <c r="J761" s="707">
        <f t="shared" si="23"/>
        <v>0</v>
      </c>
      <c r="K761" s="70"/>
    </row>
    <row r="762" spans="1:11" ht="25.5" customHeight="1">
      <c r="A762" s="74">
        <v>7373057</v>
      </c>
      <c r="B762" s="74" t="s">
        <v>640</v>
      </c>
      <c r="C762" s="74">
        <v>1</v>
      </c>
      <c r="D762" s="33" t="s">
        <v>2191</v>
      </c>
      <c r="E762" s="33">
        <v>5</v>
      </c>
      <c r="F762" s="33"/>
      <c r="G762" s="522"/>
      <c r="H762" s="707">
        <v>20</v>
      </c>
      <c r="I762" s="707">
        <f t="shared" si="22"/>
        <v>23</v>
      </c>
      <c r="J762" s="707">
        <f t="shared" si="23"/>
        <v>26</v>
      </c>
      <c r="K762" s="70"/>
    </row>
    <row r="763" spans="1:11" ht="25.5" customHeight="1">
      <c r="A763" s="33">
        <v>7511122</v>
      </c>
      <c r="B763" s="33" t="s">
        <v>34</v>
      </c>
      <c r="C763" s="33">
        <v>1</v>
      </c>
      <c r="D763" s="2" t="s">
        <v>11</v>
      </c>
      <c r="E763" s="33">
        <v>1</v>
      </c>
      <c r="F763" s="33"/>
      <c r="G763" s="522"/>
      <c r="H763" s="707"/>
      <c r="I763" s="707">
        <f t="shared" si="22"/>
        <v>0</v>
      </c>
      <c r="J763" s="707">
        <f t="shared" si="23"/>
        <v>0</v>
      </c>
      <c r="K763" s="70"/>
    </row>
    <row r="764" spans="1:11" ht="25.5" customHeight="1">
      <c r="A764" s="17">
        <v>7513128</v>
      </c>
      <c r="B764" s="17" t="s">
        <v>245</v>
      </c>
      <c r="C764" s="17">
        <v>5</v>
      </c>
      <c r="D764" s="131" t="s">
        <v>2868</v>
      </c>
      <c r="E764" s="15">
        <v>4</v>
      </c>
      <c r="F764" s="15"/>
      <c r="G764" s="684"/>
      <c r="H764" s="707">
        <v>100</v>
      </c>
      <c r="I764" s="707">
        <f t="shared" si="22"/>
        <v>114.99999999999999</v>
      </c>
      <c r="J764" s="707">
        <f t="shared" si="23"/>
        <v>130</v>
      </c>
      <c r="K764" s="70"/>
    </row>
    <row r="765" spans="1:11" ht="25.5" customHeight="1">
      <c r="A765" s="11">
        <v>7513128</v>
      </c>
      <c r="B765" s="11" t="s">
        <v>34</v>
      </c>
      <c r="C765" s="11">
        <v>2</v>
      </c>
      <c r="D765" s="131" t="s">
        <v>3539</v>
      </c>
      <c r="E765" s="15">
        <v>4</v>
      </c>
      <c r="F765" s="15"/>
      <c r="G765" s="684"/>
      <c r="H765" s="707">
        <v>100</v>
      </c>
      <c r="I765" s="707">
        <f t="shared" si="22"/>
        <v>114.99999999999999</v>
      </c>
      <c r="J765" s="707">
        <f t="shared" si="23"/>
        <v>130</v>
      </c>
      <c r="K765" s="70"/>
    </row>
    <row r="766" spans="1:11" ht="25.5" customHeight="1">
      <c r="A766" s="2">
        <v>7513128</v>
      </c>
      <c r="B766" s="2" t="s">
        <v>34</v>
      </c>
      <c r="C766" s="2">
        <v>2</v>
      </c>
      <c r="D766" s="2" t="s">
        <v>3568</v>
      </c>
      <c r="E766" s="33">
        <v>3</v>
      </c>
      <c r="F766" s="33"/>
      <c r="G766" s="522"/>
      <c r="H766" s="707">
        <v>100</v>
      </c>
      <c r="I766" s="707">
        <f t="shared" si="22"/>
        <v>114.99999999999999</v>
      </c>
      <c r="J766" s="707">
        <f t="shared" si="23"/>
        <v>130</v>
      </c>
      <c r="K766" s="70"/>
    </row>
    <row r="767" spans="1:11" ht="25.5" customHeight="1">
      <c r="A767" s="17">
        <v>7513983</v>
      </c>
      <c r="B767" s="17" t="s">
        <v>245</v>
      </c>
      <c r="C767" s="17">
        <v>8</v>
      </c>
      <c r="D767" s="131" t="s">
        <v>2868</v>
      </c>
      <c r="E767" s="15">
        <v>4</v>
      </c>
      <c r="F767" s="15"/>
      <c r="G767" s="684"/>
      <c r="H767" s="707">
        <v>35</v>
      </c>
      <c r="I767" s="707">
        <f t="shared" si="22"/>
        <v>40.25</v>
      </c>
      <c r="J767" s="707">
        <f t="shared" si="23"/>
        <v>45.5</v>
      </c>
      <c r="K767" s="70"/>
    </row>
    <row r="768" spans="1:11" ht="25.5" customHeight="1">
      <c r="A768" s="33">
        <v>7515128</v>
      </c>
      <c r="B768" s="33" t="s">
        <v>245</v>
      </c>
      <c r="C768" s="33">
        <v>2</v>
      </c>
      <c r="D768" s="2" t="s">
        <v>888</v>
      </c>
      <c r="E768" s="33">
        <v>5</v>
      </c>
      <c r="F768" s="33"/>
      <c r="G768" s="522"/>
      <c r="H768" s="707"/>
      <c r="I768" s="707">
        <f t="shared" si="22"/>
        <v>0</v>
      </c>
      <c r="J768" s="707">
        <f t="shared" si="23"/>
        <v>0</v>
      </c>
      <c r="K768" s="55"/>
    </row>
    <row r="769" spans="1:11" ht="25.5" customHeight="1">
      <c r="A769" s="33">
        <v>7515128</v>
      </c>
      <c r="B769" s="33" t="s">
        <v>2000</v>
      </c>
      <c r="C769" s="33">
        <v>1</v>
      </c>
      <c r="D769" s="33" t="s">
        <v>1938</v>
      </c>
      <c r="E769" s="33">
        <v>2</v>
      </c>
      <c r="F769" s="33"/>
      <c r="G769" s="522"/>
      <c r="H769" s="707"/>
      <c r="I769" s="707">
        <f t="shared" si="22"/>
        <v>0</v>
      </c>
      <c r="J769" s="707">
        <f t="shared" si="23"/>
        <v>0</v>
      </c>
      <c r="K769" s="70"/>
    </row>
    <row r="770" spans="1:11" ht="25.5" customHeight="1">
      <c r="A770" s="2">
        <v>7551858</v>
      </c>
      <c r="B770" s="2" t="s">
        <v>227</v>
      </c>
      <c r="C770" s="2">
        <v>1</v>
      </c>
      <c r="D770" s="2" t="s">
        <v>3705</v>
      </c>
      <c r="E770" s="33">
        <v>2</v>
      </c>
      <c r="F770" s="33"/>
      <c r="G770" s="522"/>
      <c r="H770" s="707"/>
      <c r="I770" s="707">
        <f t="shared" ref="I770:I833" si="24">H770 * 1.15</f>
        <v>0</v>
      </c>
      <c r="J770" s="707">
        <f t="shared" ref="J770:J833" si="25">H770 * 1.3</f>
        <v>0</v>
      </c>
      <c r="K770" s="55"/>
    </row>
    <row r="771" spans="1:11" ht="25.5" customHeight="1">
      <c r="A771" s="2">
        <v>7552496</v>
      </c>
      <c r="B771" s="2" t="s">
        <v>34</v>
      </c>
      <c r="C771" s="2">
        <v>2</v>
      </c>
      <c r="D771" s="33" t="s">
        <v>3671</v>
      </c>
      <c r="E771" s="33">
        <v>1</v>
      </c>
      <c r="F771" s="33"/>
      <c r="G771" s="522"/>
      <c r="H771" s="707"/>
      <c r="I771" s="707">
        <f t="shared" si="24"/>
        <v>0</v>
      </c>
      <c r="J771" s="707">
        <f t="shared" si="25"/>
        <v>0</v>
      </c>
      <c r="K771" s="70"/>
    </row>
    <row r="772" spans="1:11" ht="25.5" customHeight="1">
      <c r="A772" s="33">
        <v>7553574</v>
      </c>
      <c r="B772" s="33" t="s">
        <v>130</v>
      </c>
      <c r="C772" s="33">
        <v>46</v>
      </c>
      <c r="D772" s="33" t="s">
        <v>3338</v>
      </c>
      <c r="E772" s="33">
        <v>2</v>
      </c>
      <c r="F772" s="33"/>
      <c r="G772" s="522"/>
      <c r="H772" s="707">
        <v>150</v>
      </c>
      <c r="I772" s="707">
        <f t="shared" si="24"/>
        <v>172.5</v>
      </c>
      <c r="J772" s="707">
        <f t="shared" si="25"/>
        <v>195</v>
      </c>
      <c r="K772" s="70"/>
    </row>
    <row r="773" spans="1:11" ht="25.5" customHeight="1">
      <c r="A773" s="11">
        <v>7553574</v>
      </c>
      <c r="B773" s="11" t="s">
        <v>34</v>
      </c>
      <c r="C773" s="11">
        <v>6</v>
      </c>
      <c r="D773" s="131" t="s">
        <v>3539</v>
      </c>
      <c r="E773" s="15">
        <v>4</v>
      </c>
      <c r="F773" s="15"/>
      <c r="G773" s="684"/>
      <c r="H773" s="707">
        <v>150</v>
      </c>
      <c r="I773" s="707">
        <f t="shared" si="24"/>
        <v>172.5</v>
      </c>
      <c r="J773" s="707">
        <f t="shared" si="25"/>
        <v>195</v>
      </c>
      <c r="K773" s="70"/>
    </row>
    <row r="774" spans="1:11" ht="25.5" customHeight="1">
      <c r="A774" s="33">
        <v>7553575</v>
      </c>
      <c r="B774" s="33" t="s">
        <v>130</v>
      </c>
      <c r="C774" s="33">
        <v>23</v>
      </c>
      <c r="D774" s="33" t="s">
        <v>3338</v>
      </c>
      <c r="E774" s="33">
        <v>1</v>
      </c>
      <c r="F774" s="33"/>
      <c r="G774" s="522"/>
      <c r="H774" s="707">
        <v>200</v>
      </c>
      <c r="I774" s="707">
        <f t="shared" si="24"/>
        <v>229.99999999999997</v>
      </c>
      <c r="J774" s="707">
        <f t="shared" si="25"/>
        <v>260</v>
      </c>
      <c r="K774" s="70"/>
    </row>
    <row r="775" spans="1:11" ht="25.5" customHeight="1">
      <c r="A775" s="75">
        <v>7553848</v>
      </c>
      <c r="B775" s="33" t="s">
        <v>34</v>
      </c>
      <c r="C775" s="33">
        <v>1</v>
      </c>
      <c r="D775" s="2" t="s">
        <v>11</v>
      </c>
      <c r="E775" s="33">
        <v>3</v>
      </c>
      <c r="F775" s="33"/>
      <c r="G775" s="522"/>
      <c r="H775" s="707"/>
      <c r="I775" s="707">
        <f t="shared" si="24"/>
        <v>0</v>
      </c>
      <c r="J775" s="707">
        <f t="shared" si="25"/>
        <v>0</v>
      </c>
      <c r="K775" s="70"/>
    </row>
    <row r="776" spans="1:11" ht="25.5" customHeight="1">
      <c r="A776" s="33">
        <v>7554262</v>
      </c>
      <c r="B776" s="33" t="s">
        <v>34</v>
      </c>
      <c r="C776" s="33">
        <v>4</v>
      </c>
      <c r="D776" s="33" t="s">
        <v>1938</v>
      </c>
      <c r="E776" s="33">
        <v>1</v>
      </c>
      <c r="F776" s="33"/>
      <c r="G776" s="522"/>
      <c r="H776" s="707"/>
      <c r="I776" s="707">
        <f t="shared" si="24"/>
        <v>0</v>
      </c>
      <c r="J776" s="707">
        <f t="shared" si="25"/>
        <v>0</v>
      </c>
      <c r="K776" s="70"/>
    </row>
    <row r="777" spans="1:11" ht="25.5" customHeight="1">
      <c r="A777" s="33">
        <v>7554265</v>
      </c>
      <c r="B777" s="33" t="s">
        <v>34</v>
      </c>
      <c r="C777" s="33">
        <v>10</v>
      </c>
      <c r="D777" s="2" t="s">
        <v>274</v>
      </c>
      <c r="E777" s="33">
        <v>3</v>
      </c>
      <c r="F777" s="33"/>
      <c r="G777" s="522"/>
      <c r="H777" s="707"/>
      <c r="I777" s="707">
        <f t="shared" si="24"/>
        <v>0</v>
      </c>
      <c r="J777" s="707">
        <f t="shared" si="25"/>
        <v>0</v>
      </c>
      <c r="K777" s="70" t="s">
        <v>428</v>
      </c>
    </row>
    <row r="778" spans="1:11" ht="25.5" customHeight="1">
      <c r="A778" s="59">
        <v>7554265</v>
      </c>
      <c r="B778" s="59" t="s">
        <v>130</v>
      </c>
      <c r="C778" s="59">
        <v>28</v>
      </c>
      <c r="D778" s="33" t="s">
        <v>3053</v>
      </c>
      <c r="E778" s="354">
        <v>5</v>
      </c>
      <c r="F778" s="354"/>
      <c r="G778" s="688"/>
      <c r="H778" s="707">
        <v>45</v>
      </c>
      <c r="I778" s="707">
        <f t="shared" si="24"/>
        <v>51.749999999999993</v>
      </c>
      <c r="J778" s="707">
        <f t="shared" si="25"/>
        <v>58.5</v>
      </c>
      <c r="K778" s="70" t="s">
        <v>8020</v>
      </c>
    </row>
    <row r="779" spans="1:11" ht="25.5" customHeight="1">
      <c r="A779" s="59">
        <v>7555002</v>
      </c>
      <c r="B779" s="33" t="s">
        <v>34</v>
      </c>
      <c r="C779" s="33">
        <v>1</v>
      </c>
      <c r="D779" s="33" t="s">
        <v>1372</v>
      </c>
      <c r="E779" s="33">
        <v>4</v>
      </c>
      <c r="F779" s="33"/>
      <c r="G779" s="522"/>
      <c r="H779" s="707"/>
      <c r="I779" s="707">
        <f t="shared" si="24"/>
        <v>0</v>
      </c>
      <c r="J779" s="707">
        <f t="shared" si="25"/>
        <v>0</v>
      </c>
      <c r="K779" s="70"/>
    </row>
    <row r="780" spans="1:11" ht="25.5" customHeight="1">
      <c r="A780" s="59">
        <v>7555002</v>
      </c>
      <c r="B780" s="59" t="s">
        <v>34</v>
      </c>
      <c r="C780" s="59">
        <v>2</v>
      </c>
      <c r="D780" s="33" t="s">
        <v>3053</v>
      </c>
      <c r="E780" s="354">
        <v>5</v>
      </c>
      <c r="F780" s="354"/>
      <c r="G780" s="688"/>
      <c r="H780" s="707"/>
      <c r="I780" s="707">
        <f t="shared" si="24"/>
        <v>0</v>
      </c>
      <c r="J780" s="707">
        <f t="shared" si="25"/>
        <v>0</v>
      </c>
      <c r="K780" s="70"/>
    </row>
    <row r="781" spans="1:11" ht="25.5" customHeight="1">
      <c r="A781" s="33">
        <v>7575597</v>
      </c>
      <c r="B781" s="33" t="s">
        <v>34</v>
      </c>
      <c r="C781" s="33">
        <v>4</v>
      </c>
      <c r="D781" s="71" t="s">
        <v>2947</v>
      </c>
      <c r="E781" s="33">
        <v>4</v>
      </c>
      <c r="F781" s="33"/>
      <c r="G781" s="522"/>
      <c r="H781" s="707"/>
      <c r="I781" s="707">
        <f t="shared" si="24"/>
        <v>0</v>
      </c>
      <c r="J781" s="707">
        <f t="shared" si="25"/>
        <v>0</v>
      </c>
      <c r="K781" s="70"/>
    </row>
    <row r="782" spans="1:11" ht="25.5" customHeight="1">
      <c r="A782" s="33">
        <v>7578678</v>
      </c>
      <c r="B782" s="33" t="s">
        <v>34</v>
      </c>
      <c r="C782" s="33">
        <v>3</v>
      </c>
      <c r="D782" s="33" t="s">
        <v>2624</v>
      </c>
      <c r="E782" s="33">
        <v>4</v>
      </c>
      <c r="F782" s="33"/>
      <c r="G782" s="522"/>
      <c r="H782" s="707"/>
      <c r="I782" s="707">
        <f t="shared" si="24"/>
        <v>0</v>
      </c>
      <c r="J782" s="707">
        <f t="shared" si="25"/>
        <v>0</v>
      </c>
      <c r="K782" s="70"/>
    </row>
    <row r="783" spans="1:11" ht="25.5" customHeight="1">
      <c r="A783" s="2">
        <v>7579077</v>
      </c>
      <c r="B783" s="2" t="s">
        <v>34</v>
      </c>
      <c r="C783" s="2">
        <v>1</v>
      </c>
      <c r="D783" s="2" t="s">
        <v>3705</v>
      </c>
      <c r="E783" s="33">
        <v>3</v>
      </c>
      <c r="F783" s="33"/>
      <c r="G783" s="522"/>
      <c r="H783" s="707"/>
      <c r="I783" s="707">
        <f t="shared" si="24"/>
        <v>0</v>
      </c>
      <c r="J783" s="707">
        <f t="shared" si="25"/>
        <v>0</v>
      </c>
      <c r="K783" s="55"/>
    </row>
    <row r="784" spans="1:11" ht="25.5" customHeight="1">
      <c r="A784" s="2">
        <v>7583636</v>
      </c>
      <c r="B784" s="2" t="s">
        <v>34</v>
      </c>
      <c r="C784" s="2">
        <v>3</v>
      </c>
      <c r="D784" s="33" t="s">
        <v>3671</v>
      </c>
      <c r="E784" s="33">
        <v>1</v>
      </c>
      <c r="F784" s="33"/>
      <c r="G784" s="522"/>
      <c r="H784" s="707"/>
      <c r="I784" s="707">
        <f t="shared" si="24"/>
        <v>0</v>
      </c>
      <c r="J784" s="707">
        <f t="shared" si="25"/>
        <v>0</v>
      </c>
      <c r="K784" s="70"/>
    </row>
    <row r="785" spans="1:11" ht="25.5" customHeight="1">
      <c r="A785" s="33">
        <v>7586395</v>
      </c>
      <c r="B785" s="33" t="s">
        <v>130</v>
      </c>
      <c r="C785" s="33">
        <v>22</v>
      </c>
      <c r="D785" s="2" t="s">
        <v>3566</v>
      </c>
      <c r="E785" s="33">
        <v>4</v>
      </c>
      <c r="F785" s="33"/>
      <c r="G785" s="522"/>
      <c r="H785" s="707"/>
      <c r="I785" s="707">
        <f t="shared" si="24"/>
        <v>0</v>
      </c>
      <c r="J785" s="707">
        <f t="shared" si="25"/>
        <v>0</v>
      </c>
      <c r="K785" s="55"/>
    </row>
    <row r="786" spans="1:11" ht="25.5" customHeight="1">
      <c r="A786" s="33">
        <v>7586649</v>
      </c>
      <c r="B786" s="33" t="s">
        <v>2325</v>
      </c>
      <c r="C786" s="33">
        <v>1</v>
      </c>
      <c r="D786" s="33" t="s">
        <v>2276</v>
      </c>
      <c r="E786" s="33">
        <v>1</v>
      </c>
      <c r="F786" s="33"/>
      <c r="G786" s="522"/>
      <c r="H786" s="707"/>
      <c r="I786" s="707">
        <f t="shared" si="24"/>
        <v>0</v>
      </c>
      <c r="J786" s="707">
        <f t="shared" si="25"/>
        <v>0</v>
      </c>
      <c r="K786" s="70"/>
    </row>
    <row r="787" spans="1:11" ht="25.5" customHeight="1">
      <c r="A787" s="33">
        <v>7586810</v>
      </c>
      <c r="B787" s="33" t="s">
        <v>34</v>
      </c>
      <c r="C787" s="33">
        <v>6</v>
      </c>
      <c r="D787" s="2" t="s">
        <v>274</v>
      </c>
      <c r="E787" s="33">
        <v>3</v>
      </c>
      <c r="F787" s="33"/>
      <c r="G787" s="522"/>
      <c r="H787" s="707">
        <v>6</v>
      </c>
      <c r="I787" s="707">
        <f t="shared" si="24"/>
        <v>6.8999999999999995</v>
      </c>
      <c r="J787" s="707">
        <f t="shared" si="25"/>
        <v>7.8000000000000007</v>
      </c>
      <c r="K787" s="70"/>
    </row>
    <row r="788" spans="1:11" ht="25.5" customHeight="1">
      <c r="A788" s="74">
        <v>8511315</v>
      </c>
      <c r="B788" s="74" t="s">
        <v>10</v>
      </c>
      <c r="C788" s="74">
        <v>5</v>
      </c>
      <c r="D788" s="33" t="s">
        <v>1201</v>
      </c>
      <c r="E788" s="33">
        <v>5</v>
      </c>
      <c r="F788" s="33"/>
      <c r="G788" s="522"/>
      <c r="H788" s="707"/>
      <c r="I788" s="707">
        <f t="shared" si="24"/>
        <v>0</v>
      </c>
      <c r="J788" s="707">
        <f t="shared" si="25"/>
        <v>0</v>
      </c>
      <c r="K788" s="70"/>
    </row>
    <row r="789" spans="1:11" ht="25.5" hidden="1" customHeight="1">
      <c r="A789" s="2">
        <v>7586395</v>
      </c>
      <c r="B789" s="2" t="s">
        <v>3567</v>
      </c>
      <c r="C789" s="2">
        <v>0</v>
      </c>
      <c r="D789" s="2" t="s">
        <v>3568</v>
      </c>
      <c r="E789" s="33">
        <v>1</v>
      </c>
      <c r="F789" s="33"/>
      <c r="G789" s="522"/>
      <c r="H789" s="56"/>
      <c r="I789" s="56">
        <f t="shared" si="24"/>
        <v>0</v>
      </c>
      <c r="J789" s="56">
        <f t="shared" si="25"/>
        <v>0</v>
      </c>
      <c r="K789" s="55" t="s">
        <v>84</v>
      </c>
    </row>
    <row r="790" spans="1:11" ht="25.5" customHeight="1">
      <c r="A790" s="33">
        <v>8511315</v>
      </c>
      <c r="B790" s="33" t="s">
        <v>10</v>
      </c>
      <c r="C790" s="33">
        <v>3</v>
      </c>
      <c r="D790" s="33" t="s">
        <v>2363</v>
      </c>
      <c r="E790" s="33">
        <v>4</v>
      </c>
      <c r="F790" s="33"/>
      <c r="G790" s="522"/>
      <c r="H790" s="707"/>
      <c r="I790" s="707">
        <f t="shared" si="24"/>
        <v>0</v>
      </c>
      <c r="J790" s="707">
        <f t="shared" si="25"/>
        <v>0</v>
      </c>
      <c r="K790" s="70"/>
    </row>
    <row r="791" spans="1:11" ht="25.5" customHeight="1">
      <c r="A791" s="33">
        <v>8532557</v>
      </c>
      <c r="B791" s="86" t="s">
        <v>2394</v>
      </c>
      <c r="C791" s="86">
        <v>3</v>
      </c>
      <c r="D791" s="33" t="s">
        <v>2363</v>
      </c>
      <c r="E791" s="33">
        <v>4</v>
      </c>
      <c r="F791" s="33"/>
      <c r="G791" s="522"/>
      <c r="H791" s="707"/>
      <c r="I791" s="707">
        <f t="shared" si="24"/>
        <v>0</v>
      </c>
      <c r="J791" s="707">
        <f t="shared" si="25"/>
        <v>0</v>
      </c>
      <c r="K791" s="70"/>
    </row>
    <row r="792" spans="1:11" ht="25.5" customHeight="1">
      <c r="A792" s="33">
        <v>8532643</v>
      </c>
      <c r="B792" s="33" t="s">
        <v>10</v>
      </c>
      <c r="C792" s="33">
        <v>6</v>
      </c>
      <c r="D792" s="71" t="s">
        <v>2947</v>
      </c>
      <c r="E792" s="33">
        <v>3</v>
      </c>
      <c r="F792" s="33"/>
      <c r="G792" s="522"/>
      <c r="H792" s="707"/>
      <c r="I792" s="707">
        <f t="shared" si="24"/>
        <v>0</v>
      </c>
      <c r="J792" s="707">
        <f t="shared" si="25"/>
        <v>0</v>
      </c>
      <c r="K792" s="70"/>
    </row>
    <row r="793" spans="1:11" ht="25.5" customHeight="1">
      <c r="A793" s="33">
        <v>8536175</v>
      </c>
      <c r="B793" s="33" t="s">
        <v>10</v>
      </c>
      <c r="C793" s="33">
        <v>1</v>
      </c>
      <c r="D793" s="33" t="s">
        <v>1141</v>
      </c>
      <c r="E793" s="33">
        <v>2</v>
      </c>
      <c r="F793" s="33"/>
      <c r="G793" s="522"/>
      <c r="H793" s="707"/>
      <c r="I793" s="707">
        <f t="shared" si="24"/>
        <v>0</v>
      </c>
      <c r="J793" s="707">
        <f t="shared" si="25"/>
        <v>0</v>
      </c>
      <c r="K793" s="70"/>
    </row>
    <row r="794" spans="1:11" ht="25.5" customHeight="1">
      <c r="A794" s="33">
        <v>8536175</v>
      </c>
      <c r="B794" s="33" t="s">
        <v>10</v>
      </c>
      <c r="C794" s="33">
        <v>19</v>
      </c>
      <c r="D794" s="33" t="s">
        <v>1201</v>
      </c>
      <c r="E794" s="33">
        <v>4</v>
      </c>
      <c r="F794" s="33"/>
      <c r="G794" s="522"/>
      <c r="H794" s="707"/>
      <c r="I794" s="707">
        <f t="shared" si="24"/>
        <v>0</v>
      </c>
      <c r="J794" s="707">
        <f t="shared" si="25"/>
        <v>0</v>
      </c>
      <c r="K794" s="70"/>
    </row>
    <row r="795" spans="1:11" ht="25.5" customHeight="1">
      <c r="A795" s="11">
        <v>9520983</v>
      </c>
      <c r="B795" s="11" t="s">
        <v>3475</v>
      </c>
      <c r="C795" s="11">
        <v>4</v>
      </c>
      <c r="D795" s="131" t="s">
        <v>3451</v>
      </c>
      <c r="E795" s="15">
        <v>3</v>
      </c>
      <c r="F795" s="15"/>
      <c r="G795" s="684"/>
      <c r="H795" s="707"/>
      <c r="I795" s="707">
        <f t="shared" si="24"/>
        <v>0</v>
      </c>
      <c r="J795" s="707">
        <f t="shared" si="25"/>
        <v>0</v>
      </c>
      <c r="K795" s="70"/>
    </row>
    <row r="796" spans="1:11" ht="25.5" customHeight="1">
      <c r="A796" s="59">
        <v>9522557</v>
      </c>
      <c r="B796" s="59" t="s">
        <v>10</v>
      </c>
      <c r="C796" s="59">
        <v>1</v>
      </c>
      <c r="D796" s="71" t="s">
        <v>2947</v>
      </c>
      <c r="E796" s="354">
        <v>5</v>
      </c>
      <c r="F796" s="354"/>
      <c r="G796" s="688"/>
      <c r="H796" s="707"/>
      <c r="I796" s="707">
        <f t="shared" si="24"/>
        <v>0</v>
      </c>
      <c r="J796" s="707">
        <f t="shared" si="25"/>
        <v>0</v>
      </c>
      <c r="K796" s="70" t="s">
        <v>51</v>
      </c>
    </row>
    <row r="797" spans="1:11" ht="25.5" customHeight="1">
      <c r="A797" s="74">
        <v>9523607</v>
      </c>
      <c r="B797" s="74" t="s">
        <v>272</v>
      </c>
      <c r="C797" s="74">
        <v>10</v>
      </c>
      <c r="D797" s="33" t="s">
        <v>2094</v>
      </c>
      <c r="E797" s="33">
        <v>5</v>
      </c>
      <c r="F797" s="33"/>
      <c r="G797" s="522"/>
      <c r="H797" s="707"/>
      <c r="I797" s="707">
        <f t="shared" si="24"/>
        <v>0</v>
      </c>
      <c r="J797" s="707">
        <f t="shared" si="25"/>
        <v>0</v>
      </c>
      <c r="K797" s="70"/>
    </row>
    <row r="798" spans="1:11" ht="25.5" customHeight="1">
      <c r="A798" s="33">
        <v>9524796</v>
      </c>
      <c r="B798" s="33" t="s">
        <v>83</v>
      </c>
      <c r="C798" s="33">
        <v>20</v>
      </c>
      <c r="D798" s="33" t="s">
        <v>910</v>
      </c>
      <c r="E798" s="33">
        <v>2</v>
      </c>
      <c r="F798" s="33"/>
      <c r="G798" s="522"/>
      <c r="H798" s="707">
        <v>20</v>
      </c>
      <c r="I798" s="707">
        <f t="shared" si="24"/>
        <v>23</v>
      </c>
      <c r="J798" s="707">
        <f t="shared" si="25"/>
        <v>26</v>
      </c>
      <c r="K798" s="70"/>
    </row>
    <row r="799" spans="1:11" ht="25.5" customHeight="1">
      <c r="A799" s="11">
        <v>9524796</v>
      </c>
      <c r="B799" s="328" t="s">
        <v>10</v>
      </c>
      <c r="C799" s="597">
        <v>27</v>
      </c>
      <c r="D799" s="33" t="s">
        <v>3053</v>
      </c>
      <c r="E799" s="17">
        <v>2</v>
      </c>
      <c r="F799" s="17"/>
      <c r="G799" s="687"/>
      <c r="H799" s="707">
        <v>20</v>
      </c>
      <c r="I799" s="707">
        <f t="shared" si="24"/>
        <v>23</v>
      </c>
      <c r="J799" s="707">
        <f t="shared" si="25"/>
        <v>26</v>
      </c>
      <c r="K799" s="70"/>
    </row>
    <row r="800" spans="1:11" ht="25.5" customHeight="1">
      <c r="A800" s="33">
        <v>9526173</v>
      </c>
      <c r="B800" s="33" t="s">
        <v>10</v>
      </c>
      <c r="C800" s="33">
        <v>39</v>
      </c>
      <c r="D800" s="33" t="s">
        <v>2624</v>
      </c>
      <c r="E800" s="33">
        <v>4</v>
      </c>
      <c r="F800" s="33"/>
      <c r="G800" s="522"/>
      <c r="H800" s="707"/>
      <c r="I800" s="707">
        <f t="shared" si="24"/>
        <v>0</v>
      </c>
      <c r="J800" s="707">
        <f t="shared" si="25"/>
        <v>0</v>
      </c>
      <c r="K800" s="70"/>
    </row>
    <row r="801" spans="1:11" ht="25.5" customHeight="1">
      <c r="A801" s="33">
        <v>9526177</v>
      </c>
      <c r="B801" s="71" t="s">
        <v>81</v>
      </c>
      <c r="C801" s="71">
        <v>28</v>
      </c>
      <c r="D801" s="71" t="s">
        <v>2947</v>
      </c>
      <c r="E801" s="71">
        <v>3</v>
      </c>
      <c r="F801" s="71"/>
      <c r="G801" s="686"/>
      <c r="H801" s="709">
        <v>50</v>
      </c>
      <c r="I801" s="709">
        <f t="shared" si="24"/>
        <v>57.499999999999993</v>
      </c>
      <c r="J801" s="709">
        <f t="shared" si="25"/>
        <v>65</v>
      </c>
      <c r="K801" s="70"/>
    </row>
    <row r="802" spans="1:11" ht="25.5" customHeight="1">
      <c r="A802" s="33">
        <v>9534663</v>
      </c>
      <c r="B802" s="33" t="s">
        <v>10</v>
      </c>
      <c r="C802" s="33">
        <v>16</v>
      </c>
      <c r="D802" s="33" t="s">
        <v>2363</v>
      </c>
      <c r="E802" s="33">
        <v>4</v>
      </c>
      <c r="F802" s="33"/>
      <c r="G802" s="522"/>
      <c r="H802" s="707">
        <v>20</v>
      </c>
      <c r="I802" s="707">
        <f t="shared" si="24"/>
        <v>23</v>
      </c>
      <c r="J802" s="707">
        <f t="shared" si="25"/>
        <v>26</v>
      </c>
      <c r="K802" s="70" t="s">
        <v>2395</v>
      </c>
    </row>
    <row r="803" spans="1:11" ht="25.5" customHeight="1">
      <c r="A803" s="33">
        <v>9534663</v>
      </c>
      <c r="B803" s="33" t="s">
        <v>10</v>
      </c>
      <c r="C803" s="33">
        <v>43</v>
      </c>
      <c r="D803" s="33" t="s">
        <v>2111</v>
      </c>
      <c r="E803" s="33">
        <v>1</v>
      </c>
      <c r="F803" s="33"/>
      <c r="G803" s="522"/>
      <c r="H803" s="707">
        <v>20</v>
      </c>
      <c r="I803" s="707">
        <f t="shared" si="24"/>
        <v>23</v>
      </c>
      <c r="J803" s="707">
        <f t="shared" si="25"/>
        <v>26</v>
      </c>
      <c r="K803" s="70"/>
    </row>
    <row r="804" spans="1:11" ht="25.5" customHeight="1">
      <c r="A804" s="33">
        <v>9534663</v>
      </c>
      <c r="B804" s="33" t="s">
        <v>10</v>
      </c>
      <c r="C804" s="33">
        <v>1</v>
      </c>
      <c r="D804" s="33" t="s">
        <v>2540</v>
      </c>
      <c r="E804" s="33">
        <v>2</v>
      </c>
      <c r="F804" s="33"/>
      <c r="G804" s="522"/>
      <c r="H804" s="707">
        <v>20</v>
      </c>
      <c r="I804" s="707">
        <f t="shared" si="24"/>
        <v>23</v>
      </c>
      <c r="J804" s="707">
        <f t="shared" si="25"/>
        <v>26</v>
      </c>
      <c r="K804" s="70"/>
    </row>
    <row r="805" spans="1:11" ht="25.5" customHeight="1">
      <c r="A805" s="33">
        <v>9535609</v>
      </c>
      <c r="B805" s="33" t="s">
        <v>10</v>
      </c>
      <c r="C805" s="33">
        <v>3</v>
      </c>
      <c r="D805" s="33" t="s">
        <v>2363</v>
      </c>
      <c r="E805" s="33">
        <v>4</v>
      </c>
      <c r="F805" s="33"/>
      <c r="G805" s="522"/>
      <c r="H805" s="707"/>
      <c r="I805" s="707">
        <f t="shared" si="24"/>
        <v>0</v>
      </c>
      <c r="J805" s="707">
        <f t="shared" si="25"/>
        <v>0</v>
      </c>
      <c r="K805" s="70"/>
    </row>
    <row r="806" spans="1:11" ht="25.5" customHeight="1">
      <c r="A806" s="193">
        <v>9535924</v>
      </c>
      <c r="B806" s="33" t="s">
        <v>83</v>
      </c>
      <c r="C806" s="33">
        <v>1</v>
      </c>
      <c r="D806" s="2" t="s">
        <v>536</v>
      </c>
      <c r="E806" s="33">
        <v>4</v>
      </c>
      <c r="F806" s="33"/>
      <c r="G806" s="522"/>
      <c r="H806" s="707">
        <v>800</v>
      </c>
      <c r="I806" s="707">
        <f t="shared" si="24"/>
        <v>919.99999999999989</v>
      </c>
      <c r="J806" s="707">
        <f t="shared" si="25"/>
        <v>1040</v>
      </c>
      <c r="K806" s="70"/>
    </row>
    <row r="807" spans="1:11" ht="25.5" customHeight="1">
      <c r="A807" s="33">
        <v>9535929</v>
      </c>
      <c r="B807" s="33" t="s">
        <v>1319</v>
      </c>
      <c r="C807" s="33">
        <v>1</v>
      </c>
      <c r="D807" s="33" t="s">
        <v>2624</v>
      </c>
      <c r="E807" s="354">
        <v>5</v>
      </c>
      <c r="F807" s="354"/>
      <c r="G807" s="688"/>
      <c r="H807" s="707"/>
      <c r="I807" s="707">
        <f t="shared" si="24"/>
        <v>0</v>
      </c>
      <c r="J807" s="707">
        <f t="shared" si="25"/>
        <v>0</v>
      </c>
      <c r="K807" s="70"/>
    </row>
    <row r="808" spans="1:11" ht="25.5" customHeight="1">
      <c r="A808" s="11">
        <v>9536196</v>
      </c>
      <c r="B808" s="11" t="s">
        <v>10</v>
      </c>
      <c r="C808" s="11">
        <v>3</v>
      </c>
      <c r="D808" s="131" t="s">
        <v>3451</v>
      </c>
      <c r="E808" s="15">
        <v>3</v>
      </c>
      <c r="F808" s="15"/>
      <c r="G808" s="684"/>
      <c r="H808" s="707"/>
      <c r="I808" s="707">
        <f t="shared" si="24"/>
        <v>0</v>
      </c>
      <c r="J808" s="707">
        <f t="shared" si="25"/>
        <v>0</v>
      </c>
      <c r="K808" s="70"/>
    </row>
    <row r="809" spans="1:11" ht="25.5" customHeight="1">
      <c r="A809" s="2">
        <v>9542847</v>
      </c>
      <c r="B809" s="2" t="s">
        <v>83</v>
      </c>
      <c r="C809" s="2">
        <v>1</v>
      </c>
      <c r="D809" s="2" t="s">
        <v>536</v>
      </c>
      <c r="E809" s="33">
        <v>4</v>
      </c>
      <c r="F809" s="33"/>
      <c r="G809" s="522"/>
      <c r="H809" s="707">
        <v>350</v>
      </c>
      <c r="I809" s="707">
        <f t="shared" si="24"/>
        <v>402.49999999999994</v>
      </c>
      <c r="J809" s="707">
        <f t="shared" si="25"/>
        <v>455</v>
      </c>
      <c r="K809" s="70" t="s">
        <v>51</v>
      </c>
    </row>
    <row r="810" spans="1:11" ht="25.5" customHeight="1">
      <c r="A810" s="33">
        <v>12444007</v>
      </c>
      <c r="B810" s="86" t="s">
        <v>19</v>
      </c>
      <c r="C810" s="86">
        <v>200</v>
      </c>
      <c r="D810" s="33" t="s">
        <v>910</v>
      </c>
      <c r="E810" s="33">
        <v>1</v>
      </c>
      <c r="F810" s="33"/>
      <c r="G810" s="522"/>
      <c r="H810" s="711">
        <v>1</v>
      </c>
      <c r="I810" s="711">
        <f t="shared" si="24"/>
        <v>1.1499999999999999</v>
      </c>
      <c r="J810" s="711">
        <f t="shared" si="25"/>
        <v>1.3</v>
      </c>
      <c r="K810" s="70"/>
    </row>
    <row r="811" spans="1:11" ht="25.5" customHeight="1">
      <c r="A811" s="3">
        <v>28400104</v>
      </c>
      <c r="B811" s="3" t="s">
        <v>83</v>
      </c>
      <c r="C811" s="3">
        <v>40</v>
      </c>
      <c r="D811" s="58" t="s">
        <v>2802</v>
      </c>
      <c r="E811" s="33">
        <v>2</v>
      </c>
      <c r="F811" s="33"/>
      <c r="G811" s="522"/>
      <c r="H811" s="707"/>
      <c r="I811" s="707">
        <f t="shared" si="24"/>
        <v>0</v>
      </c>
      <c r="J811" s="707">
        <f t="shared" si="25"/>
        <v>0</v>
      </c>
      <c r="K811" s="70"/>
    </row>
    <row r="812" spans="1:11" ht="25.5" customHeight="1">
      <c r="A812" s="33">
        <v>40235019</v>
      </c>
      <c r="B812" s="33" t="s">
        <v>1042</v>
      </c>
      <c r="C812" s="33">
        <v>1</v>
      </c>
      <c r="D812" s="33" t="s">
        <v>992</v>
      </c>
      <c r="E812" s="33">
        <v>4</v>
      </c>
      <c r="F812" s="33"/>
      <c r="G812" s="522"/>
      <c r="H812" s="707"/>
      <c r="I812" s="707">
        <f t="shared" si="24"/>
        <v>0</v>
      </c>
      <c r="J812" s="707">
        <f t="shared" si="25"/>
        <v>0</v>
      </c>
      <c r="K812" s="70"/>
    </row>
    <row r="813" spans="1:11" ht="25.5" customHeight="1">
      <c r="A813" s="33">
        <v>77852656</v>
      </c>
      <c r="B813" s="33" t="s">
        <v>485</v>
      </c>
      <c r="C813" s="33">
        <v>1</v>
      </c>
      <c r="D813" s="33" t="s">
        <v>1372</v>
      </c>
      <c r="E813" s="33">
        <v>3</v>
      </c>
      <c r="F813" s="33"/>
      <c r="G813" s="522"/>
      <c r="H813" s="707"/>
      <c r="I813" s="707">
        <f t="shared" si="24"/>
        <v>0</v>
      </c>
      <c r="J813" s="707">
        <f t="shared" si="25"/>
        <v>0</v>
      </c>
      <c r="K813" s="70"/>
    </row>
    <row r="814" spans="1:11" ht="25.5" customHeight="1">
      <c r="A814" s="2" t="s">
        <v>1990</v>
      </c>
      <c r="B814" s="33" t="s">
        <v>1778</v>
      </c>
      <c r="C814" s="33">
        <v>2</v>
      </c>
      <c r="D814" s="33" t="s">
        <v>1938</v>
      </c>
      <c r="E814" s="33">
        <v>2</v>
      </c>
      <c r="F814" s="33"/>
      <c r="G814" s="522"/>
      <c r="H814" s="707"/>
      <c r="I814" s="707">
        <f t="shared" si="24"/>
        <v>0</v>
      </c>
      <c r="J814" s="707">
        <f t="shared" si="25"/>
        <v>0</v>
      </c>
      <c r="K814" s="70"/>
    </row>
    <row r="815" spans="1:11" ht="25.5" customHeight="1">
      <c r="A815" s="2" t="s">
        <v>3277</v>
      </c>
      <c r="B815" s="33" t="s">
        <v>1903</v>
      </c>
      <c r="C815" s="2">
        <v>18</v>
      </c>
      <c r="D815" s="2" t="s">
        <v>3273</v>
      </c>
      <c r="E815" s="33">
        <v>2</v>
      </c>
      <c r="F815" s="33"/>
      <c r="G815" s="522"/>
      <c r="H815" s="707">
        <v>100</v>
      </c>
      <c r="I815" s="707">
        <f t="shared" si="24"/>
        <v>114.99999999999999</v>
      </c>
      <c r="J815" s="707">
        <f t="shared" si="25"/>
        <v>130</v>
      </c>
      <c r="K815" s="70"/>
    </row>
    <row r="816" spans="1:11" ht="25.5" customHeight="1">
      <c r="A816" s="2" t="s">
        <v>3639</v>
      </c>
      <c r="B816" s="2" t="s">
        <v>34</v>
      </c>
      <c r="C816" s="2">
        <v>1</v>
      </c>
      <c r="D816" s="2" t="s">
        <v>3636</v>
      </c>
      <c r="E816" s="2">
        <v>1</v>
      </c>
      <c r="F816" s="2"/>
      <c r="G816" s="634"/>
      <c r="H816" s="707"/>
      <c r="I816" s="707">
        <f t="shared" si="24"/>
        <v>0</v>
      </c>
      <c r="J816" s="707">
        <f t="shared" si="25"/>
        <v>0</v>
      </c>
      <c r="K816" s="55"/>
    </row>
    <row r="817" spans="1:11" ht="25.5" customHeight="1">
      <c r="A817" s="2" t="s">
        <v>1839</v>
      </c>
      <c r="B817" s="2" t="s">
        <v>25</v>
      </c>
      <c r="C817" s="2">
        <v>753</v>
      </c>
      <c r="D817" s="2" t="s">
        <v>1785</v>
      </c>
      <c r="E817" s="33">
        <v>2</v>
      </c>
      <c r="F817" s="33"/>
      <c r="G817" s="522"/>
      <c r="H817" s="707">
        <v>2</v>
      </c>
      <c r="I817" s="707">
        <f t="shared" si="24"/>
        <v>2.2999999999999998</v>
      </c>
      <c r="J817" s="707">
        <f t="shared" si="25"/>
        <v>2.6</v>
      </c>
      <c r="K817" s="70"/>
    </row>
    <row r="818" spans="1:11" ht="25.5" customHeight="1">
      <c r="A818" s="2" t="s">
        <v>1814</v>
      </c>
      <c r="B818" s="2" t="s">
        <v>19</v>
      </c>
      <c r="C818" s="2">
        <v>98</v>
      </c>
      <c r="D818" s="2" t="s">
        <v>1785</v>
      </c>
      <c r="E818" s="33">
        <v>2</v>
      </c>
      <c r="F818" s="33"/>
      <c r="G818" s="522"/>
      <c r="H818" s="707"/>
      <c r="I818" s="707">
        <f t="shared" si="24"/>
        <v>0</v>
      </c>
      <c r="J818" s="707">
        <f t="shared" si="25"/>
        <v>0</v>
      </c>
      <c r="K818" s="70"/>
    </row>
    <row r="819" spans="1:11" ht="25.5" customHeight="1">
      <c r="A819" s="33" t="s">
        <v>1202</v>
      </c>
      <c r="B819" s="33" t="s">
        <v>27</v>
      </c>
      <c r="C819" s="33">
        <v>8</v>
      </c>
      <c r="D819" s="33" t="s">
        <v>1201</v>
      </c>
      <c r="E819" s="33">
        <v>3</v>
      </c>
      <c r="F819" s="33"/>
      <c r="G819" s="522"/>
      <c r="H819" s="707">
        <v>2</v>
      </c>
      <c r="I819" s="707">
        <f t="shared" si="24"/>
        <v>2.2999999999999998</v>
      </c>
      <c r="J819" s="707">
        <f t="shared" si="25"/>
        <v>2.6</v>
      </c>
      <c r="K819" s="70"/>
    </row>
    <row r="820" spans="1:11" ht="25.5" customHeight="1">
      <c r="A820" s="11" t="s">
        <v>3510</v>
      </c>
      <c r="B820" s="11" t="s">
        <v>3511</v>
      </c>
      <c r="C820" s="11">
        <v>1</v>
      </c>
      <c r="D820" s="131" t="s">
        <v>3451</v>
      </c>
      <c r="E820" s="15">
        <v>3</v>
      </c>
      <c r="F820" s="15"/>
      <c r="G820" s="684"/>
      <c r="H820" s="707"/>
      <c r="I820" s="707">
        <f t="shared" si="24"/>
        <v>0</v>
      </c>
      <c r="J820" s="707">
        <f t="shared" si="25"/>
        <v>0</v>
      </c>
      <c r="K820" s="70"/>
    </row>
    <row r="821" spans="1:11" ht="25.5" customHeight="1">
      <c r="A821" s="33" t="s">
        <v>2770</v>
      </c>
      <c r="B821" s="33" t="s">
        <v>25</v>
      </c>
      <c r="C821" s="33">
        <v>513</v>
      </c>
      <c r="D821" s="33" t="s">
        <v>2716</v>
      </c>
      <c r="E821" s="354">
        <v>3</v>
      </c>
      <c r="F821" s="354"/>
      <c r="G821" s="688"/>
      <c r="H821" s="708"/>
      <c r="I821" s="707">
        <f t="shared" si="24"/>
        <v>0</v>
      </c>
      <c r="J821" s="708">
        <f t="shared" si="25"/>
        <v>0</v>
      </c>
      <c r="K821" s="70"/>
    </row>
    <row r="822" spans="1:11" ht="25.5" customHeight="1">
      <c r="A822" s="33" t="s">
        <v>1967</v>
      </c>
      <c r="B822" s="33" t="s">
        <v>707</v>
      </c>
      <c r="C822" s="33">
        <v>1</v>
      </c>
      <c r="D822" s="33" t="s">
        <v>1938</v>
      </c>
      <c r="E822" s="33">
        <v>1</v>
      </c>
      <c r="F822" s="33"/>
      <c r="G822" s="522"/>
      <c r="H822" s="707"/>
      <c r="I822" s="707">
        <f t="shared" si="24"/>
        <v>0</v>
      </c>
      <c r="J822" s="707">
        <f t="shared" si="25"/>
        <v>0</v>
      </c>
      <c r="K822" s="70"/>
    </row>
    <row r="823" spans="1:11" ht="25.5" customHeight="1">
      <c r="A823" s="33" t="s">
        <v>1962</v>
      </c>
      <c r="B823" s="33" t="s">
        <v>41</v>
      </c>
      <c r="C823" s="33">
        <v>81</v>
      </c>
      <c r="D823" s="33" t="s">
        <v>1938</v>
      </c>
      <c r="E823" s="33">
        <v>1</v>
      </c>
      <c r="F823" s="33"/>
      <c r="G823" s="522"/>
      <c r="H823" s="707"/>
      <c r="I823" s="707">
        <f t="shared" si="24"/>
        <v>0</v>
      </c>
      <c r="J823" s="707">
        <f t="shared" si="25"/>
        <v>0</v>
      </c>
      <c r="K823" s="70"/>
    </row>
    <row r="824" spans="1:11" ht="25.5" customHeight="1">
      <c r="A824" s="33" t="s">
        <v>2208</v>
      </c>
      <c r="B824" s="33" t="s">
        <v>2205</v>
      </c>
      <c r="C824" s="33">
        <v>2</v>
      </c>
      <c r="D824" s="33" t="s">
        <v>2191</v>
      </c>
      <c r="E824" s="33">
        <v>4</v>
      </c>
      <c r="F824" s="33"/>
      <c r="G824" s="522"/>
      <c r="H824" s="707"/>
      <c r="I824" s="707">
        <f t="shared" si="24"/>
        <v>0</v>
      </c>
      <c r="J824" s="707">
        <f t="shared" si="25"/>
        <v>0</v>
      </c>
      <c r="K824" s="70"/>
    </row>
    <row r="825" spans="1:11" ht="25.5" customHeight="1">
      <c r="A825" s="384" t="s">
        <v>746</v>
      </c>
      <c r="B825" s="2" t="s">
        <v>637</v>
      </c>
      <c r="C825" s="2">
        <v>4</v>
      </c>
      <c r="D825" s="2" t="s">
        <v>593</v>
      </c>
      <c r="E825" s="33">
        <v>3</v>
      </c>
      <c r="F825" s="33"/>
      <c r="G825" s="522"/>
      <c r="H825" s="707"/>
      <c r="I825" s="707">
        <f t="shared" si="24"/>
        <v>0</v>
      </c>
      <c r="J825" s="707">
        <f t="shared" si="25"/>
        <v>0</v>
      </c>
      <c r="K825" s="70"/>
    </row>
    <row r="826" spans="1:11" ht="25.5" customHeight="1">
      <c r="A826" s="74" t="s">
        <v>1474</v>
      </c>
      <c r="B826" s="74" t="s">
        <v>371</v>
      </c>
      <c r="C826" s="74">
        <v>39</v>
      </c>
      <c r="D826" s="33" t="s">
        <v>1372</v>
      </c>
      <c r="E826" s="33">
        <v>5</v>
      </c>
      <c r="F826" s="33"/>
      <c r="G826" s="522"/>
      <c r="H826" s="707">
        <v>1</v>
      </c>
      <c r="I826" s="707">
        <f t="shared" si="24"/>
        <v>1.1499999999999999</v>
      </c>
      <c r="J826" s="707">
        <f t="shared" si="25"/>
        <v>1.3</v>
      </c>
      <c r="K826" s="70"/>
    </row>
    <row r="827" spans="1:11" ht="25.5" customHeight="1">
      <c r="A827" s="33" t="s">
        <v>618</v>
      </c>
      <c r="B827" s="33" t="s">
        <v>83</v>
      </c>
      <c r="C827" s="33">
        <v>5</v>
      </c>
      <c r="D827" s="2" t="s">
        <v>593</v>
      </c>
      <c r="E827" s="33">
        <v>1</v>
      </c>
      <c r="F827" s="33"/>
      <c r="G827" s="522"/>
      <c r="H827" s="707"/>
      <c r="I827" s="707">
        <f t="shared" si="24"/>
        <v>0</v>
      </c>
      <c r="J827" s="707">
        <f t="shared" si="25"/>
        <v>0</v>
      </c>
      <c r="K827" s="70"/>
    </row>
    <row r="828" spans="1:11" ht="25.5" customHeight="1">
      <c r="A828" s="2" t="s">
        <v>144</v>
      </c>
      <c r="B828" s="2" t="s">
        <v>27</v>
      </c>
      <c r="C828" s="2">
        <v>15</v>
      </c>
      <c r="D828" s="2" t="s">
        <v>11</v>
      </c>
      <c r="E828" s="33">
        <v>3</v>
      </c>
      <c r="F828" s="33"/>
      <c r="G828" s="522"/>
      <c r="H828" s="707">
        <v>120</v>
      </c>
      <c r="I828" s="707">
        <f t="shared" si="24"/>
        <v>138</v>
      </c>
      <c r="J828" s="707">
        <f t="shared" si="25"/>
        <v>156</v>
      </c>
      <c r="K828" s="70"/>
    </row>
    <row r="829" spans="1:11" ht="25.5" customHeight="1">
      <c r="A829" s="33" t="s">
        <v>2553</v>
      </c>
      <c r="B829" s="33" t="s">
        <v>147</v>
      </c>
      <c r="C829" s="33">
        <v>1</v>
      </c>
      <c r="D829" s="33" t="s">
        <v>2540</v>
      </c>
      <c r="E829" s="33">
        <v>1</v>
      </c>
      <c r="F829" s="33"/>
      <c r="G829" s="522"/>
      <c r="H829" s="707">
        <v>70</v>
      </c>
      <c r="I829" s="707">
        <f t="shared" si="24"/>
        <v>80.5</v>
      </c>
      <c r="J829" s="707">
        <f t="shared" si="25"/>
        <v>91</v>
      </c>
      <c r="K829" s="70"/>
    </row>
    <row r="830" spans="1:11" ht="25.5" customHeight="1">
      <c r="A830" s="74" t="s">
        <v>1100</v>
      </c>
      <c r="B830" s="74" t="s">
        <v>371</v>
      </c>
      <c r="C830" s="74">
        <v>10</v>
      </c>
      <c r="D830" s="33" t="s">
        <v>992</v>
      </c>
      <c r="E830" s="33">
        <v>5</v>
      </c>
      <c r="F830" s="33"/>
      <c r="G830" s="522"/>
      <c r="H830" s="707">
        <v>5</v>
      </c>
      <c r="I830" s="707">
        <f t="shared" si="24"/>
        <v>5.75</v>
      </c>
      <c r="J830" s="707">
        <f t="shared" si="25"/>
        <v>6.5</v>
      </c>
      <c r="K830" s="70"/>
    </row>
    <row r="831" spans="1:11" ht="25.5" customHeight="1">
      <c r="A831" s="11" t="s">
        <v>1769</v>
      </c>
      <c r="B831" s="11" t="s">
        <v>10</v>
      </c>
      <c r="C831" s="11">
        <v>3</v>
      </c>
      <c r="D831" s="131" t="s">
        <v>1723</v>
      </c>
      <c r="E831" s="15">
        <v>2</v>
      </c>
      <c r="F831" s="15"/>
      <c r="G831" s="684"/>
      <c r="H831" s="707"/>
      <c r="I831" s="707">
        <f t="shared" si="24"/>
        <v>0</v>
      </c>
      <c r="J831" s="707">
        <f t="shared" si="25"/>
        <v>0</v>
      </c>
      <c r="K831" s="70"/>
    </row>
    <row r="832" spans="1:11" ht="25.5" customHeight="1">
      <c r="A832" s="74" t="s">
        <v>2503</v>
      </c>
      <c r="B832" s="74" t="s">
        <v>23</v>
      </c>
      <c r="C832" s="74">
        <v>6</v>
      </c>
      <c r="D832" s="33" t="s">
        <v>2504</v>
      </c>
      <c r="E832" s="33">
        <v>5</v>
      </c>
      <c r="F832" s="33"/>
      <c r="G832" s="522"/>
      <c r="H832" s="707">
        <v>4</v>
      </c>
      <c r="I832" s="707">
        <f t="shared" si="24"/>
        <v>4.5999999999999996</v>
      </c>
      <c r="J832" s="707">
        <f t="shared" si="25"/>
        <v>5.2</v>
      </c>
      <c r="K832" s="70"/>
    </row>
    <row r="833" spans="1:11" ht="25.5" customHeight="1">
      <c r="A833" s="74" t="s">
        <v>2228</v>
      </c>
      <c r="B833" s="74" t="s">
        <v>50</v>
      </c>
      <c r="C833" s="74">
        <v>7</v>
      </c>
      <c r="D833" s="33" t="s">
        <v>2191</v>
      </c>
      <c r="E833" s="33">
        <v>5</v>
      </c>
      <c r="F833" s="33"/>
      <c r="G833" s="522"/>
      <c r="H833" s="707"/>
      <c r="I833" s="707">
        <f t="shared" si="24"/>
        <v>0</v>
      </c>
      <c r="J833" s="707">
        <f t="shared" si="25"/>
        <v>0</v>
      </c>
      <c r="K833" s="70"/>
    </row>
    <row r="834" spans="1:11" ht="25.5" customHeight="1">
      <c r="A834" s="74" t="s">
        <v>2223</v>
      </c>
      <c r="B834" s="74" t="s">
        <v>83</v>
      </c>
      <c r="C834" s="74">
        <v>3</v>
      </c>
      <c r="D834" s="33" t="s">
        <v>2191</v>
      </c>
      <c r="E834" s="33">
        <v>5</v>
      </c>
      <c r="F834" s="33"/>
      <c r="G834" s="522"/>
      <c r="H834" s="707"/>
      <c r="I834" s="707">
        <f t="shared" ref="I834:I897" si="26">H834 * 1.15</f>
        <v>0</v>
      </c>
      <c r="J834" s="707">
        <f t="shared" ref="J834:J897" si="27">H834 * 1.3</f>
        <v>0</v>
      </c>
      <c r="K834" s="70"/>
    </row>
    <row r="835" spans="1:11" ht="25.5" customHeight="1">
      <c r="A835" s="74" t="s">
        <v>1483</v>
      </c>
      <c r="B835" s="74" t="s">
        <v>1243</v>
      </c>
      <c r="C835" s="74">
        <v>1</v>
      </c>
      <c r="D835" s="33" t="s">
        <v>1372</v>
      </c>
      <c r="E835" s="33">
        <v>5</v>
      </c>
      <c r="F835" s="33"/>
      <c r="G835" s="522"/>
      <c r="H835" s="707">
        <v>0.5</v>
      </c>
      <c r="I835" s="707">
        <f t="shared" si="26"/>
        <v>0.57499999999999996</v>
      </c>
      <c r="J835" s="707">
        <f t="shared" si="27"/>
        <v>0.65</v>
      </c>
      <c r="K835" s="70"/>
    </row>
    <row r="836" spans="1:11" ht="25.5" customHeight="1">
      <c r="A836" s="74" t="s">
        <v>1091</v>
      </c>
      <c r="B836" s="74" t="s">
        <v>1092</v>
      </c>
      <c r="C836" s="74">
        <v>5</v>
      </c>
      <c r="D836" s="33" t="s">
        <v>992</v>
      </c>
      <c r="E836" s="33">
        <v>5</v>
      </c>
      <c r="F836" s="33"/>
      <c r="G836" s="522"/>
      <c r="H836" s="707"/>
      <c r="I836" s="707">
        <f t="shared" si="26"/>
        <v>0</v>
      </c>
      <c r="J836" s="707">
        <f t="shared" si="27"/>
        <v>0</v>
      </c>
      <c r="K836" s="70"/>
    </row>
    <row r="837" spans="1:11" ht="25.5" customHeight="1">
      <c r="A837" s="74" t="s">
        <v>2464</v>
      </c>
      <c r="B837" s="74" t="s">
        <v>1030</v>
      </c>
      <c r="C837" s="74">
        <v>1</v>
      </c>
      <c r="D837" s="33" t="s">
        <v>2363</v>
      </c>
      <c r="E837" s="33">
        <v>5</v>
      </c>
      <c r="F837" s="33"/>
      <c r="G837" s="522"/>
      <c r="H837" s="707"/>
      <c r="I837" s="707">
        <f t="shared" si="26"/>
        <v>0</v>
      </c>
      <c r="J837" s="707">
        <f t="shared" si="27"/>
        <v>0</v>
      </c>
      <c r="K837" s="70"/>
    </row>
    <row r="838" spans="1:11" ht="25.5" customHeight="1">
      <c r="A838" s="74" t="s">
        <v>1127</v>
      </c>
      <c r="B838" s="74" t="s">
        <v>1128</v>
      </c>
      <c r="C838" s="74">
        <v>6</v>
      </c>
      <c r="D838" s="33" t="s">
        <v>992</v>
      </c>
      <c r="E838" s="33">
        <v>5</v>
      </c>
      <c r="F838" s="33"/>
      <c r="G838" s="522"/>
      <c r="H838" s="707"/>
      <c r="I838" s="707">
        <f t="shared" si="26"/>
        <v>0</v>
      </c>
      <c r="J838" s="707">
        <f t="shared" si="27"/>
        <v>0</v>
      </c>
      <c r="K838" s="70"/>
    </row>
    <row r="839" spans="1:11" ht="25.5" customHeight="1">
      <c r="A839" s="11" t="s">
        <v>1722</v>
      </c>
      <c r="B839" s="11" t="s">
        <v>83</v>
      </c>
      <c r="C839" s="11">
        <v>5</v>
      </c>
      <c r="D839" s="131" t="s">
        <v>1723</v>
      </c>
      <c r="E839" s="15">
        <v>1</v>
      </c>
      <c r="F839" s="15"/>
      <c r="G839" s="684"/>
      <c r="H839" s="707">
        <v>200</v>
      </c>
      <c r="I839" s="707">
        <f t="shared" si="26"/>
        <v>229.99999999999997</v>
      </c>
      <c r="J839" s="707">
        <f t="shared" si="27"/>
        <v>260</v>
      </c>
      <c r="K839" s="70"/>
    </row>
    <row r="840" spans="1:11" ht="25.5" customHeight="1">
      <c r="A840" s="11" t="s">
        <v>1724</v>
      </c>
      <c r="B840" s="11" t="s">
        <v>56</v>
      </c>
      <c r="C840" s="11">
        <v>5</v>
      </c>
      <c r="D840" s="131" t="s">
        <v>1723</v>
      </c>
      <c r="E840" s="15">
        <v>1</v>
      </c>
      <c r="F840" s="15"/>
      <c r="G840" s="684"/>
      <c r="H840" s="707">
        <v>300</v>
      </c>
      <c r="I840" s="707">
        <f t="shared" si="26"/>
        <v>345</v>
      </c>
      <c r="J840" s="707">
        <f t="shared" si="27"/>
        <v>390</v>
      </c>
      <c r="K840" s="70"/>
    </row>
    <row r="841" spans="1:11" ht="24" customHeight="1">
      <c r="A841" s="11" t="s">
        <v>1725</v>
      </c>
      <c r="B841" s="11" t="s">
        <v>56</v>
      </c>
      <c r="C841" s="11">
        <v>6</v>
      </c>
      <c r="D841" s="131" t="s">
        <v>1723</v>
      </c>
      <c r="E841" s="15">
        <v>1</v>
      </c>
      <c r="F841" s="15"/>
      <c r="G841" s="684"/>
      <c r="H841" s="707">
        <v>300</v>
      </c>
      <c r="I841" s="707">
        <f t="shared" si="26"/>
        <v>345</v>
      </c>
      <c r="J841" s="707">
        <f t="shared" si="27"/>
        <v>390</v>
      </c>
      <c r="K841" s="70"/>
    </row>
    <row r="842" spans="1:11" ht="24" customHeight="1">
      <c r="A842" s="74" t="s">
        <v>2499</v>
      </c>
      <c r="B842" s="74" t="s">
        <v>25</v>
      </c>
      <c r="C842" s="74">
        <v>7</v>
      </c>
      <c r="D842" s="33" t="s">
        <v>2504</v>
      </c>
      <c r="E842" s="33">
        <v>5</v>
      </c>
      <c r="F842" s="33"/>
      <c r="G842" s="522"/>
      <c r="H842" s="707"/>
      <c r="I842" s="707">
        <f t="shared" si="26"/>
        <v>0</v>
      </c>
      <c r="J842" s="707">
        <f t="shared" si="27"/>
        <v>0</v>
      </c>
      <c r="K842" s="70"/>
    </row>
    <row r="843" spans="1:11" ht="24" customHeight="1">
      <c r="A843" s="2" t="s">
        <v>3274</v>
      </c>
      <c r="B843" s="203" t="s">
        <v>3275</v>
      </c>
      <c r="C843" s="2">
        <v>4</v>
      </c>
      <c r="D843" s="2" t="s">
        <v>3273</v>
      </c>
      <c r="E843" s="33">
        <v>2</v>
      </c>
      <c r="F843" s="33"/>
      <c r="G843" s="522"/>
      <c r="H843" s="707"/>
      <c r="I843" s="707">
        <f t="shared" si="26"/>
        <v>0</v>
      </c>
      <c r="J843" s="707">
        <f t="shared" si="27"/>
        <v>0</v>
      </c>
      <c r="K843" s="70"/>
    </row>
    <row r="844" spans="1:11" ht="24" customHeight="1">
      <c r="A844" s="11" t="s">
        <v>1726</v>
      </c>
      <c r="B844" s="11" t="s">
        <v>56</v>
      </c>
      <c r="C844" s="11">
        <v>2</v>
      </c>
      <c r="D844" s="131" t="s">
        <v>1723</v>
      </c>
      <c r="E844" s="15">
        <v>1</v>
      </c>
      <c r="F844" s="15"/>
      <c r="G844" s="684"/>
      <c r="H844" s="707"/>
      <c r="I844" s="707">
        <f t="shared" si="26"/>
        <v>0</v>
      </c>
      <c r="J844" s="707">
        <f t="shared" si="27"/>
        <v>0</v>
      </c>
      <c r="K844" s="70"/>
    </row>
    <row r="845" spans="1:11" ht="24" customHeight="1">
      <c r="A845" s="33" t="s">
        <v>2109</v>
      </c>
      <c r="B845" s="33" t="s">
        <v>2110</v>
      </c>
      <c r="C845" s="33">
        <v>1</v>
      </c>
      <c r="D845" s="33" t="s">
        <v>2111</v>
      </c>
      <c r="E845" s="33">
        <v>1</v>
      </c>
      <c r="F845" s="33"/>
      <c r="G845" s="522"/>
      <c r="H845" s="707"/>
      <c r="I845" s="707">
        <f t="shared" si="26"/>
        <v>0</v>
      </c>
      <c r="J845" s="707">
        <f t="shared" si="27"/>
        <v>0</v>
      </c>
      <c r="K845" s="70"/>
    </row>
    <row r="846" spans="1:11" ht="24" customHeight="1">
      <c r="A846" s="384" t="s">
        <v>877</v>
      </c>
      <c r="B846" s="2" t="s">
        <v>371</v>
      </c>
      <c r="C846" s="2">
        <v>10</v>
      </c>
      <c r="D846" s="2" t="s">
        <v>593</v>
      </c>
      <c r="E846" s="33">
        <v>3</v>
      </c>
      <c r="F846" s="33"/>
      <c r="G846" s="522"/>
      <c r="H846" s="707">
        <v>2</v>
      </c>
      <c r="I846" s="707">
        <f t="shared" si="26"/>
        <v>2.2999999999999998</v>
      </c>
      <c r="J846" s="707">
        <f t="shared" si="27"/>
        <v>2.6</v>
      </c>
      <c r="K846" s="70"/>
    </row>
    <row r="847" spans="1:11" ht="24" customHeight="1">
      <c r="A847" s="33" t="s">
        <v>2224</v>
      </c>
      <c r="B847" s="33" t="s">
        <v>2225</v>
      </c>
      <c r="C847" s="33">
        <v>41</v>
      </c>
      <c r="D847" s="33" t="s">
        <v>2191</v>
      </c>
      <c r="E847" s="33">
        <v>5</v>
      </c>
      <c r="F847" s="33"/>
      <c r="G847" s="522"/>
      <c r="H847" s="707"/>
      <c r="I847" s="707">
        <f t="shared" si="26"/>
        <v>0</v>
      </c>
      <c r="J847" s="707">
        <f t="shared" si="27"/>
        <v>0</v>
      </c>
      <c r="K847" s="70"/>
    </row>
    <row r="848" spans="1:11" ht="24" customHeight="1">
      <c r="A848" s="74" t="s">
        <v>2505</v>
      </c>
      <c r="B848" s="74" t="s">
        <v>147</v>
      </c>
      <c r="C848" s="74">
        <v>20</v>
      </c>
      <c r="D848" s="33" t="s">
        <v>2504</v>
      </c>
      <c r="E848" s="33">
        <v>5</v>
      </c>
      <c r="F848" s="33"/>
      <c r="G848" s="522"/>
      <c r="H848" s="707">
        <v>5</v>
      </c>
      <c r="I848" s="707">
        <f t="shared" si="26"/>
        <v>5.75</v>
      </c>
      <c r="J848" s="707">
        <f t="shared" si="27"/>
        <v>6.5</v>
      </c>
      <c r="K848" s="70"/>
    </row>
    <row r="849" spans="1:11" ht="24" customHeight="1">
      <c r="A849" s="74" t="s">
        <v>1489</v>
      </c>
      <c r="B849" s="74" t="s">
        <v>1275</v>
      </c>
      <c r="C849" s="74">
        <v>1</v>
      </c>
      <c r="D849" s="33" t="s">
        <v>1372</v>
      </c>
      <c r="E849" s="33">
        <v>5</v>
      </c>
      <c r="F849" s="33"/>
      <c r="G849" s="522"/>
      <c r="H849" s="707"/>
      <c r="I849" s="707">
        <f t="shared" si="26"/>
        <v>0</v>
      </c>
      <c r="J849" s="707">
        <f t="shared" si="27"/>
        <v>0</v>
      </c>
      <c r="K849" s="70"/>
    </row>
    <row r="850" spans="1:11" ht="24" customHeight="1">
      <c r="A850" s="74" t="s">
        <v>1457</v>
      </c>
      <c r="B850" s="74" t="s">
        <v>1458</v>
      </c>
      <c r="C850" s="74">
        <v>4</v>
      </c>
      <c r="D850" s="33" t="s">
        <v>1372</v>
      </c>
      <c r="E850" s="33">
        <v>5</v>
      </c>
      <c r="F850" s="33"/>
      <c r="G850" s="522"/>
      <c r="H850" s="707"/>
      <c r="I850" s="707">
        <f t="shared" si="26"/>
        <v>0</v>
      </c>
      <c r="J850" s="707">
        <f t="shared" si="27"/>
        <v>0</v>
      </c>
      <c r="K850" s="70"/>
    </row>
    <row r="851" spans="1:11" ht="24" customHeight="1">
      <c r="A851" s="33" t="s">
        <v>122</v>
      </c>
      <c r="B851" s="33" t="s">
        <v>123</v>
      </c>
      <c r="C851" s="33">
        <v>1</v>
      </c>
      <c r="D851" s="2" t="s">
        <v>11</v>
      </c>
      <c r="E851" s="33">
        <v>2</v>
      </c>
      <c r="F851" s="33"/>
      <c r="G851" s="522"/>
      <c r="H851" s="707"/>
      <c r="I851" s="707">
        <f t="shared" si="26"/>
        <v>0</v>
      </c>
      <c r="J851" s="707">
        <f t="shared" si="27"/>
        <v>0</v>
      </c>
      <c r="K851" s="70"/>
    </row>
    <row r="852" spans="1:11" ht="24" customHeight="1">
      <c r="A852" s="33" t="s">
        <v>620</v>
      </c>
      <c r="B852" s="33" t="s">
        <v>474</v>
      </c>
      <c r="C852" s="33">
        <v>10</v>
      </c>
      <c r="D852" s="2" t="s">
        <v>593</v>
      </c>
      <c r="E852" s="33">
        <v>1</v>
      </c>
      <c r="F852" s="33"/>
      <c r="G852" s="522"/>
      <c r="H852" s="707">
        <v>120</v>
      </c>
      <c r="I852" s="707">
        <f t="shared" si="26"/>
        <v>138</v>
      </c>
      <c r="J852" s="707">
        <f t="shared" si="27"/>
        <v>156</v>
      </c>
      <c r="K852" s="70"/>
    </row>
    <row r="853" spans="1:11" ht="24" hidden="1" customHeight="1">
      <c r="A853" s="2" t="s">
        <v>1861</v>
      </c>
      <c r="B853" s="5" t="s">
        <v>1862</v>
      </c>
      <c r="C853" s="2">
        <v>0</v>
      </c>
      <c r="D853" s="2" t="s">
        <v>1785</v>
      </c>
      <c r="E853" s="33">
        <v>3</v>
      </c>
      <c r="F853" s="33"/>
      <c r="G853" s="522"/>
      <c r="H853" s="56">
        <v>1.8</v>
      </c>
      <c r="I853" s="56">
        <f t="shared" si="26"/>
        <v>2.0699999999999998</v>
      </c>
      <c r="J853" s="56">
        <f t="shared" si="27"/>
        <v>2.3400000000000003</v>
      </c>
      <c r="K853" s="70" t="s">
        <v>84</v>
      </c>
    </row>
    <row r="854" spans="1:11" ht="24" customHeight="1">
      <c r="A854" s="2" t="s">
        <v>568</v>
      </c>
      <c r="B854" s="2" t="s">
        <v>371</v>
      </c>
      <c r="C854" s="2">
        <v>480</v>
      </c>
      <c r="D854" s="2" t="s">
        <v>536</v>
      </c>
      <c r="E854" s="33">
        <v>5</v>
      </c>
      <c r="F854" s="33"/>
      <c r="G854" s="522"/>
      <c r="H854" s="707">
        <v>1.5</v>
      </c>
      <c r="I854" s="707">
        <f t="shared" si="26"/>
        <v>1.7249999999999999</v>
      </c>
      <c r="J854" s="707">
        <f t="shared" si="27"/>
        <v>1.9500000000000002</v>
      </c>
      <c r="K854" s="70"/>
    </row>
    <row r="855" spans="1:11" ht="24" customHeight="1">
      <c r="A855" s="74" t="s">
        <v>568</v>
      </c>
      <c r="B855" s="74" t="s">
        <v>2258</v>
      </c>
      <c r="C855" s="74">
        <v>120</v>
      </c>
      <c r="D855" s="33" t="s">
        <v>2191</v>
      </c>
      <c r="E855" s="33">
        <v>5</v>
      </c>
      <c r="F855" s="33"/>
      <c r="G855" s="522"/>
      <c r="H855" s="707">
        <v>1.5</v>
      </c>
      <c r="I855" s="707">
        <f t="shared" si="26"/>
        <v>1.7249999999999999</v>
      </c>
      <c r="J855" s="707">
        <f t="shared" si="27"/>
        <v>1.9500000000000002</v>
      </c>
      <c r="K855" s="70"/>
    </row>
    <row r="856" spans="1:11" ht="24" customHeight="1">
      <c r="A856" s="33" t="s">
        <v>1422</v>
      </c>
      <c r="B856" s="33" t="s">
        <v>1423</v>
      </c>
      <c r="C856" s="33">
        <v>5</v>
      </c>
      <c r="D856" s="33" t="s">
        <v>1372</v>
      </c>
      <c r="E856" s="33">
        <v>4</v>
      </c>
      <c r="F856" s="33"/>
      <c r="G856" s="522"/>
      <c r="H856" s="707">
        <v>100</v>
      </c>
      <c r="I856" s="707">
        <f t="shared" si="26"/>
        <v>114.99999999999999</v>
      </c>
      <c r="J856" s="707">
        <f t="shared" si="27"/>
        <v>130</v>
      </c>
      <c r="K856" s="70"/>
    </row>
    <row r="857" spans="1:11" ht="24" customHeight="1">
      <c r="A857" s="74" t="s">
        <v>1475</v>
      </c>
      <c r="B857" s="74" t="s">
        <v>1476</v>
      </c>
      <c r="C857" s="74">
        <v>4</v>
      </c>
      <c r="D857" s="33" t="s">
        <v>1372</v>
      </c>
      <c r="E857" s="33">
        <v>5</v>
      </c>
      <c r="F857" s="33"/>
      <c r="G857" s="522"/>
      <c r="H857" s="707"/>
      <c r="I857" s="707">
        <f t="shared" si="26"/>
        <v>0</v>
      </c>
      <c r="J857" s="707">
        <f t="shared" si="27"/>
        <v>0</v>
      </c>
      <c r="K857" s="70"/>
    </row>
    <row r="858" spans="1:11" ht="24" customHeight="1">
      <c r="A858" s="74" t="s">
        <v>1114</v>
      </c>
      <c r="B858" s="74" t="s">
        <v>1115</v>
      </c>
      <c r="C858" s="74">
        <v>1</v>
      </c>
      <c r="D858" s="33" t="s">
        <v>992</v>
      </c>
      <c r="E858" s="33">
        <v>5</v>
      </c>
      <c r="F858" s="33"/>
      <c r="G858" s="522"/>
      <c r="H858" s="707"/>
      <c r="I858" s="707">
        <f t="shared" si="26"/>
        <v>0</v>
      </c>
      <c r="J858" s="707">
        <f t="shared" si="27"/>
        <v>0</v>
      </c>
      <c r="K858" s="70"/>
    </row>
    <row r="859" spans="1:11" ht="24" customHeight="1">
      <c r="A859" s="74" t="s">
        <v>1448</v>
      </c>
      <c r="B859" s="74" t="s">
        <v>1449</v>
      </c>
      <c r="C859" s="74">
        <v>1</v>
      </c>
      <c r="D859" s="33" t="s">
        <v>1372</v>
      </c>
      <c r="E859" s="33">
        <v>5</v>
      </c>
      <c r="F859" s="33"/>
      <c r="G859" s="522"/>
      <c r="H859" s="707"/>
      <c r="I859" s="707">
        <f t="shared" si="26"/>
        <v>0</v>
      </c>
      <c r="J859" s="707">
        <f t="shared" si="27"/>
        <v>0</v>
      </c>
      <c r="K859" s="70"/>
    </row>
    <row r="860" spans="1:11" ht="24" customHeight="1">
      <c r="A860" s="2" t="s">
        <v>380</v>
      </c>
      <c r="B860" s="2" t="s">
        <v>56</v>
      </c>
      <c r="C860" s="2">
        <v>4</v>
      </c>
      <c r="D860" s="2" t="s">
        <v>274</v>
      </c>
      <c r="E860" s="33">
        <v>2</v>
      </c>
      <c r="F860" s="33"/>
      <c r="G860" s="522"/>
      <c r="H860" s="707">
        <v>5</v>
      </c>
      <c r="I860" s="707">
        <f t="shared" si="26"/>
        <v>5.75</v>
      </c>
      <c r="J860" s="707">
        <f t="shared" si="27"/>
        <v>6.5</v>
      </c>
      <c r="K860" s="70"/>
    </row>
    <row r="861" spans="1:11" ht="24" customHeight="1">
      <c r="A861" s="2" t="s">
        <v>337</v>
      </c>
      <c r="B861" s="2" t="s">
        <v>83</v>
      </c>
      <c r="C861" s="2">
        <v>24</v>
      </c>
      <c r="D861" s="2" t="s">
        <v>274</v>
      </c>
      <c r="E861" s="33">
        <v>1</v>
      </c>
      <c r="F861" s="33"/>
      <c r="G861" s="522"/>
      <c r="H861" s="707"/>
      <c r="I861" s="707">
        <f t="shared" si="26"/>
        <v>0</v>
      </c>
      <c r="J861" s="707">
        <f t="shared" si="27"/>
        <v>0</v>
      </c>
      <c r="K861" s="70"/>
    </row>
    <row r="862" spans="1:11" ht="24" customHeight="1">
      <c r="A862" s="2" t="s">
        <v>3276</v>
      </c>
      <c r="B862" s="2" t="s">
        <v>371</v>
      </c>
      <c r="C862" s="2">
        <v>5</v>
      </c>
      <c r="D862" s="2" t="s">
        <v>3273</v>
      </c>
      <c r="E862" s="33">
        <v>2</v>
      </c>
      <c r="F862" s="33"/>
      <c r="G862" s="522"/>
      <c r="H862" s="707"/>
      <c r="I862" s="707">
        <f t="shared" si="26"/>
        <v>0</v>
      </c>
      <c r="J862" s="707">
        <f t="shared" si="27"/>
        <v>0</v>
      </c>
      <c r="K862" s="70"/>
    </row>
    <row r="863" spans="1:11" ht="24" customHeight="1">
      <c r="A863" s="74" t="s">
        <v>1456</v>
      </c>
      <c r="B863" s="74" t="s">
        <v>272</v>
      </c>
      <c r="C863" s="74">
        <v>1</v>
      </c>
      <c r="D863" s="33" t="s">
        <v>1372</v>
      </c>
      <c r="E863" s="33">
        <v>5</v>
      </c>
      <c r="F863" s="33"/>
      <c r="G863" s="522"/>
      <c r="H863" s="707"/>
      <c r="I863" s="707">
        <f t="shared" si="26"/>
        <v>0</v>
      </c>
      <c r="J863" s="707">
        <f t="shared" si="27"/>
        <v>0</v>
      </c>
      <c r="K863" s="70"/>
    </row>
    <row r="864" spans="1:11" ht="24" customHeight="1">
      <c r="A864" s="11" t="s">
        <v>1749</v>
      </c>
      <c r="B864" s="11" t="s">
        <v>56</v>
      </c>
      <c r="C864" s="11">
        <v>7</v>
      </c>
      <c r="D864" s="131" t="s">
        <v>1723</v>
      </c>
      <c r="E864" s="15">
        <v>1</v>
      </c>
      <c r="F864" s="15"/>
      <c r="G864" s="684"/>
      <c r="H864" s="707"/>
      <c r="I864" s="707">
        <f t="shared" si="26"/>
        <v>0</v>
      </c>
      <c r="J864" s="707">
        <f t="shared" si="27"/>
        <v>0</v>
      </c>
      <c r="K864" s="70"/>
    </row>
    <row r="865" spans="1:11" ht="24" customHeight="1">
      <c r="A865" s="11" t="s">
        <v>1748</v>
      </c>
      <c r="B865" s="11" t="s">
        <v>56</v>
      </c>
      <c r="C865" s="11">
        <v>6</v>
      </c>
      <c r="D865" s="131" t="s">
        <v>1723</v>
      </c>
      <c r="E865" s="15">
        <v>1</v>
      </c>
      <c r="F865" s="15"/>
      <c r="G865" s="684"/>
      <c r="H865" s="707"/>
      <c r="I865" s="707">
        <f t="shared" si="26"/>
        <v>0</v>
      </c>
      <c r="J865" s="707">
        <f t="shared" si="27"/>
        <v>0</v>
      </c>
      <c r="K865" s="70"/>
    </row>
    <row r="866" spans="1:11" ht="24" customHeight="1">
      <c r="A866" s="33" t="s">
        <v>2117</v>
      </c>
      <c r="B866" s="33" t="s">
        <v>10</v>
      </c>
      <c r="C866" s="33">
        <v>62</v>
      </c>
      <c r="D866" s="33" t="s">
        <v>2111</v>
      </c>
      <c r="E866" s="33">
        <v>1</v>
      </c>
      <c r="F866" s="33"/>
      <c r="G866" s="522"/>
      <c r="H866" s="707"/>
      <c r="I866" s="707">
        <f t="shared" si="26"/>
        <v>0</v>
      </c>
      <c r="J866" s="707">
        <f t="shared" si="27"/>
        <v>0</v>
      </c>
      <c r="K866" s="70"/>
    </row>
    <row r="867" spans="1:11" ht="24" customHeight="1">
      <c r="A867" s="11" t="s">
        <v>1770</v>
      </c>
      <c r="B867" s="134" t="s">
        <v>474</v>
      </c>
      <c r="C867" s="134">
        <v>79</v>
      </c>
      <c r="D867" s="131" t="s">
        <v>1723</v>
      </c>
      <c r="E867" s="15">
        <v>3</v>
      </c>
      <c r="F867" s="15"/>
      <c r="G867" s="684"/>
      <c r="H867" s="707"/>
      <c r="I867" s="707">
        <f t="shared" si="26"/>
        <v>0</v>
      </c>
      <c r="J867" s="707">
        <f t="shared" si="27"/>
        <v>0</v>
      </c>
      <c r="K867" s="70"/>
    </row>
    <row r="868" spans="1:11" ht="24" customHeight="1">
      <c r="A868" s="11" t="s">
        <v>3090</v>
      </c>
      <c r="B868" s="34" t="s">
        <v>1521</v>
      </c>
      <c r="C868" s="11">
        <v>1</v>
      </c>
      <c r="D868" s="33" t="s">
        <v>3053</v>
      </c>
      <c r="E868" s="17">
        <v>2</v>
      </c>
      <c r="F868" s="17"/>
      <c r="G868" s="687"/>
      <c r="H868" s="707"/>
      <c r="I868" s="707">
        <f t="shared" si="26"/>
        <v>0</v>
      </c>
      <c r="J868" s="707">
        <f t="shared" si="27"/>
        <v>0</v>
      </c>
      <c r="K868" s="70"/>
    </row>
    <row r="869" spans="1:11" ht="24" customHeight="1">
      <c r="A869" s="11" t="s">
        <v>3132</v>
      </c>
      <c r="B869" s="34" t="s">
        <v>3133</v>
      </c>
      <c r="C869" s="11">
        <v>1</v>
      </c>
      <c r="D869" s="33" t="s">
        <v>3053</v>
      </c>
      <c r="E869" s="33">
        <v>3</v>
      </c>
      <c r="F869" s="33"/>
      <c r="G869" s="522"/>
      <c r="H869" s="707"/>
      <c r="I869" s="707">
        <f t="shared" si="26"/>
        <v>0</v>
      </c>
      <c r="J869" s="707">
        <f t="shared" si="27"/>
        <v>0</v>
      </c>
      <c r="K869" s="70"/>
    </row>
    <row r="870" spans="1:11" ht="24" customHeight="1">
      <c r="A870" s="3" t="s">
        <v>2930</v>
      </c>
      <c r="B870" s="3" t="s">
        <v>2931</v>
      </c>
      <c r="C870" s="3">
        <v>2</v>
      </c>
      <c r="D870" s="15" t="s">
        <v>2918</v>
      </c>
      <c r="E870" s="15">
        <v>1</v>
      </c>
      <c r="F870" s="15"/>
      <c r="G870" s="684"/>
      <c r="H870" s="707"/>
      <c r="I870" s="707">
        <f t="shared" si="26"/>
        <v>0</v>
      </c>
      <c r="J870" s="707">
        <f t="shared" si="27"/>
        <v>0</v>
      </c>
      <c r="K870" s="70"/>
    </row>
    <row r="871" spans="1:11" ht="24" customHeight="1">
      <c r="A871" s="33" t="s">
        <v>3324</v>
      </c>
      <c r="B871" s="33" t="s">
        <v>3325</v>
      </c>
      <c r="C871" s="33">
        <v>1</v>
      </c>
      <c r="D871" s="33" t="s">
        <v>3279</v>
      </c>
      <c r="E871" s="33">
        <v>4</v>
      </c>
      <c r="F871" s="33"/>
      <c r="G871" s="522"/>
      <c r="H871" s="707"/>
      <c r="I871" s="707">
        <f t="shared" si="26"/>
        <v>0</v>
      </c>
      <c r="J871" s="707">
        <f t="shared" si="27"/>
        <v>0</v>
      </c>
      <c r="K871" s="70"/>
    </row>
    <row r="872" spans="1:11" ht="24" customHeight="1">
      <c r="A872" s="33" t="s">
        <v>3190</v>
      </c>
      <c r="B872" s="71" t="s">
        <v>3191</v>
      </c>
      <c r="C872" s="71">
        <v>2</v>
      </c>
      <c r="D872" s="33" t="s">
        <v>3053</v>
      </c>
      <c r="E872" s="71">
        <v>4</v>
      </c>
      <c r="F872" s="71"/>
      <c r="G872" s="686"/>
      <c r="H872" s="707"/>
      <c r="I872" s="707">
        <f t="shared" si="26"/>
        <v>0</v>
      </c>
      <c r="J872" s="707">
        <f t="shared" si="27"/>
        <v>0</v>
      </c>
      <c r="K872" s="70"/>
    </row>
    <row r="873" spans="1:11" ht="24" customHeight="1">
      <c r="A873" s="33" t="s">
        <v>2337</v>
      </c>
      <c r="B873" s="33" t="s">
        <v>2338</v>
      </c>
      <c r="C873" s="33">
        <v>6</v>
      </c>
      <c r="D873" s="33" t="s">
        <v>2276</v>
      </c>
      <c r="E873" s="33">
        <v>1</v>
      </c>
      <c r="F873" s="33"/>
      <c r="G873" s="522"/>
      <c r="H873" s="707"/>
      <c r="I873" s="707">
        <f t="shared" si="26"/>
        <v>0</v>
      </c>
      <c r="J873" s="707">
        <f t="shared" si="27"/>
        <v>0</v>
      </c>
      <c r="K873" s="70"/>
    </row>
    <row r="874" spans="1:11" ht="24" customHeight="1">
      <c r="A874" s="11" t="s">
        <v>3499</v>
      </c>
      <c r="B874" s="11" t="s">
        <v>56</v>
      </c>
      <c r="C874" s="11">
        <v>1</v>
      </c>
      <c r="D874" s="131" t="s">
        <v>3451</v>
      </c>
      <c r="E874" s="15">
        <v>3</v>
      </c>
      <c r="F874" s="15"/>
      <c r="G874" s="684"/>
      <c r="H874" s="707"/>
      <c r="I874" s="707">
        <f t="shared" si="26"/>
        <v>0</v>
      </c>
      <c r="J874" s="707">
        <f t="shared" si="27"/>
        <v>0</v>
      </c>
      <c r="K874" s="70"/>
    </row>
    <row r="875" spans="1:11" ht="24" customHeight="1">
      <c r="A875" s="3" t="s">
        <v>3044</v>
      </c>
      <c r="B875" s="33" t="s">
        <v>96</v>
      </c>
      <c r="C875" s="33">
        <v>1</v>
      </c>
      <c r="D875" s="33" t="s">
        <v>3027</v>
      </c>
      <c r="E875" s="33">
        <v>1</v>
      </c>
      <c r="F875" s="241" t="s">
        <v>3045</v>
      </c>
      <c r="G875" s="241"/>
      <c r="H875" s="707"/>
      <c r="I875" s="707">
        <f t="shared" si="26"/>
        <v>0</v>
      </c>
      <c r="J875" s="707">
        <f t="shared" si="27"/>
        <v>0</v>
      </c>
      <c r="K875" s="70" t="s">
        <v>549</v>
      </c>
    </row>
    <row r="876" spans="1:11" ht="24" customHeight="1">
      <c r="A876" s="2" t="s">
        <v>493</v>
      </c>
      <c r="B876" s="2" t="s">
        <v>494</v>
      </c>
      <c r="C876" s="2">
        <v>1</v>
      </c>
      <c r="D876" s="2" t="s">
        <v>274</v>
      </c>
      <c r="E876" s="33">
        <v>3</v>
      </c>
      <c r="F876" s="33"/>
      <c r="G876" s="522"/>
      <c r="H876" s="707"/>
      <c r="I876" s="707">
        <f t="shared" si="26"/>
        <v>0</v>
      </c>
      <c r="J876" s="707">
        <f t="shared" si="27"/>
        <v>0</v>
      </c>
      <c r="K876" s="70"/>
    </row>
    <row r="877" spans="1:11" ht="24" customHeight="1">
      <c r="A877" s="33" t="s">
        <v>3145</v>
      </c>
      <c r="B877" s="71" t="s">
        <v>418</v>
      </c>
      <c r="C877" s="71">
        <v>4</v>
      </c>
      <c r="D877" s="33" t="s">
        <v>3053</v>
      </c>
      <c r="E877" s="71">
        <v>4</v>
      </c>
      <c r="F877" s="71"/>
      <c r="G877" s="686"/>
      <c r="H877" s="707"/>
      <c r="I877" s="707">
        <f t="shared" si="26"/>
        <v>0</v>
      </c>
      <c r="J877" s="707">
        <f t="shared" si="27"/>
        <v>0</v>
      </c>
      <c r="K877" s="70"/>
    </row>
    <row r="878" spans="1:11" ht="24" customHeight="1">
      <c r="A878" s="33" t="s">
        <v>1007</v>
      </c>
      <c r="B878" s="33" t="s">
        <v>1008</v>
      </c>
      <c r="C878" s="33">
        <v>53</v>
      </c>
      <c r="D878" s="33" t="s">
        <v>992</v>
      </c>
      <c r="E878" s="33">
        <v>3</v>
      </c>
      <c r="F878" s="33"/>
      <c r="G878" s="522"/>
      <c r="H878" s="707"/>
      <c r="I878" s="707">
        <f t="shared" si="26"/>
        <v>0</v>
      </c>
      <c r="J878" s="707">
        <f t="shared" si="27"/>
        <v>0</v>
      </c>
      <c r="K878" s="70"/>
    </row>
    <row r="879" spans="1:11" ht="24" customHeight="1">
      <c r="A879" s="33" t="s">
        <v>3372</v>
      </c>
      <c r="B879" s="33" t="s">
        <v>2393</v>
      </c>
      <c r="C879" s="33">
        <v>4</v>
      </c>
      <c r="D879" s="33" t="s">
        <v>3348</v>
      </c>
      <c r="E879" s="33">
        <v>3</v>
      </c>
      <c r="F879" s="33"/>
      <c r="G879" s="522"/>
      <c r="H879" s="707"/>
      <c r="I879" s="707">
        <f t="shared" si="26"/>
        <v>0</v>
      </c>
      <c r="J879" s="707">
        <f t="shared" si="27"/>
        <v>0</v>
      </c>
      <c r="K879" s="70"/>
    </row>
    <row r="880" spans="1:11" ht="24" customHeight="1">
      <c r="A880" s="2" t="s">
        <v>495</v>
      </c>
      <c r="B880" s="2" t="s">
        <v>272</v>
      </c>
      <c r="C880" s="2">
        <v>29</v>
      </c>
      <c r="D880" s="2" t="s">
        <v>274</v>
      </c>
      <c r="E880" s="33">
        <v>3</v>
      </c>
      <c r="F880" s="33"/>
      <c r="G880" s="522"/>
      <c r="H880" s="707">
        <v>25</v>
      </c>
      <c r="I880" s="707">
        <f t="shared" si="26"/>
        <v>28.749999999999996</v>
      </c>
      <c r="J880" s="707">
        <f t="shared" si="27"/>
        <v>32.5</v>
      </c>
      <c r="K880" s="70"/>
    </row>
    <row r="881" spans="1:11" ht="24" customHeight="1">
      <c r="A881" s="33" t="s">
        <v>1648</v>
      </c>
      <c r="B881" s="33" t="s">
        <v>1649</v>
      </c>
      <c r="C881" s="33">
        <v>17</v>
      </c>
      <c r="D881" s="33" t="s">
        <v>1548</v>
      </c>
      <c r="E881" s="33">
        <v>4</v>
      </c>
      <c r="F881" s="33"/>
      <c r="G881" s="522"/>
      <c r="H881" s="707"/>
      <c r="I881" s="707">
        <f t="shared" si="26"/>
        <v>0</v>
      </c>
      <c r="J881" s="707">
        <f t="shared" si="27"/>
        <v>0</v>
      </c>
      <c r="K881" s="70"/>
    </row>
    <row r="882" spans="1:11" ht="24" customHeight="1">
      <c r="A882" s="11" t="s">
        <v>3478</v>
      </c>
      <c r="B882" s="11" t="s">
        <v>3479</v>
      </c>
      <c r="C882" s="11">
        <v>1</v>
      </c>
      <c r="D882" s="131" t="s">
        <v>3451</v>
      </c>
      <c r="E882" s="15">
        <v>3</v>
      </c>
      <c r="F882" s="15"/>
      <c r="G882" s="684"/>
      <c r="H882" s="707"/>
      <c r="I882" s="707">
        <f t="shared" si="26"/>
        <v>0</v>
      </c>
      <c r="J882" s="707">
        <f t="shared" si="27"/>
        <v>0</v>
      </c>
      <c r="K882" s="70"/>
    </row>
    <row r="883" spans="1:11" ht="24" customHeight="1">
      <c r="A883" s="2" t="s">
        <v>804</v>
      </c>
      <c r="B883" s="2" t="s">
        <v>21</v>
      </c>
      <c r="C883" s="2">
        <v>7</v>
      </c>
      <c r="D883" s="2" t="s">
        <v>593</v>
      </c>
      <c r="E883" s="33">
        <v>3</v>
      </c>
      <c r="F883" s="33"/>
      <c r="G883" s="522"/>
      <c r="H883" s="707"/>
      <c r="I883" s="707">
        <f t="shared" si="26"/>
        <v>0</v>
      </c>
      <c r="J883" s="707">
        <f t="shared" si="27"/>
        <v>0</v>
      </c>
      <c r="K883" s="70"/>
    </row>
    <row r="884" spans="1:11" ht="24" customHeight="1">
      <c r="A884" s="11" t="s">
        <v>3138</v>
      </c>
      <c r="B884" s="34" t="s">
        <v>474</v>
      </c>
      <c r="C884" s="11">
        <v>4</v>
      </c>
      <c r="D884" s="33" t="s">
        <v>3053</v>
      </c>
      <c r="E884" s="33">
        <v>3</v>
      </c>
      <c r="F884" s="33"/>
      <c r="G884" s="522"/>
      <c r="H884" s="707"/>
      <c r="I884" s="707">
        <f t="shared" si="26"/>
        <v>0</v>
      </c>
      <c r="J884" s="707">
        <f t="shared" si="27"/>
        <v>0</v>
      </c>
      <c r="K884" s="70"/>
    </row>
    <row r="885" spans="1:11" ht="24" customHeight="1">
      <c r="A885" s="3" t="s">
        <v>3046</v>
      </c>
      <c r="B885" s="33" t="s">
        <v>3047</v>
      </c>
      <c r="C885" s="33">
        <v>1</v>
      </c>
      <c r="D885" s="33" t="s">
        <v>3027</v>
      </c>
      <c r="E885" s="33">
        <v>1</v>
      </c>
      <c r="F885" s="241" t="s">
        <v>3045</v>
      </c>
      <c r="G885" s="241"/>
      <c r="H885" s="707"/>
      <c r="I885" s="707">
        <f t="shared" si="26"/>
        <v>0</v>
      </c>
      <c r="J885" s="707">
        <f t="shared" si="27"/>
        <v>0</v>
      </c>
      <c r="K885" s="70" t="s">
        <v>549</v>
      </c>
    </row>
    <row r="886" spans="1:11" ht="24" customHeight="1">
      <c r="A886" s="11" t="s">
        <v>3141</v>
      </c>
      <c r="B886" s="34" t="s">
        <v>2776</v>
      </c>
      <c r="C886" s="11">
        <v>1</v>
      </c>
      <c r="D886" s="33" t="s">
        <v>3053</v>
      </c>
      <c r="E886" s="33">
        <v>3</v>
      </c>
      <c r="F886" s="33"/>
      <c r="G886" s="522"/>
      <c r="H886" s="707"/>
      <c r="I886" s="707">
        <f t="shared" si="26"/>
        <v>0</v>
      </c>
      <c r="J886" s="707">
        <f t="shared" si="27"/>
        <v>0</v>
      </c>
      <c r="K886" s="70"/>
    </row>
    <row r="887" spans="1:11" ht="24" customHeight="1">
      <c r="A887" s="59" t="s">
        <v>3040</v>
      </c>
      <c r="B887" s="59" t="s">
        <v>3041</v>
      </c>
      <c r="C887" s="59">
        <v>1</v>
      </c>
      <c r="D887" s="33" t="s">
        <v>3027</v>
      </c>
      <c r="E887" s="33">
        <v>1</v>
      </c>
      <c r="F887" s="33"/>
      <c r="G887" s="522"/>
      <c r="H887" s="707"/>
      <c r="I887" s="707">
        <f t="shared" si="26"/>
        <v>0</v>
      </c>
      <c r="J887" s="707">
        <f t="shared" si="27"/>
        <v>0</v>
      </c>
      <c r="K887" s="377" t="s">
        <v>3042</v>
      </c>
    </row>
    <row r="888" spans="1:11" ht="24" customHeight="1">
      <c r="A888" s="33" t="s">
        <v>3029</v>
      </c>
      <c r="B888" s="33" t="s">
        <v>227</v>
      </c>
      <c r="C888" s="33">
        <v>1</v>
      </c>
      <c r="D888" s="33" t="s">
        <v>3027</v>
      </c>
      <c r="E888" s="33">
        <v>1</v>
      </c>
      <c r="F888" s="33"/>
      <c r="G888" s="522"/>
      <c r="H888" s="707"/>
      <c r="I888" s="707">
        <f t="shared" si="26"/>
        <v>0</v>
      </c>
      <c r="J888" s="707">
        <f t="shared" si="27"/>
        <v>0</v>
      </c>
      <c r="K888" s="70"/>
    </row>
    <row r="889" spans="1:11" ht="24" customHeight="1">
      <c r="A889" s="33" t="s">
        <v>1287</v>
      </c>
      <c r="B889" s="33" t="s">
        <v>10</v>
      </c>
      <c r="C889" s="33">
        <v>1</v>
      </c>
      <c r="D889" s="33" t="s">
        <v>1201</v>
      </c>
      <c r="E889" s="33">
        <v>4</v>
      </c>
      <c r="F889" s="33"/>
      <c r="G889" s="522"/>
      <c r="H889" s="707"/>
      <c r="I889" s="707">
        <f t="shared" si="26"/>
        <v>0</v>
      </c>
      <c r="J889" s="707">
        <f t="shared" si="27"/>
        <v>0</v>
      </c>
      <c r="K889" s="70" t="s">
        <v>51</v>
      </c>
    </row>
    <row r="890" spans="1:11" ht="24" customHeight="1">
      <c r="A890" s="33" t="s">
        <v>1287</v>
      </c>
      <c r="B890" s="33" t="s">
        <v>83</v>
      </c>
      <c r="C890" s="33">
        <v>22</v>
      </c>
      <c r="D890" s="33" t="s">
        <v>1372</v>
      </c>
      <c r="E890" s="33">
        <v>4</v>
      </c>
      <c r="F890" s="33"/>
      <c r="G890" s="522"/>
      <c r="H890" s="707"/>
      <c r="I890" s="707">
        <f t="shared" si="26"/>
        <v>0</v>
      </c>
      <c r="J890" s="707">
        <f t="shared" si="27"/>
        <v>0</v>
      </c>
      <c r="K890" s="70" t="s">
        <v>51</v>
      </c>
    </row>
    <row r="891" spans="1:11" ht="24" customHeight="1">
      <c r="A891" s="33" t="s">
        <v>1287</v>
      </c>
      <c r="B891" s="33" t="s">
        <v>83</v>
      </c>
      <c r="C891" s="33">
        <v>2</v>
      </c>
      <c r="D891" s="33" t="s">
        <v>2624</v>
      </c>
      <c r="E891" s="33">
        <v>4</v>
      </c>
      <c r="F891" s="33"/>
      <c r="G891" s="522"/>
      <c r="H891" s="707"/>
      <c r="I891" s="707">
        <f t="shared" si="26"/>
        <v>0</v>
      </c>
      <c r="J891" s="707">
        <f t="shared" si="27"/>
        <v>0</v>
      </c>
      <c r="K891" s="70"/>
    </row>
    <row r="892" spans="1:11" ht="24" customHeight="1">
      <c r="A892" s="2" t="s">
        <v>1287</v>
      </c>
      <c r="B892" s="2" t="s">
        <v>10</v>
      </c>
      <c r="C892" s="2">
        <v>1</v>
      </c>
      <c r="D892" s="2" t="s">
        <v>3671</v>
      </c>
      <c r="E892" s="33">
        <v>2</v>
      </c>
      <c r="F892" s="33"/>
      <c r="G892" s="522"/>
      <c r="H892" s="707"/>
      <c r="I892" s="707">
        <f t="shared" si="26"/>
        <v>0</v>
      </c>
      <c r="J892" s="707">
        <f t="shared" si="27"/>
        <v>0</v>
      </c>
      <c r="K892" s="70"/>
    </row>
    <row r="893" spans="1:11" ht="24" customHeight="1">
      <c r="A893" s="33" t="s">
        <v>2639</v>
      </c>
      <c r="B893" s="33" t="s">
        <v>41</v>
      </c>
      <c r="C893" s="33">
        <v>1</v>
      </c>
      <c r="D893" s="33" t="s">
        <v>2624</v>
      </c>
      <c r="E893" s="33">
        <v>4</v>
      </c>
      <c r="F893" s="33"/>
      <c r="G893" s="522"/>
      <c r="H893" s="707"/>
      <c r="I893" s="707">
        <f t="shared" si="26"/>
        <v>0</v>
      </c>
      <c r="J893" s="707">
        <f t="shared" si="27"/>
        <v>0</v>
      </c>
      <c r="K893" s="70"/>
    </row>
    <row r="894" spans="1:11" ht="24" customHeight="1">
      <c r="A894" s="33" t="s">
        <v>3398</v>
      </c>
      <c r="B894" s="33" t="s">
        <v>3399</v>
      </c>
      <c r="C894" s="33">
        <v>23</v>
      </c>
      <c r="D894" s="33" t="s">
        <v>3348</v>
      </c>
      <c r="E894" s="33">
        <v>4</v>
      </c>
      <c r="F894" s="33"/>
      <c r="G894" s="522"/>
      <c r="H894" s="707"/>
      <c r="I894" s="707">
        <f t="shared" si="26"/>
        <v>0</v>
      </c>
      <c r="J894" s="707">
        <f t="shared" si="27"/>
        <v>0</v>
      </c>
      <c r="K894" s="70"/>
    </row>
    <row r="895" spans="1:11" ht="24" customHeight="1">
      <c r="A895" s="33" t="s">
        <v>1405</v>
      </c>
      <c r="B895" s="33" t="s">
        <v>34</v>
      </c>
      <c r="C895" s="33">
        <v>7</v>
      </c>
      <c r="D895" s="33" t="s">
        <v>1372</v>
      </c>
      <c r="E895" s="33">
        <v>4</v>
      </c>
      <c r="F895" s="33"/>
      <c r="G895" s="522"/>
      <c r="H895" s="707">
        <v>50</v>
      </c>
      <c r="I895" s="707">
        <f t="shared" si="26"/>
        <v>57.499999999999993</v>
      </c>
      <c r="J895" s="707">
        <f t="shared" si="27"/>
        <v>65</v>
      </c>
      <c r="K895" s="70"/>
    </row>
    <row r="896" spans="1:11" ht="24" customHeight="1">
      <c r="A896" s="33" t="s">
        <v>2945</v>
      </c>
      <c r="B896" s="33" t="s">
        <v>1045</v>
      </c>
      <c r="C896" s="33">
        <v>20</v>
      </c>
      <c r="D896" s="15" t="s">
        <v>2918</v>
      </c>
      <c r="E896" s="33">
        <v>2</v>
      </c>
      <c r="F896" s="33"/>
      <c r="G896" s="522"/>
      <c r="H896" s="707"/>
      <c r="I896" s="707">
        <f t="shared" si="26"/>
        <v>0</v>
      </c>
      <c r="J896" s="707">
        <f t="shared" si="27"/>
        <v>0</v>
      </c>
      <c r="K896" s="70"/>
    </row>
    <row r="897" spans="1:11" ht="24" customHeight="1">
      <c r="A897" s="33" t="s">
        <v>911</v>
      </c>
      <c r="B897" s="33" t="s">
        <v>1045</v>
      </c>
      <c r="C897" s="33">
        <v>29</v>
      </c>
      <c r="D897" s="15" t="s">
        <v>2918</v>
      </c>
      <c r="E897" s="33">
        <v>2</v>
      </c>
      <c r="F897" s="33"/>
      <c r="G897" s="522"/>
      <c r="H897" s="707"/>
      <c r="I897" s="707">
        <f t="shared" si="26"/>
        <v>0</v>
      </c>
      <c r="J897" s="707">
        <f t="shared" si="27"/>
        <v>0</v>
      </c>
      <c r="K897" s="70"/>
    </row>
    <row r="898" spans="1:11" ht="24" customHeight="1">
      <c r="A898" s="33" t="s">
        <v>1215</v>
      </c>
      <c r="B898" s="33" t="s">
        <v>1045</v>
      </c>
      <c r="C898" s="33">
        <v>1</v>
      </c>
      <c r="D898" s="33" t="s">
        <v>1201</v>
      </c>
      <c r="E898" s="33">
        <v>3</v>
      </c>
      <c r="F898" s="33"/>
      <c r="G898" s="522"/>
      <c r="H898" s="707"/>
      <c r="I898" s="707">
        <f t="shared" ref="I898:I961" si="28">H898 * 1.15</f>
        <v>0</v>
      </c>
      <c r="J898" s="707">
        <f t="shared" ref="J898:J961" si="29">H898 * 1.3</f>
        <v>0</v>
      </c>
      <c r="K898" s="70"/>
    </row>
    <row r="899" spans="1:11" ht="24" customHeight="1">
      <c r="A899" s="33" t="s">
        <v>1215</v>
      </c>
      <c r="B899" s="33" t="s">
        <v>1045</v>
      </c>
      <c r="C899" s="33">
        <v>1</v>
      </c>
      <c r="D899" s="15" t="s">
        <v>2918</v>
      </c>
      <c r="E899" s="33">
        <v>2</v>
      </c>
      <c r="F899" s="33"/>
      <c r="G899" s="522"/>
      <c r="H899" s="707"/>
      <c r="I899" s="707">
        <f t="shared" si="28"/>
        <v>0</v>
      </c>
      <c r="J899" s="707">
        <f t="shared" si="29"/>
        <v>0</v>
      </c>
      <c r="K899" s="70"/>
    </row>
    <row r="900" spans="1:11" ht="24" customHeight="1">
      <c r="A900" s="33" t="s">
        <v>1044</v>
      </c>
      <c r="B900" s="33" t="s">
        <v>1045</v>
      </c>
      <c r="C900" s="33">
        <v>1</v>
      </c>
      <c r="D900" s="33" t="s">
        <v>992</v>
      </c>
      <c r="E900" s="33">
        <v>4</v>
      </c>
      <c r="F900" s="33"/>
      <c r="G900" s="522"/>
      <c r="H900" s="707"/>
      <c r="I900" s="707">
        <f t="shared" si="28"/>
        <v>0</v>
      </c>
      <c r="J900" s="707">
        <f t="shared" si="29"/>
        <v>0</v>
      </c>
      <c r="K900" s="70"/>
    </row>
    <row r="901" spans="1:11" ht="24" customHeight="1">
      <c r="A901" s="33" t="s">
        <v>1402</v>
      </c>
      <c r="B901" s="33" t="s">
        <v>34</v>
      </c>
      <c r="C901" s="33">
        <v>1</v>
      </c>
      <c r="D901" s="33" t="s">
        <v>1372</v>
      </c>
      <c r="E901" s="33">
        <v>4</v>
      </c>
      <c r="F901" s="33"/>
      <c r="G901" s="522"/>
      <c r="H901" s="707"/>
      <c r="I901" s="707">
        <f t="shared" si="28"/>
        <v>0</v>
      </c>
      <c r="J901" s="707">
        <f t="shared" si="29"/>
        <v>0</v>
      </c>
      <c r="K901" s="70"/>
    </row>
    <row r="902" spans="1:11" ht="24" customHeight="1">
      <c r="A902" s="33" t="s">
        <v>2946</v>
      </c>
      <c r="B902" s="33" t="s">
        <v>1045</v>
      </c>
      <c r="C902" s="33">
        <v>4</v>
      </c>
      <c r="D902" s="15" t="s">
        <v>2918</v>
      </c>
      <c r="E902" s="33">
        <v>2</v>
      </c>
      <c r="F902" s="33"/>
      <c r="G902" s="522"/>
      <c r="H902" s="707"/>
      <c r="I902" s="707">
        <f t="shared" si="28"/>
        <v>0</v>
      </c>
      <c r="J902" s="707">
        <f t="shared" si="29"/>
        <v>0</v>
      </c>
      <c r="K902" s="70"/>
    </row>
    <row r="903" spans="1:11" ht="24" customHeight="1">
      <c r="A903" s="2" t="s">
        <v>3680</v>
      </c>
      <c r="B903" s="2" t="s">
        <v>227</v>
      </c>
      <c r="C903" s="2">
        <v>1</v>
      </c>
      <c r="D903" s="2" t="s">
        <v>3671</v>
      </c>
      <c r="E903" s="33">
        <v>2</v>
      </c>
      <c r="F903" s="33"/>
      <c r="G903" s="522"/>
      <c r="H903" s="707"/>
      <c r="I903" s="707">
        <f t="shared" si="28"/>
        <v>0</v>
      </c>
      <c r="J903" s="707">
        <f t="shared" si="29"/>
        <v>0</v>
      </c>
      <c r="K903" s="70"/>
    </row>
    <row r="904" spans="1:11" ht="24" customHeight="1">
      <c r="A904" s="33" t="s">
        <v>1427</v>
      </c>
      <c r="B904" s="33" t="s">
        <v>1428</v>
      </c>
      <c r="C904" s="33">
        <v>2</v>
      </c>
      <c r="D904" s="33" t="s">
        <v>1372</v>
      </c>
      <c r="E904" s="33">
        <v>4</v>
      </c>
      <c r="F904" s="33"/>
      <c r="G904" s="522"/>
      <c r="H904" s="707"/>
      <c r="I904" s="707">
        <f t="shared" si="28"/>
        <v>0</v>
      </c>
      <c r="J904" s="707">
        <f t="shared" si="29"/>
        <v>0</v>
      </c>
      <c r="K904" s="70"/>
    </row>
    <row r="905" spans="1:11" ht="24" customHeight="1">
      <c r="A905" s="11" t="s">
        <v>1427</v>
      </c>
      <c r="B905" s="34" t="s">
        <v>1428</v>
      </c>
      <c r="C905" s="11">
        <v>4</v>
      </c>
      <c r="D905" s="33" t="s">
        <v>3053</v>
      </c>
      <c r="E905" s="33">
        <v>3</v>
      </c>
      <c r="F905" s="33"/>
      <c r="G905" s="522"/>
      <c r="H905" s="707"/>
      <c r="I905" s="707">
        <f t="shared" si="28"/>
        <v>0</v>
      </c>
      <c r="J905" s="707">
        <f t="shared" si="29"/>
        <v>0</v>
      </c>
      <c r="K905" s="70"/>
    </row>
    <row r="906" spans="1:11" ht="24" customHeight="1">
      <c r="A906" s="33" t="s">
        <v>1427</v>
      </c>
      <c r="B906" s="71" t="s">
        <v>1428</v>
      </c>
      <c r="C906" s="71">
        <v>8</v>
      </c>
      <c r="D906" s="33" t="s">
        <v>3053</v>
      </c>
      <c r="E906" s="71">
        <v>4</v>
      </c>
      <c r="F906" s="71"/>
      <c r="G906" s="686"/>
      <c r="H906" s="707"/>
      <c r="I906" s="707">
        <f t="shared" si="28"/>
        <v>0</v>
      </c>
      <c r="J906" s="707">
        <f t="shared" si="29"/>
        <v>0</v>
      </c>
      <c r="K906" s="70"/>
    </row>
    <row r="907" spans="1:11" ht="24" customHeight="1">
      <c r="A907" s="33" t="s">
        <v>1219</v>
      </c>
      <c r="B907" s="33" t="s">
        <v>1220</v>
      </c>
      <c r="C907" s="33">
        <v>1</v>
      </c>
      <c r="D907" s="33" t="s">
        <v>1201</v>
      </c>
      <c r="E907" s="33">
        <v>3</v>
      </c>
      <c r="F907" s="33"/>
      <c r="G907" s="522"/>
      <c r="H907" s="707"/>
      <c r="I907" s="707">
        <f t="shared" si="28"/>
        <v>0</v>
      </c>
      <c r="J907" s="707">
        <f t="shared" si="29"/>
        <v>0</v>
      </c>
      <c r="K907" s="70"/>
    </row>
    <row r="908" spans="1:11" ht="24" customHeight="1">
      <c r="A908" s="79" t="s">
        <v>1544</v>
      </c>
      <c r="B908" s="79" t="s">
        <v>1030</v>
      </c>
      <c r="C908" s="79">
        <v>38</v>
      </c>
      <c r="D908" s="79" t="s">
        <v>1494</v>
      </c>
      <c r="E908" s="79">
        <v>2</v>
      </c>
      <c r="F908" s="79"/>
      <c r="G908" s="60"/>
      <c r="H908" s="712"/>
      <c r="I908" s="721">
        <f t="shared" si="28"/>
        <v>0</v>
      </c>
      <c r="J908" s="712">
        <f t="shared" si="29"/>
        <v>0</v>
      </c>
      <c r="K908" s="70" t="s">
        <v>1545</v>
      </c>
    </row>
    <row r="909" spans="1:11" ht="24" customHeight="1">
      <c r="A909" s="33" t="s">
        <v>1544</v>
      </c>
      <c r="B909" s="71" t="s">
        <v>3189</v>
      </c>
      <c r="C909" s="71">
        <v>4</v>
      </c>
      <c r="D909" s="33" t="s">
        <v>3053</v>
      </c>
      <c r="E909" s="71">
        <v>4</v>
      </c>
      <c r="F909" s="71"/>
      <c r="G909" s="686"/>
      <c r="H909" s="707"/>
      <c r="I909" s="707">
        <f t="shared" si="28"/>
        <v>0</v>
      </c>
      <c r="J909" s="707">
        <f t="shared" si="29"/>
        <v>0</v>
      </c>
      <c r="K909" s="70"/>
    </row>
    <row r="910" spans="1:11" ht="24" customHeight="1">
      <c r="A910" s="33" t="s">
        <v>1941</v>
      </c>
      <c r="B910" s="33" t="s">
        <v>1115</v>
      </c>
      <c r="C910" s="33">
        <v>16</v>
      </c>
      <c r="D910" s="33" t="s">
        <v>1938</v>
      </c>
      <c r="E910" s="33">
        <v>1</v>
      </c>
      <c r="F910" s="33"/>
      <c r="G910" s="522"/>
      <c r="H910" s="707">
        <v>15</v>
      </c>
      <c r="I910" s="707">
        <f t="shared" si="28"/>
        <v>17.25</v>
      </c>
      <c r="J910" s="707">
        <f t="shared" si="29"/>
        <v>19.5</v>
      </c>
      <c r="K910" s="70"/>
    </row>
    <row r="911" spans="1:11" ht="24" customHeight="1">
      <c r="A911" s="33" t="s">
        <v>3032</v>
      </c>
      <c r="B911" s="33" t="s">
        <v>3031</v>
      </c>
      <c r="C911" s="33">
        <v>1</v>
      </c>
      <c r="D911" s="33" t="s">
        <v>3027</v>
      </c>
      <c r="E911" s="33">
        <v>1</v>
      </c>
      <c r="F911" s="33"/>
      <c r="G911" s="522"/>
      <c r="H911" s="707"/>
      <c r="I911" s="707">
        <f t="shared" si="28"/>
        <v>0</v>
      </c>
      <c r="J911" s="707">
        <f t="shared" si="29"/>
        <v>0</v>
      </c>
      <c r="K911" s="70"/>
    </row>
    <row r="912" spans="1:11" ht="24" customHeight="1">
      <c r="A912" s="33" t="s">
        <v>3030</v>
      </c>
      <c r="B912" s="33" t="s">
        <v>3031</v>
      </c>
      <c r="C912" s="33">
        <v>1</v>
      </c>
      <c r="D912" s="33" t="s">
        <v>3027</v>
      </c>
      <c r="E912" s="33">
        <v>1</v>
      </c>
      <c r="F912" s="33"/>
      <c r="G912" s="522"/>
      <c r="H912" s="707"/>
      <c r="I912" s="707">
        <f t="shared" si="28"/>
        <v>0</v>
      </c>
      <c r="J912" s="707">
        <f t="shared" si="29"/>
        <v>0</v>
      </c>
      <c r="K912" s="70"/>
    </row>
    <row r="913" spans="1:11" ht="24" customHeight="1">
      <c r="A913" s="2" t="s">
        <v>598</v>
      </c>
      <c r="B913" s="2" t="s">
        <v>599</v>
      </c>
      <c r="C913" s="2">
        <v>1</v>
      </c>
      <c r="D913" s="2" t="s">
        <v>593</v>
      </c>
      <c r="E913" s="33">
        <v>1</v>
      </c>
      <c r="F913" s="33"/>
      <c r="G913" s="522"/>
      <c r="H913" s="707"/>
      <c r="I913" s="707">
        <f t="shared" si="28"/>
        <v>0</v>
      </c>
      <c r="J913" s="707">
        <f t="shared" si="29"/>
        <v>0</v>
      </c>
      <c r="K913" s="70"/>
    </row>
    <row r="914" spans="1:11" ht="24" customHeight="1">
      <c r="A914" s="33" t="s">
        <v>1432</v>
      </c>
      <c r="B914" s="33" t="s">
        <v>1030</v>
      </c>
      <c r="C914" s="33">
        <v>6</v>
      </c>
      <c r="D914" s="33" t="s">
        <v>1372</v>
      </c>
      <c r="E914" s="33">
        <v>4</v>
      </c>
      <c r="F914" s="33"/>
      <c r="G914" s="522"/>
      <c r="H914" s="707">
        <v>150</v>
      </c>
      <c r="I914" s="707">
        <f t="shared" si="28"/>
        <v>172.5</v>
      </c>
      <c r="J914" s="707">
        <f t="shared" si="29"/>
        <v>195</v>
      </c>
      <c r="K914" s="70"/>
    </row>
    <row r="915" spans="1:11" ht="24" customHeight="1">
      <c r="A915" s="3" t="s">
        <v>1432</v>
      </c>
      <c r="B915" s="3" t="s">
        <v>2809</v>
      </c>
      <c r="C915" s="3">
        <v>4</v>
      </c>
      <c r="D915" s="58" t="s">
        <v>2802</v>
      </c>
      <c r="E915" s="33">
        <v>2</v>
      </c>
      <c r="F915" s="33"/>
      <c r="G915" s="522"/>
      <c r="H915" s="707"/>
      <c r="I915" s="707">
        <f t="shared" si="28"/>
        <v>0</v>
      </c>
      <c r="J915" s="707">
        <f t="shared" si="29"/>
        <v>0</v>
      </c>
      <c r="K915" s="70"/>
    </row>
    <row r="916" spans="1:11" ht="24" customHeight="1">
      <c r="A916" s="2" t="s">
        <v>3702</v>
      </c>
      <c r="B916" s="2" t="s">
        <v>83</v>
      </c>
      <c r="C916" s="2">
        <v>1</v>
      </c>
      <c r="D916" s="2" t="s">
        <v>3671</v>
      </c>
      <c r="E916" s="33">
        <v>2</v>
      </c>
      <c r="F916" s="33"/>
      <c r="G916" s="522"/>
      <c r="H916" s="707"/>
      <c r="I916" s="707">
        <f t="shared" si="28"/>
        <v>0</v>
      </c>
      <c r="J916" s="707">
        <f t="shared" si="29"/>
        <v>0</v>
      </c>
      <c r="K916" s="55"/>
    </row>
    <row r="917" spans="1:11" ht="24" customHeight="1">
      <c r="A917" s="2" t="s">
        <v>3569</v>
      </c>
      <c r="B917" s="2" t="s">
        <v>227</v>
      </c>
      <c r="C917" s="2">
        <v>2</v>
      </c>
      <c r="D917" s="2" t="s">
        <v>3671</v>
      </c>
      <c r="E917" s="33">
        <v>2</v>
      </c>
      <c r="F917" s="33"/>
      <c r="G917" s="522"/>
      <c r="H917" s="707"/>
      <c r="I917" s="707">
        <f t="shared" si="28"/>
        <v>0</v>
      </c>
      <c r="J917" s="707">
        <f t="shared" si="29"/>
        <v>0</v>
      </c>
      <c r="K917" s="70" t="s">
        <v>3576</v>
      </c>
    </row>
    <row r="918" spans="1:11" ht="24" customHeight="1">
      <c r="A918" s="2" t="s">
        <v>3569</v>
      </c>
      <c r="B918" s="2" t="s">
        <v>227</v>
      </c>
      <c r="C918" s="2">
        <v>2</v>
      </c>
      <c r="D918" s="33" t="s">
        <v>3568</v>
      </c>
      <c r="E918" s="33">
        <v>2</v>
      </c>
      <c r="F918" s="33"/>
      <c r="G918" s="522"/>
      <c r="H918" s="707"/>
      <c r="I918" s="707">
        <f t="shared" si="28"/>
        <v>0</v>
      </c>
      <c r="J918" s="707">
        <f t="shared" si="29"/>
        <v>0</v>
      </c>
      <c r="K918" s="70"/>
    </row>
    <row r="919" spans="1:11" ht="24" customHeight="1">
      <c r="A919" s="33" t="s">
        <v>3201</v>
      </c>
      <c r="B919" s="71" t="s">
        <v>10</v>
      </c>
      <c r="C919" s="71">
        <v>6</v>
      </c>
      <c r="D919" s="33" t="s">
        <v>3053</v>
      </c>
      <c r="E919" s="71">
        <v>4</v>
      </c>
      <c r="F919" s="71"/>
      <c r="G919" s="686"/>
      <c r="H919" s="707"/>
      <c r="I919" s="707">
        <f t="shared" si="28"/>
        <v>0</v>
      </c>
      <c r="J919" s="707">
        <f t="shared" si="29"/>
        <v>0</v>
      </c>
      <c r="K919" s="70" t="s">
        <v>51</v>
      </c>
    </row>
    <row r="920" spans="1:11" ht="24" customHeight="1">
      <c r="A920" s="33" t="s">
        <v>537</v>
      </c>
      <c r="B920" s="33" t="s">
        <v>538</v>
      </c>
      <c r="C920" s="33">
        <v>1</v>
      </c>
      <c r="D920" s="2" t="s">
        <v>536</v>
      </c>
      <c r="E920" s="33">
        <v>4</v>
      </c>
      <c r="F920" s="33"/>
      <c r="G920" s="522"/>
      <c r="H920" s="708">
        <v>1000</v>
      </c>
      <c r="I920" s="707">
        <f t="shared" si="28"/>
        <v>1150</v>
      </c>
      <c r="J920" s="708">
        <f t="shared" si="29"/>
        <v>1300</v>
      </c>
      <c r="K920" s="70"/>
    </row>
    <row r="921" spans="1:11" ht="24" customHeight="1">
      <c r="A921" s="59" t="s">
        <v>3011</v>
      </c>
      <c r="B921" s="59" t="s">
        <v>3012</v>
      </c>
      <c r="C921" s="59">
        <v>20</v>
      </c>
      <c r="D921" s="71" t="s">
        <v>2947</v>
      </c>
      <c r="E921" s="354">
        <v>5</v>
      </c>
      <c r="F921" s="354"/>
      <c r="G921" s="688"/>
      <c r="H921" s="707"/>
      <c r="I921" s="707">
        <f t="shared" si="28"/>
        <v>0</v>
      </c>
      <c r="J921" s="707">
        <f t="shared" si="29"/>
        <v>0</v>
      </c>
      <c r="K921" s="70"/>
    </row>
    <row r="922" spans="1:11" ht="24" customHeight="1">
      <c r="A922" s="11" t="s">
        <v>3011</v>
      </c>
      <c r="B922" s="34" t="s">
        <v>3159</v>
      </c>
      <c r="C922" s="11">
        <v>7</v>
      </c>
      <c r="D922" s="33" t="s">
        <v>3053</v>
      </c>
      <c r="E922" s="33">
        <v>3</v>
      </c>
      <c r="F922" s="33"/>
      <c r="G922" s="522"/>
      <c r="H922" s="707"/>
      <c r="I922" s="707">
        <f t="shared" si="28"/>
        <v>0</v>
      </c>
      <c r="J922" s="707">
        <f t="shared" si="29"/>
        <v>0</v>
      </c>
      <c r="K922" s="70"/>
    </row>
    <row r="923" spans="1:11" ht="24" customHeight="1">
      <c r="A923" s="33" t="s">
        <v>2771</v>
      </c>
      <c r="B923" s="33" t="s">
        <v>272</v>
      </c>
      <c r="C923" s="33">
        <v>5</v>
      </c>
      <c r="D923" s="33" t="s">
        <v>2772</v>
      </c>
      <c r="E923" s="354">
        <v>4</v>
      </c>
      <c r="F923" s="354"/>
      <c r="G923" s="688"/>
      <c r="H923" s="708"/>
      <c r="I923" s="707">
        <f t="shared" si="28"/>
        <v>0</v>
      </c>
      <c r="J923" s="708">
        <f t="shared" si="29"/>
        <v>0</v>
      </c>
      <c r="K923" s="70"/>
    </row>
    <row r="924" spans="1:11" ht="24" customHeight="1">
      <c r="A924" s="33" t="s">
        <v>3403</v>
      </c>
      <c r="B924" s="33" t="s">
        <v>3275</v>
      </c>
      <c r="C924" s="33">
        <v>29</v>
      </c>
      <c r="D924" s="33" t="s">
        <v>3348</v>
      </c>
      <c r="E924" s="33">
        <v>4</v>
      </c>
      <c r="F924" s="33"/>
      <c r="G924" s="522"/>
      <c r="H924" s="707"/>
      <c r="I924" s="707">
        <f t="shared" si="28"/>
        <v>0</v>
      </c>
      <c r="J924" s="707">
        <f t="shared" si="29"/>
        <v>0</v>
      </c>
      <c r="K924" s="70"/>
    </row>
    <row r="925" spans="1:11" ht="24" customHeight="1">
      <c r="A925" s="3" t="s">
        <v>3048</v>
      </c>
      <c r="B925" s="33" t="s">
        <v>3049</v>
      </c>
      <c r="C925" s="33">
        <v>1</v>
      </c>
      <c r="D925" s="33" t="s">
        <v>3027</v>
      </c>
      <c r="E925" s="33">
        <v>1</v>
      </c>
      <c r="F925" s="241" t="s">
        <v>3045</v>
      </c>
      <c r="G925" s="241"/>
      <c r="H925" s="707"/>
      <c r="I925" s="707">
        <f t="shared" si="28"/>
        <v>0</v>
      </c>
      <c r="J925" s="707">
        <f t="shared" si="29"/>
        <v>0</v>
      </c>
      <c r="K925" s="70" t="s">
        <v>549</v>
      </c>
    </row>
    <row r="926" spans="1:11" ht="24" customHeight="1">
      <c r="A926" s="11" t="s">
        <v>3134</v>
      </c>
      <c r="B926" s="34" t="s">
        <v>3135</v>
      </c>
      <c r="C926" s="11">
        <v>100</v>
      </c>
      <c r="D926" s="33" t="s">
        <v>3053</v>
      </c>
      <c r="E926" s="33">
        <v>3</v>
      </c>
      <c r="H926" s="722"/>
      <c r="I926" s="722">
        <f t="shared" si="28"/>
        <v>0</v>
      </c>
      <c r="J926" s="722">
        <f t="shared" si="29"/>
        <v>0</v>
      </c>
      <c r="K926" s="70"/>
    </row>
    <row r="927" spans="1:11" ht="24" customHeight="1">
      <c r="A927" s="74" t="s">
        <v>2535</v>
      </c>
      <c r="B927" s="74" t="s">
        <v>19</v>
      </c>
      <c r="C927" s="74">
        <v>1</v>
      </c>
      <c r="D927" s="33" t="s">
        <v>2504</v>
      </c>
      <c r="E927" s="33">
        <v>5</v>
      </c>
      <c r="F927" s="33"/>
      <c r="G927" s="522"/>
      <c r="H927" s="707">
        <v>80</v>
      </c>
      <c r="I927" s="707">
        <f t="shared" si="28"/>
        <v>92</v>
      </c>
      <c r="J927" s="707">
        <f t="shared" si="29"/>
        <v>104</v>
      </c>
      <c r="K927" s="70"/>
    </row>
    <row r="928" spans="1:11" ht="24" customHeight="1">
      <c r="A928" s="33" t="s">
        <v>969</v>
      </c>
      <c r="B928" s="33" t="s">
        <v>970</v>
      </c>
      <c r="C928" s="33">
        <v>3</v>
      </c>
      <c r="D928" s="33" t="s">
        <v>910</v>
      </c>
      <c r="E928" s="33">
        <v>2</v>
      </c>
      <c r="F928" s="33"/>
      <c r="G928" s="522"/>
      <c r="H928" s="707">
        <v>150</v>
      </c>
      <c r="I928" s="707">
        <f t="shared" si="28"/>
        <v>172.5</v>
      </c>
      <c r="J928" s="707">
        <f t="shared" si="29"/>
        <v>195</v>
      </c>
      <c r="K928" s="70"/>
    </row>
    <row r="929" spans="1:11" ht="24" customHeight="1">
      <c r="A929" s="33" t="s">
        <v>3350</v>
      </c>
      <c r="B929" s="33" t="s">
        <v>147</v>
      </c>
      <c r="C929" s="33">
        <v>3</v>
      </c>
      <c r="D929" s="33" t="s">
        <v>3348</v>
      </c>
      <c r="E929" s="33">
        <v>3</v>
      </c>
      <c r="F929" s="33"/>
      <c r="G929" s="522"/>
      <c r="H929" s="707"/>
      <c r="I929" s="707">
        <f t="shared" si="28"/>
        <v>0</v>
      </c>
      <c r="J929" s="707">
        <f t="shared" si="29"/>
        <v>0</v>
      </c>
      <c r="K929" s="70"/>
    </row>
    <row r="930" spans="1:11" ht="24" customHeight="1">
      <c r="A930" s="33" t="s">
        <v>1049</v>
      </c>
      <c r="B930" s="33" t="s">
        <v>707</v>
      </c>
      <c r="C930" s="33">
        <v>1</v>
      </c>
      <c r="D930" s="33" t="s">
        <v>992</v>
      </c>
      <c r="E930" s="33">
        <v>4</v>
      </c>
      <c r="F930" s="33"/>
      <c r="G930" s="522"/>
      <c r="H930" s="707">
        <v>150</v>
      </c>
      <c r="I930" s="707">
        <f t="shared" si="28"/>
        <v>172.5</v>
      </c>
      <c r="J930" s="707">
        <f t="shared" si="29"/>
        <v>195</v>
      </c>
      <c r="K930" s="70"/>
    </row>
    <row r="931" spans="1:11" ht="24" customHeight="1">
      <c r="A931" s="33" t="s">
        <v>1411</v>
      </c>
      <c r="B931" s="33" t="s">
        <v>313</v>
      </c>
      <c r="C931" s="33">
        <v>1</v>
      </c>
      <c r="D931" s="33" t="s">
        <v>1372</v>
      </c>
      <c r="E931" s="33">
        <v>4</v>
      </c>
      <c r="F931" s="33"/>
      <c r="G931" s="522"/>
      <c r="H931" s="707">
        <v>50</v>
      </c>
      <c r="I931" s="707">
        <f t="shared" si="28"/>
        <v>57.499999999999993</v>
      </c>
      <c r="J931" s="707">
        <f t="shared" si="29"/>
        <v>65</v>
      </c>
      <c r="K931" s="70"/>
    </row>
    <row r="932" spans="1:11" ht="24" customHeight="1">
      <c r="A932" s="33" t="s">
        <v>2565</v>
      </c>
      <c r="B932" s="33" t="s">
        <v>2566</v>
      </c>
      <c r="C932" s="33">
        <v>11</v>
      </c>
      <c r="D932" s="33" t="s">
        <v>2540</v>
      </c>
      <c r="E932" s="33">
        <v>1</v>
      </c>
      <c r="F932" s="33"/>
      <c r="G932" s="522"/>
      <c r="H932" s="707">
        <v>25</v>
      </c>
      <c r="I932" s="707">
        <f t="shared" si="28"/>
        <v>28.749999999999996</v>
      </c>
      <c r="J932" s="707">
        <f t="shared" si="29"/>
        <v>32.5</v>
      </c>
      <c r="K932" s="70"/>
    </row>
    <row r="933" spans="1:11" ht="24" customHeight="1">
      <c r="A933" s="383" t="s">
        <v>750</v>
      </c>
      <c r="B933" s="2" t="s">
        <v>749</v>
      </c>
      <c r="C933" s="2">
        <v>22</v>
      </c>
      <c r="D933" s="2" t="s">
        <v>593</v>
      </c>
      <c r="E933" s="33">
        <v>3</v>
      </c>
      <c r="F933" s="33"/>
      <c r="G933" s="522"/>
      <c r="H933" s="707"/>
      <c r="I933" s="707">
        <f t="shared" si="28"/>
        <v>0</v>
      </c>
      <c r="J933" s="707">
        <f t="shared" si="29"/>
        <v>0</v>
      </c>
      <c r="K933" s="70"/>
    </row>
    <row r="934" spans="1:11" ht="24" customHeight="1">
      <c r="A934" s="2" t="s">
        <v>748</v>
      </c>
      <c r="B934" s="2" t="s">
        <v>749</v>
      </c>
      <c r="C934" s="2">
        <v>226</v>
      </c>
      <c r="D934" s="2" t="s">
        <v>593</v>
      </c>
      <c r="E934" s="33">
        <v>3</v>
      </c>
      <c r="F934" s="33"/>
      <c r="G934" s="522"/>
      <c r="H934" s="707"/>
      <c r="I934" s="707">
        <f t="shared" si="28"/>
        <v>0</v>
      </c>
      <c r="J934" s="707">
        <f t="shared" si="29"/>
        <v>0</v>
      </c>
      <c r="K934" s="70"/>
    </row>
    <row r="935" spans="1:11" ht="24" customHeight="1">
      <c r="A935" s="3" t="s">
        <v>2829</v>
      </c>
      <c r="B935" s="3" t="s">
        <v>1006</v>
      </c>
      <c r="C935" s="3">
        <v>20</v>
      </c>
      <c r="D935" s="58" t="s">
        <v>2802</v>
      </c>
      <c r="E935" s="33">
        <v>2</v>
      </c>
      <c r="F935" s="33"/>
      <c r="G935" s="522"/>
      <c r="H935" s="707"/>
      <c r="I935" s="707">
        <f t="shared" si="28"/>
        <v>0</v>
      </c>
      <c r="J935" s="707">
        <f t="shared" si="29"/>
        <v>0</v>
      </c>
      <c r="K935" s="70"/>
    </row>
    <row r="936" spans="1:11" ht="24" customHeight="1">
      <c r="A936" s="33" t="s">
        <v>921</v>
      </c>
      <c r="B936" s="33" t="s">
        <v>27</v>
      </c>
      <c r="C936" s="33">
        <v>60</v>
      </c>
      <c r="D936" s="33" t="s">
        <v>910</v>
      </c>
      <c r="E936" s="33">
        <v>1</v>
      </c>
      <c r="F936" s="33"/>
      <c r="G936" s="522"/>
      <c r="H936" s="711">
        <v>4</v>
      </c>
      <c r="I936" s="711">
        <f t="shared" si="28"/>
        <v>4.5999999999999996</v>
      </c>
      <c r="J936" s="711">
        <f t="shared" si="29"/>
        <v>5.2</v>
      </c>
      <c r="K936" s="70"/>
    </row>
    <row r="937" spans="1:11" ht="24" customHeight="1">
      <c r="A937" s="2" t="s">
        <v>3701</v>
      </c>
      <c r="B937" s="2" t="s">
        <v>83</v>
      </c>
      <c r="C937" s="2">
        <v>1</v>
      </c>
      <c r="D937" s="2" t="s">
        <v>3671</v>
      </c>
      <c r="E937" s="33">
        <v>2</v>
      </c>
      <c r="F937" s="33"/>
      <c r="G937" s="522"/>
      <c r="H937" s="707"/>
      <c r="I937" s="707">
        <f t="shared" si="28"/>
        <v>0</v>
      </c>
      <c r="J937" s="707">
        <f t="shared" si="29"/>
        <v>0</v>
      </c>
      <c r="K937" s="55"/>
    </row>
    <row r="938" spans="1:11" ht="24" customHeight="1">
      <c r="A938" s="33" t="s">
        <v>3386</v>
      </c>
      <c r="B938" s="33" t="s">
        <v>83</v>
      </c>
      <c r="C938" s="33">
        <v>1</v>
      </c>
      <c r="D938" s="33" t="s">
        <v>3348</v>
      </c>
      <c r="E938" s="33">
        <v>4</v>
      </c>
      <c r="F938" s="33"/>
      <c r="G938" s="522"/>
      <c r="H938" s="707">
        <v>150</v>
      </c>
      <c r="I938" s="707">
        <f t="shared" si="28"/>
        <v>172.5</v>
      </c>
      <c r="J938" s="707">
        <f t="shared" si="29"/>
        <v>195</v>
      </c>
      <c r="K938" s="70"/>
    </row>
    <row r="939" spans="1:11" ht="24" customHeight="1">
      <c r="A939" s="11" t="s">
        <v>3137</v>
      </c>
      <c r="B939" s="34" t="s">
        <v>25</v>
      </c>
      <c r="C939" s="11">
        <v>164</v>
      </c>
      <c r="D939" s="33" t="s">
        <v>3053</v>
      </c>
      <c r="E939" s="33">
        <v>3</v>
      </c>
      <c r="F939" s="33"/>
      <c r="G939" s="522"/>
      <c r="H939" s="707">
        <v>1</v>
      </c>
      <c r="I939" s="707">
        <f t="shared" si="28"/>
        <v>1.1499999999999999</v>
      </c>
      <c r="J939" s="707">
        <f t="shared" si="29"/>
        <v>1.3</v>
      </c>
      <c r="K939" s="70"/>
    </row>
    <row r="940" spans="1:11" ht="24" customHeight="1">
      <c r="A940" s="74" t="s">
        <v>1297</v>
      </c>
      <c r="B940" s="74" t="s">
        <v>1298</v>
      </c>
      <c r="C940" s="74">
        <v>1</v>
      </c>
      <c r="D940" s="33" t="s">
        <v>1201</v>
      </c>
      <c r="E940" s="33">
        <v>5</v>
      </c>
      <c r="F940" s="33"/>
      <c r="G940" s="522"/>
      <c r="H940" s="707"/>
      <c r="I940" s="707">
        <f t="shared" si="28"/>
        <v>0</v>
      </c>
      <c r="J940" s="707">
        <f t="shared" si="29"/>
        <v>0</v>
      </c>
      <c r="K940" s="70"/>
    </row>
    <row r="941" spans="1:11" ht="24" customHeight="1">
      <c r="A941" s="74" t="s">
        <v>1660</v>
      </c>
      <c r="B941" s="74" t="s">
        <v>96</v>
      </c>
      <c r="C941" s="74">
        <v>2</v>
      </c>
      <c r="D941" s="33" t="s">
        <v>1548</v>
      </c>
      <c r="E941" s="33">
        <v>5</v>
      </c>
      <c r="F941" s="33"/>
      <c r="G941" s="522"/>
      <c r="H941" s="707">
        <v>110</v>
      </c>
      <c r="I941" s="707">
        <f t="shared" si="28"/>
        <v>126.49999999999999</v>
      </c>
      <c r="J941" s="707">
        <f t="shared" si="29"/>
        <v>143</v>
      </c>
      <c r="K941" s="70"/>
    </row>
    <row r="942" spans="1:11" ht="24" customHeight="1">
      <c r="A942" s="33" t="s">
        <v>3409</v>
      </c>
      <c r="B942" s="33" t="s">
        <v>1446</v>
      </c>
      <c r="C942" s="33">
        <v>2</v>
      </c>
      <c r="D942" s="33" t="s">
        <v>3348</v>
      </c>
      <c r="E942" s="33">
        <v>4</v>
      </c>
      <c r="F942" s="33"/>
      <c r="G942" s="522"/>
      <c r="H942" s="707"/>
      <c r="I942" s="707">
        <f t="shared" si="28"/>
        <v>0</v>
      </c>
      <c r="J942" s="707">
        <f t="shared" si="29"/>
        <v>0</v>
      </c>
      <c r="K942" s="70"/>
    </row>
    <row r="943" spans="1:11" ht="24" customHeight="1">
      <c r="A943" s="2" t="s">
        <v>3624</v>
      </c>
      <c r="B943" s="2" t="s">
        <v>34</v>
      </c>
      <c r="C943" s="2">
        <v>1</v>
      </c>
      <c r="D943" s="2" t="s">
        <v>3618</v>
      </c>
      <c r="E943" s="33">
        <v>5</v>
      </c>
      <c r="F943" s="33"/>
      <c r="G943" s="522"/>
      <c r="H943" s="707"/>
      <c r="I943" s="707">
        <f t="shared" si="28"/>
        <v>0</v>
      </c>
      <c r="J943" s="707">
        <f t="shared" si="29"/>
        <v>0</v>
      </c>
      <c r="K943" s="55"/>
    </row>
    <row r="944" spans="1:11" ht="24" customHeight="1">
      <c r="A944" s="2" t="s">
        <v>3623</v>
      </c>
      <c r="B944" s="2" t="s">
        <v>34</v>
      </c>
      <c r="C944" s="2">
        <v>5</v>
      </c>
      <c r="D944" s="2" t="s">
        <v>3618</v>
      </c>
      <c r="E944" s="33">
        <v>5</v>
      </c>
      <c r="F944" s="33"/>
      <c r="G944" s="522"/>
      <c r="H944" s="707"/>
      <c r="I944" s="707">
        <f t="shared" si="28"/>
        <v>0</v>
      </c>
      <c r="J944" s="707">
        <f t="shared" si="29"/>
        <v>0</v>
      </c>
      <c r="K944" s="55"/>
    </row>
    <row r="945" spans="1:11" ht="24" customHeight="1">
      <c r="A945" s="33" t="s">
        <v>3411</v>
      </c>
      <c r="B945" s="33" t="s">
        <v>83</v>
      </c>
      <c r="C945" s="33">
        <v>1</v>
      </c>
      <c r="D945" s="33" t="s">
        <v>3348</v>
      </c>
      <c r="E945" s="33">
        <v>4</v>
      </c>
      <c r="F945" s="33"/>
      <c r="G945" s="522"/>
      <c r="H945" s="707"/>
      <c r="I945" s="707">
        <f t="shared" si="28"/>
        <v>0</v>
      </c>
      <c r="J945" s="707">
        <f t="shared" si="29"/>
        <v>0</v>
      </c>
      <c r="K945" s="70"/>
    </row>
    <row r="946" spans="1:11" ht="24" customHeight="1">
      <c r="A946" s="33" t="s">
        <v>3033</v>
      </c>
      <c r="B946" s="33" t="s">
        <v>83</v>
      </c>
      <c r="C946" s="33">
        <v>6</v>
      </c>
      <c r="D946" s="33" t="s">
        <v>3027</v>
      </c>
      <c r="E946" s="33">
        <v>1</v>
      </c>
      <c r="F946" s="33"/>
      <c r="G946" s="522"/>
      <c r="H946" s="707">
        <v>1</v>
      </c>
      <c r="I946" s="707">
        <f t="shared" si="28"/>
        <v>1.1499999999999999</v>
      </c>
      <c r="J946" s="707">
        <f t="shared" si="29"/>
        <v>1.3</v>
      </c>
      <c r="K946" s="70"/>
    </row>
    <row r="947" spans="1:11" ht="24" customHeight="1">
      <c r="A947" s="33" t="s">
        <v>3034</v>
      </c>
      <c r="B947" s="33" t="s">
        <v>83</v>
      </c>
      <c r="C947" s="33" t="s">
        <v>3035</v>
      </c>
      <c r="D947" s="33" t="s">
        <v>3027</v>
      </c>
      <c r="E947" s="33">
        <v>1</v>
      </c>
      <c r="F947" s="33"/>
      <c r="G947" s="522"/>
      <c r="H947" s="707">
        <v>1</v>
      </c>
      <c r="I947" s="707">
        <f t="shared" si="28"/>
        <v>1.1499999999999999</v>
      </c>
      <c r="J947" s="707">
        <f t="shared" si="29"/>
        <v>1.3</v>
      </c>
      <c r="K947" s="70"/>
    </row>
    <row r="948" spans="1:11" ht="24" customHeight="1">
      <c r="A948" s="33" t="s">
        <v>1289</v>
      </c>
      <c r="B948" s="33" t="s">
        <v>83</v>
      </c>
      <c r="C948" s="33">
        <v>8</v>
      </c>
      <c r="D948" s="33" t="s">
        <v>1201</v>
      </c>
      <c r="E948" s="33">
        <v>4</v>
      </c>
      <c r="F948" s="33"/>
      <c r="G948" s="522"/>
      <c r="H948" s="707">
        <v>1</v>
      </c>
      <c r="I948" s="707">
        <f t="shared" si="28"/>
        <v>1.1499999999999999</v>
      </c>
      <c r="J948" s="707">
        <f t="shared" si="29"/>
        <v>1.3</v>
      </c>
      <c r="K948" s="70"/>
    </row>
    <row r="949" spans="1:11" ht="24" customHeight="1">
      <c r="A949" s="2" t="s">
        <v>3708</v>
      </c>
      <c r="B949" s="2" t="s">
        <v>83</v>
      </c>
      <c r="C949" s="2">
        <v>1</v>
      </c>
      <c r="D949" s="2" t="s">
        <v>3705</v>
      </c>
      <c r="E949" s="33">
        <v>2</v>
      </c>
      <c r="F949" s="33"/>
      <c r="G949" s="522"/>
      <c r="H949" s="707">
        <v>78</v>
      </c>
      <c r="I949" s="707">
        <f t="shared" si="28"/>
        <v>89.699999999999989</v>
      </c>
      <c r="J949" s="707">
        <f t="shared" si="29"/>
        <v>101.4</v>
      </c>
      <c r="K949" s="55"/>
    </row>
    <row r="950" spans="1:11" ht="24" customHeight="1">
      <c r="A950" s="2" t="s">
        <v>1812</v>
      </c>
      <c r="B950" s="2" t="s">
        <v>83</v>
      </c>
      <c r="C950" s="2">
        <v>2</v>
      </c>
      <c r="D950" s="2" t="s">
        <v>1785</v>
      </c>
      <c r="E950" s="33">
        <v>1</v>
      </c>
      <c r="F950" s="33"/>
      <c r="G950" s="522"/>
      <c r="H950" s="707">
        <v>100</v>
      </c>
      <c r="I950" s="707">
        <f t="shared" si="28"/>
        <v>114.99999999999999</v>
      </c>
      <c r="J950" s="707">
        <f t="shared" si="29"/>
        <v>130</v>
      </c>
      <c r="K950" s="70"/>
    </row>
    <row r="951" spans="1:11" ht="24" customHeight="1">
      <c r="A951" s="33" t="s">
        <v>1406</v>
      </c>
      <c r="B951" s="33" t="s">
        <v>83</v>
      </c>
      <c r="C951" s="33">
        <v>1</v>
      </c>
      <c r="D951" s="33" t="s">
        <v>1372</v>
      </c>
      <c r="E951" s="33">
        <v>4</v>
      </c>
      <c r="F951" s="33"/>
      <c r="G951" s="522"/>
      <c r="H951" s="707"/>
      <c r="I951" s="707">
        <f t="shared" si="28"/>
        <v>0</v>
      </c>
      <c r="J951" s="707">
        <f t="shared" si="29"/>
        <v>0</v>
      </c>
      <c r="K951" s="70"/>
    </row>
    <row r="952" spans="1:11" ht="24" customHeight="1">
      <c r="A952" s="75" t="s">
        <v>1068</v>
      </c>
      <c r="B952" s="33" t="s">
        <v>1069</v>
      </c>
      <c r="C952" s="33">
        <v>1</v>
      </c>
      <c r="D952" s="33" t="s">
        <v>992</v>
      </c>
      <c r="E952" s="33">
        <v>4</v>
      </c>
      <c r="F952" s="33"/>
      <c r="G952" s="522"/>
      <c r="H952" s="707">
        <v>125</v>
      </c>
      <c r="I952" s="707">
        <f t="shared" si="28"/>
        <v>143.75</v>
      </c>
      <c r="J952" s="707">
        <f t="shared" si="29"/>
        <v>162.5</v>
      </c>
      <c r="K952" s="70"/>
    </row>
    <row r="953" spans="1:11" ht="24" customHeight="1">
      <c r="A953" s="2" t="s">
        <v>3603</v>
      </c>
      <c r="B953" s="2" t="s">
        <v>2369</v>
      </c>
      <c r="C953" s="2">
        <v>1</v>
      </c>
      <c r="D953" s="2" t="s">
        <v>3568</v>
      </c>
      <c r="E953" s="33">
        <v>3</v>
      </c>
      <c r="F953" s="33"/>
      <c r="G953" s="522"/>
      <c r="H953" s="707"/>
      <c r="I953" s="707">
        <f t="shared" si="28"/>
        <v>0</v>
      </c>
      <c r="J953" s="707">
        <f t="shared" si="29"/>
        <v>0</v>
      </c>
      <c r="K953" s="70"/>
    </row>
    <row r="954" spans="1:11" ht="24" customHeight="1">
      <c r="A954" s="33" t="s">
        <v>2564</v>
      </c>
      <c r="B954" s="33" t="s">
        <v>83</v>
      </c>
      <c r="C954" s="33">
        <v>1</v>
      </c>
      <c r="D954" s="33" t="s">
        <v>2540</v>
      </c>
      <c r="E954" s="33">
        <v>1</v>
      </c>
      <c r="F954" s="33"/>
      <c r="G954" s="522"/>
      <c r="H954" s="707">
        <v>3</v>
      </c>
      <c r="I954" s="707">
        <f t="shared" si="28"/>
        <v>3.4499999999999997</v>
      </c>
      <c r="J954" s="707">
        <f t="shared" si="29"/>
        <v>3.9000000000000004</v>
      </c>
      <c r="K954" s="70"/>
    </row>
    <row r="955" spans="1:11" ht="24" customHeight="1">
      <c r="A955" s="2" t="s">
        <v>3707</v>
      </c>
      <c r="B955" s="2" t="s">
        <v>485</v>
      </c>
      <c r="C955" s="2">
        <v>1</v>
      </c>
      <c r="D955" s="2" t="s">
        <v>3705</v>
      </c>
      <c r="E955" s="33">
        <v>2</v>
      </c>
      <c r="F955" s="33"/>
      <c r="G955" s="522"/>
      <c r="H955" s="707"/>
      <c r="I955" s="707">
        <f t="shared" si="28"/>
        <v>0</v>
      </c>
      <c r="J955" s="707">
        <f t="shared" si="29"/>
        <v>0</v>
      </c>
      <c r="K955" s="55"/>
    </row>
    <row r="956" spans="1:11" ht="24" customHeight="1">
      <c r="A956" s="2" t="s">
        <v>3706</v>
      </c>
      <c r="B956" s="2" t="s">
        <v>485</v>
      </c>
      <c r="C956" s="2">
        <v>10</v>
      </c>
      <c r="D956" s="2" t="s">
        <v>3705</v>
      </c>
      <c r="E956" s="33">
        <v>2</v>
      </c>
      <c r="F956" s="33"/>
      <c r="G956" s="522"/>
      <c r="H956" s="707"/>
      <c r="I956" s="707">
        <f t="shared" si="28"/>
        <v>0</v>
      </c>
      <c r="J956" s="707">
        <f t="shared" si="29"/>
        <v>0</v>
      </c>
      <c r="K956" s="55"/>
    </row>
    <row r="957" spans="1:11" ht="24" customHeight="1">
      <c r="A957" s="33" t="s">
        <v>3387</v>
      </c>
      <c r="B957" s="33" t="s">
        <v>83</v>
      </c>
      <c r="C957" s="33">
        <v>1</v>
      </c>
      <c r="D957" s="33" t="s">
        <v>3348</v>
      </c>
      <c r="E957" s="33">
        <v>4</v>
      </c>
      <c r="F957" s="33"/>
      <c r="G957" s="522"/>
      <c r="H957" s="707"/>
      <c r="I957" s="707">
        <f t="shared" si="28"/>
        <v>0</v>
      </c>
      <c r="J957" s="707">
        <f t="shared" si="29"/>
        <v>0</v>
      </c>
      <c r="K957" s="70"/>
    </row>
    <row r="958" spans="1:11" ht="24" customHeight="1">
      <c r="A958" s="2" t="s">
        <v>3615</v>
      </c>
      <c r="B958" s="2" t="s">
        <v>3616</v>
      </c>
      <c r="C958" s="2">
        <v>1</v>
      </c>
      <c r="D958" s="2" t="s">
        <v>3568</v>
      </c>
      <c r="E958" s="33">
        <v>3</v>
      </c>
      <c r="F958" s="33"/>
      <c r="G958" s="522"/>
      <c r="H958" s="707"/>
      <c r="I958" s="707">
        <f t="shared" si="28"/>
        <v>0</v>
      </c>
      <c r="J958" s="707">
        <f t="shared" si="29"/>
        <v>0</v>
      </c>
      <c r="K958" s="70"/>
    </row>
    <row r="959" spans="1:11" ht="24" customHeight="1">
      <c r="A959" s="33" t="s">
        <v>1416</v>
      </c>
      <c r="B959" s="33" t="s">
        <v>1417</v>
      </c>
      <c r="C959" s="33">
        <v>4</v>
      </c>
      <c r="D959" s="33" t="s">
        <v>1372</v>
      </c>
      <c r="E959" s="33">
        <v>4</v>
      </c>
      <c r="F959" s="33"/>
      <c r="G959" s="522"/>
      <c r="H959" s="707"/>
      <c r="I959" s="707">
        <f t="shared" si="28"/>
        <v>0</v>
      </c>
      <c r="J959" s="707">
        <f t="shared" si="29"/>
        <v>0</v>
      </c>
      <c r="K959" s="70"/>
    </row>
    <row r="960" spans="1:11" ht="24" customHeight="1">
      <c r="A960" s="33" t="s">
        <v>3419</v>
      </c>
      <c r="B960" s="33" t="s">
        <v>265</v>
      </c>
      <c r="C960" s="33">
        <v>8</v>
      </c>
      <c r="D960" s="33" t="s">
        <v>3348</v>
      </c>
      <c r="E960" s="33">
        <v>4</v>
      </c>
      <c r="F960" s="33"/>
      <c r="G960" s="522"/>
      <c r="H960" s="707"/>
      <c r="I960" s="707">
        <f t="shared" si="28"/>
        <v>0</v>
      </c>
      <c r="J960" s="707">
        <f t="shared" si="29"/>
        <v>0</v>
      </c>
      <c r="K960" s="70"/>
    </row>
    <row r="961" spans="1:11" ht="24" customHeight="1">
      <c r="A961" s="33" t="s">
        <v>1184</v>
      </c>
      <c r="B961" s="33" t="s">
        <v>115</v>
      </c>
      <c r="C961" s="33">
        <v>4</v>
      </c>
      <c r="D961" s="33" t="s">
        <v>1141</v>
      </c>
      <c r="E961" s="33">
        <v>2</v>
      </c>
      <c r="F961" s="33"/>
      <c r="G961" s="522"/>
      <c r="H961" s="707">
        <v>20</v>
      </c>
      <c r="I961" s="707">
        <f t="shared" si="28"/>
        <v>23</v>
      </c>
      <c r="J961" s="707">
        <f t="shared" si="29"/>
        <v>26</v>
      </c>
      <c r="K961" s="70"/>
    </row>
    <row r="962" spans="1:11" ht="24" customHeight="1">
      <c r="A962" s="33" t="s">
        <v>1954</v>
      </c>
      <c r="B962" s="33" t="s">
        <v>115</v>
      </c>
      <c r="C962" s="33">
        <v>19</v>
      </c>
      <c r="D962" s="33" t="s">
        <v>1938</v>
      </c>
      <c r="E962" s="33">
        <v>1</v>
      </c>
      <c r="F962" s="33"/>
      <c r="G962" s="522"/>
      <c r="H962" s="707"/>
      <c r="I962" s="707">
        <f t="shared" ref="I962:I1025" si="30">H962 * 1.15</f>
        <v>0</v>
      </c>
      <c r="J962" s="707">
        <f t="shared" ref="J962:J1025" si="31">H962 * 1.3</f>
        <v>0</v>
      </c>
      <c r="K962" s="70"/>
    </row>
    <row r="963" spans="1:11" ht="24" customHeight="1">
      <c r="A963" s="33" t="s">
        <v>959</v>
      </c>
      <c r="B963" s="33" t="s">
        <v>960</v>
      </c>
      <c r="C963" s="33">
        <v>1</v>
      </c>
      <c r="D963" s="33" t="s">
        <v>910</v>
      </c>
      <c r="E963" s="33">
        <v>2</v>
      </c>
      <c r="F963" s="33"/>
      <c r="G963" s="522"/>
      <c r="H963" s="707">
        <v>20</v>
      </c>
      <c r="I963" s="707">
        <f t="shared" si="30"/>
        <v>23</v>
      </c>
      <c r="J963" s="707">
        <f t="shared" si="31"/>
        <v>26</v>
      </c>
      <c r="K963" s="70"/>
    </row>
    <row r="964" spans="1:11" ht="24" customHeight="1">
      <c r="A964" s="78" t="s">
        <v>2517</v>
      </c>
      <c r="B964" s="74" t="s">
        <v>2072</v>
      </c>
      <c r="C964" s="74">
        <v>1</v>
      </c>
      <c r="D964" s="33" t="s">
        <v>2504</v>
      </c>
      <c r="E964" s="33">
        <v>5</v>
      </c>
      <c r="F964" s="33"/>
      <c r="G964" s="522"/>
      <c r="H964" s="707"/>
      <c r="I964" s="707">
        <f t="shared" si="30"/>
        <v>0</v>
      </c>
      <c r="J964" s="707">
        <f t="shared" si="31"/>
        <v>0</v>
      </c>
      <c r="K964" s="70"/>
    </row>
    <row r="965" spans="1:11" ht="24" customHeight="1">
      <c r="A965" s="33" t="s">
        <v>1173</v>
      </c>
      <c r="B965" s="33" t="s">
        <v>1174</v>
      </c>
      <c r="C965" s="33">
        <v>4</v>
      </c>
      <c r="D965" s="33" t="s">
        <v>1141</v>
      </c>
      <c r="E965" s="33">
        <v>2</v>
      </c>
      <c r="F965" s="33"/>
      <c r="G965" s="522"/>
      <c r="H965" s="707">
        <v>2000</v>
      </c>
      <c r="I965" s="707">
        <f t="shared" si="30"/>
        <v>2300</v>
      </c>
      <c r="J965" s="707">
        <f t="shared" si="31"/>
        <v>2600</v>
      </c>
      <c r="K965" s="70"/>
    </row>
    <row r="966" spans="1:11" ht="24" customHeight="1">
      <c r="A966" s="33" t="s">
        <v>551</v>
      </c>
      <c r="B966" s="33" t="s">
        <v>552</v>
      </c>
      <c r="C966" s="33">
        <v>1</v>
      </c>
      <c r="D966" s="2" t="s">
        <v>536</v>
      </c>
      <c r="E966" s="33">
        <v>5</v>
      </c>
      <c r="F966" s="33"/>
      <c r="G966" s="522"/>
      <c r="H966" s="707"/>
      <c r="I966" s="707">
        <f t="shared" si="30"/>
        <v>0</v>
      </c>
      <c r="J966" s="707">
        <f t="shared" si="31"/>
        <v>0</v>
      </c>
      <c r="K966" s="70"/>
    </row>
    <row r="967" spans="1:11" ht="24" customHeight="1">
      <c r="A967" s="33" t="s">
        <v>1038</v>
      </c>
      <c r="B967" s="33" t="s">
        <v>1039</v>
      </c>
      <c r="C967" s="33">
        <v>3</v>
      </c>
      <c r="D967" s="33" t="s">
        <v>992</v>
      </c>
      <c r="E967" s="33">
        <v>4</v>
      </c>
      <c r="F967" s="33"/>
      <c r="G967" s="522"/>
      <c r="H967" s="707"/>
      <c r="I967" s="707">
        <f t="shared" si="30"/>
        <v>0</v>
      </c>
      <c r="J967" s="707">
        <f t="shared" si="31"/>
        <v>0</v>
      </c>
      <c r="K967" s="70"/>
    </row>
    <row r="968" spans="1:11" ht="24" customHeight="1">
      <c r="A968" s="59" t="s">
        <v>3224</v>
      </c>
      <c r="B968" s="59" t="s">
        <v>3225</v>
      </c>
      <c r="C968" s="59">
        <v>2</v>
      </c>
      <c r="D968" s="33" t="s">
        <v>3053</v>
      </c>
      <c r="E968" s="354">
        <v>5</v>
      </c>
      <c r="F968" s="354"/>
      <c r="G968" s="688"/>
      <c r="H968" s="707"/>
      <c r="I968" s="707">
        <f t="shared" si="30"/>
        <v>0</v>
      </c>
      <c r="J968" s="707">
        <f t="shared" si="31"/>
        <v>0</v>
      </c>
      <c r="K968" s="70"/>
    </row>
    <row r="969" spans="1:11" ht="24" customHeight="1">
      <c r="A969" s="59" t="s">
        <v>2677</v>
      </c>
      <c r="B969" s="59" t="s">
        <v>2678</v>
      </c>
      <c r="C969" s="59">
        <v>1</v>
      </c>
      <c r="D969" s="33" t="s">
        <v>2624</v>
      </c>
      <c r="E969" s="354">
        <v>5</v>
      </c>
      <c r="F969" s="354"/>
      <c r="G969" s="688"/>
      <c r="H969" s="707"/>
      <c r="I969" s="707">
        <f t="shared" si="30"/>
        <v>0</v>
      </c>
      <c r="J969" s="707">
        <f t="shared" si="31"/>
        <v>0</v>
      </c>
      <c r="K969" s="70"/>
    </row>
    <row r="970" spans="1:11" ht="24" customHeight="1">
      <c r="A970" s="33" t="s">
        <v>1642</v>
      </c>
      <c r="B970" s="33" t="s">
        <v>1643</v>
      </c>
      <c r="C970" s="33">
        <v>1</v>
      </c>
      <c r="D970" s="33" t="s">
        <v>1548</v>
      </c>
      <c r="E970" s="33">
        <v>4</v>
      </c>
      <c r="F970" s="33"/>
      <c r="G970" s="522"/>
      <c r="H970" s="707">
        <v>25</v>
      </c>
      <c r="I970" s="707">
        <f t="shared" si="30"/>
        <v>28.749999999999996</v>
      </c>
      <c r="J970" s="707">
        <f t="shared" si="31"/>
        <v>32.5</v>
      </c>
      <c r="K970" s="70"/>
    </row>
    <row r="971" spans="1:11" ht="24" customHeight="1">
      <c r="A971" s="33" t="s">
        <v>3284</v>
      </c>
      <c r="B971" s="33" t="s">
        <v>83</v>
      </c>
      <c r="C971" s="33">
        <v>3</v>
      </c>
      <c r="D971" s="33" t="s">
        <v>3279</v>
      </c>
      <c r="E971" s="33">
        <v>3</v>
      </c>
      <c r="F971" s="33"/>
      <c r="G971" s="522"/>
      <c r="H971" s="707"/>
      <c r="I971" s="707">
        <f t="shared" si="30"/>
        <v>0</v>
      </c>
      <c r="J971" s="707">
        <f t="shared" si="31"/>
        <v>0</v>
      </c>
      <c r="K971" s="70"/>
    </row>
    <row r="972" spans="1:11" ht="24" customHeight="1">
      <c r="A972" s="33" t="s">
        <v>2170</v>
      </c>
      <c r="B972" s="33" t="s">
        <v>2171</v>
      </c>
      <c r="C972" s="33">
        <v>1</v>
      </c>
      <c r="D972" s="33" t="s">
        <v>2111</v>
      </c>
      <c r="E972" s="33">
        <v>2</v>
      </c>
      <c r="F972" s="33"/>
      <c r="G972" s="522"/>
      <c r="H972" s="707"/>
      <c r="I972" s="707">
        <f t="shared" si="30"/>
        <v>0</v>
      </c>
      <c r="J972" s="707">
        <f t="shared" si="31"/>
        <v>0</v>
      </c>
      <c r="K972" s="70"/>
    </row>
    <row r="973" spans="1:11" ht="24" customHeight="1">
      <c r="A973" s="33" t="s">
        <v>1066</v>
      </c>
      <c r="B973" s="33" t="s">
        <v>1067</v>
      </c>
      <c r="C973" s="33">
        <v>1</v>
      </c>
      <c r="D973" s="33" t="s">
        <v>992</v>
      </c>
      <c r="E973" s="33">
        <v>4</v>
      </c>
      <c r="F973" s="33"/>
      <c r="G973" s="522"/>
      <c r="H973" s="707"/>
      <c r="I973" s="707">
        <f t="shared" si="30"/>
        <v>0</v>
      </c>
      <c r="J973" s="707">
        <f t="shared" si="31"/>
        <v>0</v>
      </c>
      <c r="K973" s="70"/>
    </row>
    <row r="974" spans="1:11" ht="24" customHeight="1">
      <c r="A974" s="59" t="s">
        <v>1066</v>
      </c>
      <c r="B974" s="59" t="s">
        <v>2256</v>
      </c>
      <c r="C974" s="59">
        <v>7</v>
      </c>
      <c r="D974" s="33" t="s">
        <v>3053</v>
      </c>
      <c r="E974" s="354">
        <v>5</v>
      </c>
      <c r="F974" s="354"/>
      <c r="G974" s="688"/>
      <c r="H974" s="707"/>
      <c r="I974" s="707">
        <f t="shared" si="30"/>
        <v>0</v>
      </c>
      <c r="J974" s="707">
        <f t="shared" si="31"/>
        <v>0</v>
      </c>
      <c r="K974" s="70"/>
    </row>
    <row r="975" spans="1:11" ht="24" customHeight="1">
      <c r="A975" s="74" t="s">
        <v>2236</v>
      </c>
      <c r="B975" s="74" t="s">
        <v>2237</v>
      </c>
      <c r="C975" s="74">
        <v>1</v>
      </c>
      <c r="D975" s="33" t="s">
        <v>2191</v>
      </c>
      <c r="E975" s="33">
        <v>5</v>
      </c>
      <c r="F975" s="33"/>
      <c r="G975" s="522"/>
      <c r="H975" s="707">
        <v>700</v>
      </c>
      <c r="I975" s="707">
        <f t="shared" si="30"/>
        <v>804.99999999999989</v>
      </c>
      <c r="J975" s="707">
        <f t="shared" si="31"/>
        <v>910</v>
      </c>
      <c r="K975" s="377" t="s">
        <v>1012</v>
      </c>
    </row>
    <row r="976" spans="1:11" ht="24" customHeight="1">
      <c r="A976" s="59" t="s">
        <v>3051</v>
      </c>
      <c r="B976" s="59" t="s">
        <v>115</v>
      </c>
      <c r="C976" s="59">
        <v>1</v>
      </c>
      <c r="D976" s="33" t="s">
        <v>3027</v>
      </c>
      <c r="E976" s="33">
        <v>1</v>
      </c>
      <c r="F976" s="33"/>
      <c r="G976" s="522"/>
      <c r="H976" s="707"/>
      <c r="I976" s="707">
        <f t="shared" si="30"/>
        <v>0</v>
      </c>
      <c r="J976" s="707">
        <f t="shared" si="31"/>
        <v>0</v>
      </c>
      <c r="K976" s="70"/>
    </row>
    <row r="977" spans="1:11" ht="24" customHeight="1">
      <c r="A977" s="33" t="s">
        <v>2542</v>
      </c>
      <c r="B977" s="33" t="s">
        <v>779</v>
      </c>
      <c r="C977" s="33">
        <v>1</v>
      </c>
      <c r="D977" s="33" t="s">
        <v>2540</v>
      </c>
      <c r="E977" s="33">
        <v>1</v>
      </c>
      <c r="F977" s="33"/>
      <c r="G977" s="522"/>
      <c r="H977" s="707">
        <v>150</v>
      </c>
      <c r="I977" s="707">
        <f t="shared" si="30"/>
        <v>172.5</v>
      </c>
      <c r="J977" s="707">
        <f t="shared" si="31"/>
        <v>195</v>
      </c>
      <c r="K977" s="70"/>
    </row>
    <row r="978" spans="1:11" ht="24" customHeight="1">
      <c r="A978" s="33" t="s">
        <v>626</v>
      </c>
      <c r="B978" s="33" t="s">
        <v>83</v>
      </c>
      <c r="C978" s="33">
        <v>1</v>
      </c>
      <c r="D978" s="2" t="s">
        <v>593</v>
      </c>
      <c r="E978" s="33">
        <v>1</v>
      </c>
      <c r="F978" s="33"/>
      <c r="G978" s="522"/>
      <c r="H978" s="707"/>
      <c r="I978" s="707">
        <f t="shared" si="30"/>
        <v>0</v>
      </c>
      <c r="J978" s="707">
        <f t="shared" si="31"/>
        <v>0</v>
      </c>
      <c r="K978" s="70"/>
    </row>
    <row r="979" spans="1:11" ht="24" customHeight="1">
      <c r="A979" s="74" t="s">
        <v>2240</v>
      </c>
      <c r="B979" s="74" t="s">
        <v>83</v>
      </c>
      <c r="C979" s="74">
        <v>2</v>
      </c>
      <c r="D979" s="33" t="s">
        <v>2191</v>
      </c>
      <c r="E979" s="33">
        <v>5</v>
      </c>
      <c r="F979" s="33"/>
      <c r="G979" s="522"/>
      <c r="H979" s="707"/>
      <c r="I979" s="707">
        <f t="shared" si="30"/>
        <v>0</v>
      </c>
      <c r="J979" s="707">
        <f t="shared" si="31"/>
        <v>0</v>
      </c>
      <c r="K979" s="70"/>
    </row>
    <row r="980" spans="1:11" ht="24" customHeight="1">
      <c r="A980" s="33" t="s">
        <v>2374</v>
      </c>
      <c r="B980" s="33" t="s">
        <v>2375</v>
      </c>
      <c r="C980" s="33">
        <v>9</v>
      </c>
      <c r="D980" s="33" t="s">
        <v>2363</v>
      </c>
      <c r="E980" s="33">
        <v>3</v>
      </c>
      <c r="F980" s="33"/>
      <c r="G980" s="522"/>
      <c r="H980" s="707">
        <v>2</v>
      </c>
      <c r="I980" s="707">
        <f t="shared" si="30"/>
        <v>2.2999999999999998</v>
      </c>
      <c r="J980" s="707">
        <f t="shared" si="31"/>
        <v>2.6</v>
      </c>
      <c r="K980" s="70"/>
    </row>
    <row r="981" spans="1:11" ht="24" customHeight="1">
      <c r="A981" s="33" t="s">
        <v>1549</v>
      </c>
      <c r="B981" s="33" t="s">
        <v>1550</v>
      </c>
      <c r="C981" s="33">
        <v>4</v>
      </c>
      <c r="D981" s="33" t="s">
        <v>1548</v>
      </c>
      <c r="E981" s="33">
        <v>3</v>
      </c>
      <c r="F981" s="33"/>
      <c r="G981" s="522"/>
      <c r="H981" s="707"/>
      <c r="I981" s="707">
        <f t="shared" si="30"/>
        <v>0</v>
      </c>
      <c r="J981" s="707">
        <f t="shared" si="31"/>
        <v>0</v>
      </c>
      <c r="K981" s="70"/>
    </row>
    <row r="982" spans="1:11" ht="24" customHeight="1">
      <c r="A982" s="74" t="s">
        <v>2149</v>
      </c>
      <c r="B982" s="74" t="s">
        <v>1550</v>
      </c>
      <c r="C982" s="74">
        <v>11</v>
      </c>
      <c r="D982" s="33" t="s">
        <v>2111</v>
      </c>
      <c r="E982" s="33">
        <v>2</v>
      </c>
      <c r="F982" s="33"/>
      <c r="G982" s="522"/>
      <c r="H982" s="707"/>
      <c r="I982" s="707">
        <f t="shared" si="30"/>
        <v>0</v>
      </c>
      <c r="J982" s="707">
        <f t="shared" si="31"/>
        <v>0</v>
      </c>
      <c r="K982" s="70"/>
    </row>
    <row r="983" spans="1:11" ht="24" customHeight="1">
      <c r="A983" s="33" t="s">
        <v>2378</v>
      </c>
      <c r="B983" s="33" t="s">
        <v>2375</v>
      </c>
      <c r="C983" s="33">
        <v>34</v>
      </c>
      <c r="D983" s="33" t="s">
        <v>2363</v>
      </c>
      <c r="E983" s="33">
        <v>3</v>
      </c>
      <c r="F983" s="33"/>
      <c r="G983" s="522"/>
      <c r="H983" s="707"/>
      <c r="I983" s="707">
        <f t="shared" si="30"/>
        <v>0</v>
      </c>
      <c r="J983" s="707">
        <f t="shared" si="31"/>
        <v>0</v>
      </c>
      <c r="K983" s="70"/>
    </row>
    <row r="984" spans="1:11" ht="24" customHeight="1">
      <c r="A984" s="33" t="s">
        <v>2379</v>
      </c>
      <c r="B984" s="33" t="s">
        <v>2375</v>
      </c>
      <c r="C984" s="33">
        <v>33</v>
      </c>
      <c r="D984" s="33" t="s">
        <v>2363</v>
      </c>
      <c r="E984" s="33">
        <v>3</v>
      </c>
      <c r="F984" s="33"/>
      <c r="G984" s="522"/>
      <c r="H984" s="707"/>
      <c r="I984" s="707">
        <f t="shared" si="30"/>
        <v>0</v>
      </c>
      <c r="J984" s="707">
        <f t="shared" si="31"/>
        <v>0</v>
      </c>
      <c r="K984" s="70"/>
    </row>
    <row r="985" spans="1:11" ht="24" customHeight="1">
      <c r="A985" s="33" t="s">
        <v>2376</v>
      </c>
      <c r="B985" s="33" t="s">
        <v>2375</v>
      </c>
      <c r="C985" s="33">
        <v>3</v>
      </c>
      <c r="D985" s="33" t="s">
        <v>2363</v>
      </c>
      <c r="E985" s="33">
        <v>3</v>
      </c>
      <c r="F985" s="33"/>
      <c r="G985" s="522"/>
      <c r="H985" s="707"/>
      <c r="I985" s="707">
        <f t="shared" si="30"/>
        <v>0</v>
      </c>
      <c r="J985" s="707">
        <f t="shared" si="31"/>
        <v>0</v>
      </c>
      <c r="K985" s="70"/>
    </row>
    <row r="986" spans="1:11" ht="24" customHeight="1">
      <c r="A986" s="33" t="s">
        <v>3311</v>
      </c>
      <c r="B986" s="33" t="s">
        <v>172</v>
      </c>
      <c r="C986" s="33">
        <v>3</v>
      </c>
      <c r="D986" s="33" t="s">
        <v>3279</v>
      </c>
      <c r="E986" s="33">
        <v>4</v>
      </c>
      <c r="F986" s="33"/>
      <c r="G986" s="522"/>
      <c r="H986" s="707"/>
      <c r="I986" s="707">
        <f t="shared" si="30"/>
        <v>0</v>
      </c>
      <c r="J986" s="707">
        <f t="shared" si="31"/>
        <v>0</v>
      </c>
      <c r="K986" s="70"/>
    </row>
    <row r="987" spans="1:11" ht="24" customHeight="1">
      <c r="A987" s="33" t="s">
        <v>3416</v>
      </c>
      <c r="B987" s="33" t="s">
        <v>3417</v>
      </c>
      <c r="C987" s="33">
        <v>1</v>
      </c>
      <c r="D987" s="33" t="s">
        <v>3348</v>
      </c>
      <c r="E987" s="33">
        <v>4</v>
      </c>
      <c r="F987" s="33"/>
      <c r="G987" s="522"/>
      <c r="H987" s="707"/>
      <c r="I987" s="707">
        <f t="shared" si="30"/>
        <v>0</v>
      </c>
      <c r="J987" s="707">
        <f t="shared" si="31"/>
        <v>0</v>
      </c>
      <c r="K987" s="70"/>
    </row>
    <row r="988" spans="1:11" ht="24" customHeight="1">
      <c r="A988" s="33" t="s">
        <v>3359</v>
      </c>
      <c r="B988" s="33" t="s">
        <v>83</v>
      </c>
      <c r="C988" s="33">
        <v>1</v>
      </c>
      <c r="D988" s="33" t="s">
        <v>3348</v>
      </c>
      <c r="E988" s="33">
        <v>3</v>
      </c>
      <c r="F988" s="33"/>
      <c r="G988" s="522"/>
      <c r="H988" s="707"/>
      <c r="I988" s="707">
        <f t="shared" si="30"/>
        <v>0</v>
      </c>
      <c r="J988" s="707">
        <f t="shared" si="31"/>
        <v>0</v>
      </c>
      <c r="K988" s="70"/>
    </row>
    <row r="989" spans="1:11" ht="24" customHeight="1">
      <c r="A989" s="33" t="s">
        <v>408</v>
      </c>
      <c r="B989" s="33" t="s">
        <v>409</v>
      </c>
      <c r="C989" s="33">
        <v>3</v>
      </c>
      <c r="D989" s="2" t="s">
        <v>274</v>
      </c>
      <c r="E989" s="33">
        <v>2</v>
      </c>
      <c r="F989" s="33"/>
      <c r="G989" s="522"/>
      <c r="H989" s="707"/>
      <c r="I989" s="707">
        <f t="shared" si="30"/>
        <v>0</v>
      </c>
      <c r="J989" s="707">
        <f t="shared" si="31"/>
        <v>0</v>
      </c>
      <c r="K989" s="70"/>
    </row>
    <row r="990" spans="1:11" ht="24" customHeight="1">
      <c r="A990" s="33" t="s">
        <v>1646</v>
      </c>
      <c r="B990" s="33" t="s">
        <v>779</v>
      </c>
      <c r="C990" s="33">
        <v>11</v>
      </c>
      <c r="D990" s="33" t="s">
        <v>1548</v>
      </c>
      <c r="E990" s="33">
        <v>4</v>
      </c>
      <c r="F990" s="33"/>
      <c r="G990" s="522"/>
      <c r="H990" s="707">
        <v>30</v>
      </c>
      <c r="I990" s="707">
        <f t="shared" si="30"/>
        <v>34.5</v>
      </c>
      <c r="J990" s="707">
        <f t="shared" si="31"/>
        <v>39</v>
      </c>
      <c r="K990" s="70"/>
    </row>
    <row r="991" spans="1:11" ht="24" customHeight="1">
      <c r="A991" s="354" t="s">
        <v>2681</v>
      </c>
      <c r="B991" s="59" t="s">
        <v>2682</v>
      </c>
      <c r="C991" s="59">
        <v>2</v>
      </c>
      <c r="D991" s="33" t="s">
        <v>2624</v>
      </c>
      <c r="E991" s="354">
        <v>5</v>
      </c>
      <c r="F991" s="354"/>
      <c r="G991" s="688"/>
      <c r="H991" s="707">
        <v>360</v>
      </c>
      <c r="I991" s="707">
        <f t="shared" si="30"/>
        <v>413.99999999999994</v>
      </c>
      <c r="J991" s="707">
        <f t="shared" si="31"/>
        <v>468</v>
      </c>
      <c r="K991" s="70"/>
    </row>
    <row r="992" spans="1:11" ht="24" customHeight="1">
      <c r="A992" s="11" t="s">
        <v>3480</v>
      </c>
      <c r="B992" s="11" t="s">
        <v>3481</v>
      </c>
      <c r="C992" s="11">
        <v>1</v>
      </c>
      <c r="D992" s="131" t="s">
        <v>3451</v>
      </c>
      <c r="E992" s="15">
        <v>3</v>
      </c>
      <c r="F992" s="15"/>
      <c r="G992" s="684"/>
      <c r="H992" s="707"/>
      <c r="I992" s="707">
        <f t="shared" si="30"/>
        <v>0</v>
      </c>
      <c r="J992" s="707">
        <f t="shared" si="31"/>
        <v>0</v>
      </c>
      <c r="K992" s="70"/>
    </row>
    <row r="993" spans="1:11" ht="24" customHeight="1">
      <c r="A993" s="3" t="s">
        <v>3017</v>
      </c>
      <c r="B993" s="3" t="s">
        <v>3018</v>
      </c>
      <c r="C993" s="3">
        <v>1</v>
      </c>
      <c r="D993" s="71" t="s">
        <v>2947</v>
      </c>
      <c r="E993" s="354">
        <v>5</v>
      </c>
      <c r="F993" s="354"/>
      <c r="G993" s="688"/>
      <c r="H993" s="707"/>
      <c r="I993" s="707">
        <f t="shared" si="30"/>
        <v>0</v>
      </c>
      <c r="J993" s="707">
        <f t="shared" si="31"/>
        <v>0</v>
      </c>
      <c r="K993" s="70"/>
    </row>
    <row r="994" spans="1:11" ht="24" customHeight="1">
      <c r="A994" s="2" t="s">
        <v>847</v>
      </c>
      <c r="B994" s="2" t="s">
        <v>41</v>
      </c>
      <c r="C994" s="2">
        <v>12</v>
      </c>
      <c r="D994" s="2" t="s">
        <v>593</v>
      </c>
      <c r="E994" s="33">
        <v>3</v>
      </c>
      <c r="F994" s="33"/>
      <c r="G994" s="522"/>
      <c r="H994" s="707">
        <v>40</v>
      </c>
      <c r="I994" s="707">
        <f t="shared" si="30"/>
        <v>46</v>
      </c>
      <c r="J994" s="707">
        <f t="shared" si="31"/>
        <v>52</v>
      </c>
      <c r="K994" s="70"/>
    </row>
    <row r="995" spans="1:11" ht="24" customHeight="1">
      <c r="A995" s="33" t="s">
        <v>1656</v>
      </c>
      <c r="B995" s="33" t="s">
        <v>1657</v>
      </c>
      <c r="C995" s="33">
        <v>1</v>
      </c>
      <c r="D995" s="33" t="s">
        <v>1548</v>
      </c>
      <c r="E995" s="33">
        <v>4</v>
      </c>
      <c r="F995" s="33"/>
      <c r="G995" s="522"/>
      <c r="H995" s="707"/>
      <c r="I995" s="707">
        <f t="shared" si="30"/>
        <v>0</v>
      </c>
      <c r="J995" s="707">
        <f t="shared" si="31"/>
        <v>0</v>
      </c>
      <c r="K995" s="70"/>
    </row>
    <row r="996" spans="1:11" ht="24" customHeight="1">
      <c r="A996" s="74" t="s">
        <v>1131</v>
      </c>
      <c r="B996" s="74" t="s">
        <v>371</v>
      </c>
      <c r="C996" s="74">
        <v>50</v>
      </c>
      <c r="D996" s="33" t="s">
        <v>992</v>
      </c>
      <c r="E996" s="33">
        <v>5</v>
      </c>
      <c r="F996" s="33"/>
      <c r="G996" s="522"/>
      <c r="H996" s="707"/>
      <c r="I996" s="707">
        <f t="shared" si="30"/>
        <v>0</v>
      </c>
      <c r="J996" s="707">
        <f t="shared" si="31"/>
        <v>0</v>
      </c>
      <c r="K996" s="70"/>
    </row>
    <row r="997" spans="1:11" ht="24" customHeight="1">
      <c r="A997" s="33" t="s">
        <v>1018</v>
      </c>
      <c r="B997" s="33" t="s">
        <v>1019</v>
      </c>
      <c r="C997" s="33">
        <v>100</v>
      </c>
      <c r="D997" s="33" t="s">
        <v>992</v>
      </c>
      <c r="E997" s="33">
        <v>3</v>
      </c>
      <c r="F997" s="33"/>
      <c r="G997" s="522"/>
      <c r="H997" s="707"/>
      <c r="I997" s="707">
        <f t="shared" si="30"/>
        <v>0</v>
      </c>
      <c r="J997" s="707">
        <f t="shared" si="31"/>
        <v>0</v>
      </c>
      <c r="K997" s="70"/>
    </row>
    <row r="998" spans="1:11" ht="24" customHeight="1">
      <c r="A998" s="74" t="s">
        <v>1675</v>
      </c>
      <c r="B998" s="74" t="s">
        <v>83</v>
      </c>
      <c r="C998" s="74">
        <v>4</v>
      </c>
      <c r="D998" s="33" t="s">
        <v>1548</v>
      </c>
      <c r="E998" s="33">
        <v>5</v>
      </c>
      <c r="F998" s="33"/>
      <c r="G998" s="522"/>
      <c r="H998" s="707">
        <v>60</v>
      </c>
      <c r="I998" s="707">
        <f t="shared" si="30"/>
        <v>69</v>
      </c>
      <c r="J998" s="707">
        <f t="shared" si="31"/>
        <v>78</v>
      </c>
      <c r="K998" s="70"/>
    </row>
    <row r="999" spans="1:11" ht="24" customHeight="1">
      <c r="A999" s="74" t="s">
        <v>1452</v>
      </c>
      <c r="B999" s="74" t="s">
        <v>83</v>
      </c>
      <c r="C999" s="74">
        <v>1</v>
      </c>
      <c r="D999" s="33" t="s">
        <v>1372</v>
      </c>
      <c r="E999" s="33">
        <v>5</v>
      </c>
      <c r="F999" s="33"/>
      <c r="G999" s="522"/>
      <c r="H999" s="707">
        <v>100</v>
      </c>
      <c r="I999" s="707">
        <f t="shared" si="30"/>
        <v>114.99999999999999</v>
      </c>
      <c r="J999" s="707">
        <f t="shared" si="31"/>
        <v>130</v>
      </c>
      <c r="K999" s="70"/>
    </row>
    <row r="1000" spans="1:11" ht="24" customHeight="1">
      <c r="A1000" s="33" t="s">
        <v>1397</v>
      </c>
      <c r="B1000" s="33" t="s">
        <v>640</v>
      </c>
      <c r="C1000" s="33">
        <v>1</v>
      </c>
      <c r="D1000" s="33" t="s">
        <v>1372</v>
      </c>
      <c r="E1000" s="33">
        <v>4</v>
      </c>
      <c r="F1000" s="33"/>
      <c r="G1000" s="522"/>
      <c r="H1000" s="707">
        <v>100</v>
      </c>
      <c r="I1000" s="707">
        <f t="shared" si="30"/>
        <v>114.99999999999999</v>
      </c>
      <c r="J1000" s="707">
        <f t="shared" si="31"/>
        <v>130</v>
      </c>
      <c r="K1000" s="70"/>
    </row>
    <row r="1001" spans="1:11" ht="24" customHeight="1">
      <c r="A1001" s="33" t="s">
        <v>2615</v>
      </c>
      <c r="B1001" s="33" t="s">
        <v>137</v>
      </c>
      <c r="C1001" s="33">
        <v>4</v>
      </c>
      <c r="D1001" s="33" t="s">
        <v>2540</v>
      </c>
      <c r="E1001" s="33">
        <v>2</v>
      </c>
      <c r="F1001" s="33"/>
      <c r="G1001" s="522"/>
      <c r="H1001" s="707"/>
      <c r="I1001" s="707">
        <f t="shared" si="30"/>
        <v>0</v>
      </c>
      <c r="J1001" s="707">
        <f t="shared" si="31"/>
        <v>0</v>
      </c>
      <c r="K1001" s="70"/>
    </row>
    <row r="1002" spans="1:11" ht="24" customHeight="1">
      <c r="A1002" s="33" t="s">
        <v>1145</v>
      </c>
      <c r="B1002" s="33" t="s">
        <v>1146</v>
      </c>
      <c r="C1002" s="33">
        <v>30</v>
      </c>
      <c r="D1002" s="33" t="s">
        <v>1141</v>
      </c>
      <c r="E1002" s="33">
        <v>1</v>
      </c>
      <c r="F1002" s="33"/>
      <c r="G1002" s="522"/>
      <c r="H1002" s="707"/>
      <c r="I1002" s="707">
        <f t="shared" si="30"/>
        <v>0</v>
      </c>
      <c r="J1002" s="707">
        <f t="shared" si="31"/>
        <v>0</v>
      </c>
      <c r="K1002" s="70"/>
    </row>
    <row r="1003" spans="1:11" ht="24" customHeight="1">
      <c r="A1003" s="33" t="s">
        <v>2204</v>
      </c>
      <c r="B1003" s="33" t="s">
        <v>2205</v>
      </c>
      <c r="C1003" s="33">
        <v>1</v>
      </c>
      <c r="D1003" s="33" t="s">
        <v>2191</v>
      </c>
      <c r="E1003" s="33">
        <v>4</v>
      </c>
      <c r="F1003" s="33"/>
      <c r="G1003" s="522"/>
      <c r="H1003" s="707"/>
      <c r="I1003" s="707">
        <f t="shared" si="30"/>
        <v>0</v>
      </c>
      <c r="J1003" s="707">
        <f t="shared" si="31"/>
        <v>0</v>
      </c>
      <c r="K1003" s="70"/>
    </row>
    <row r="1004" spans="1:11" ht="24" customHeight="1">
      <c r="A1004" s="59" t="s">
        <v>3008</v>
      </c>
      <c r="B1004" s="59" t="s">
        <v>3009</v>
      </c>
      <c r="C1004" s="59">
        <v>1</v>
      </c>
      <c r="D1004" s="71" t="s">
        <v>2947</v>
      </c>
      <c r="E1004" s="354">
        <v>5</v>
      </c>
      <c r="F1004" s="354"/>
      <c r="G1004" s="688"/>
      <c r="H1004" s="707"/>
      <c r="I1004" s="707">
        <f t="shared" si="30"/>
        <v>0</v>
      </c>
      <c r="J1004" s="707">
        <f t="shared" si="31"/>
        <v>0</v>
      </c>
      <c r="K1004" s="70"/>
    </row>
    <row r="1005" spans="1:11" ht="24" customHeight="1">
      <c r="A1005" s="11" t="s">
        <v>3483</v>
      </c>
      <c r="B1005" s="11" t="s">
        <v>3484</v>
      </c>
      <c r="C1005" s="11">
        <v>4</v>
      </c>
      <c r="D1005" s="131" t="s">
        <v>3451</v>
      </c>
      <c r="E1005" s="15">
        <v>3</v>
      </c>
      <c r="F1005" s="15"/>
      <c r="G1005" s="684"/>
      <c r="H1005" s="707"/>
      <c r="I1005" s="707">
        <f t="shared" si="30"/>
        <v>0</v>
      </c>
      <c r="J1005" s="707">
        <f t="shared" si="31"/>
        <v>0</v>
      </c>
      <c r="K1005" s="70"/>
    </row>
    <row r="1006" spans="1:11" ht="24" customHeight="1">
      <c r="A1006" s="33" t="s">
        <v>2327</v>
      </c>
      <c r="B1006" s="33" t="s">
        <v>1621</v>
      </c>
      <c r="C1006" s="33">
        <v>7</v>
      </c>
      <c r="D1006" s="33" t="s">
        <v>2276</v>
      </c>
      <c r="E1006" s="33">
        <v>1</v>
      </c>
      <c r="F1006" s="33"/>
      <c r="G1006" s="522"/>
      <c r="H1006" s="707">
        <v>350</v>
      </c>
      <c r="I1006" s="707">
        <f t="shared" si="30"/>
        <v>402.49999999999994</v>
      </c>
      <c r="J1006" s="707">
        <f t="shared" si="31"/>
        <v>455</v>
      </c>
      <c r="K1006" s="70"/>
    </row>
    <row r="1007" spans="1:11" ht="24" customHeight="1">
      <c r="A1007" s="59" t="s">
        <v>2995</v>
      </c>
      <c r="B1007" s="59" t="s">
        <v>2996</v>
      </c>
      <c r="C1007" s="59">
        <v>2</v>
      </c>
      <c r="D1007" s="71" t="s">
        <v>2947</v>
      </c>
      <c r="E1007" s="354">
        <v>5</v>
      </c>
      <c r="F1007" s="354"/>
      <c r="G1007" s="688"/>
      <c r="H1007" s="707"/>
      <c r="I1007" s="707">
        <f t="shared" si="30"/>
        <v>0</v>
      </c>
      <c r="J1007" s="707">
        <f t="shared" si="31"/>
        <v>0</v>
      </c>
      <c r="K1007" s="70"/>
    </row>
    <row r="1008" spans="1:11" ht="24" customHeight="1">
      <c r="A1008" s="33" t="s">
        <v>3116</v>
      </c>
      <c r="B1008" s="33" t="s">
        <v>3117</v>
      </c>
      <c r="C1008" s="33">
        <v>1</v>
      </c>
      <c r="D1008" s="33" t="s">
        <v>3053</v>
      </c>
      <c r="E1008" s="33">
        <v>3</v>
      </c>
      <c r="F1008" s="33"/>
      <c r="G1008" s="522"/>
      <c r="H1008" s="707"/>
      <c r="I1008" s="707">
        <f t="shared" si="30"/>
        <v>0</v>
      </c>
      <c r="J1008" s="707">
        <f t="shared" si="31"/>
        <v>0</v>
      </c>
      <c r="K1008" s="70"/>
    </row>
    <row r="1009" spans="1:11" ht="24" customHeight="1">
      <c r="A1009" s="59" t="s">
        <v>3244</v>
      </c>
      <c r="B1009" s="59" t="s">
        <v>3245</v>
      </c>
      <c r="C1009" s="59">
        <v>1</v>
      </c>
      <c r="D1009" s="33" t="s">
        <v>3053</v>
      </c>
      <c r="E1009" s="354">
        <v>5</v>
      </c>
      <c r="F1009" s="354"/>
      <c r="G1009" s="688"/>
      <c r="H1009" s="707"/>
      <c r="I1009" s="707">
        <f t="shared" si="30"/>
        <v>0</v>
      </c>
      <c r="J1009" s="707">
        <f t="shared" si="31"/>
        <v>0</v>
      </c>
      <c r="K1009" s="70"/>
    </row>
    <row r="1010" spans="1:11" ht="24" customHeight="1">
      <c r="A1010" s="11" t="s">
        <v>3505</v>
      </c>
      <c r="B1010" s="11" t="s">
        <v>83</v>
      </c>
      <c r="C1010" s="11">
        <v>2</v>
      </c>
      <c r="D1010" s="131" t="s">
        <v>3451</v>
      </c>
      <c r="E1010" s="15">
        <v>3</v>
      </c>
      <c r="F1010" s="15"/>
      <c r="G1010" s="684"/>
      <c r="H1010" s="707">
        <v>38</v>
      </c>
      <c r="I1010" s="707">
        <f t="shared" si="30"/>
        <v>43.699999999999996</v>
      </c>
      <c r="J1010" s="707">
        <f t="shared" si="31"/>
        <v>49.4</v>
      </c>
      <c r="K1010" s="70"/>
    </row>
    <row r="1011" spans="1:11" ht="24" customHeight="1">
      <c r="A1011" s="33" t="s">
        <v>2595</v>
      </c>
      <c r="B1011" s="33" t="s">
        <v>2596</v>
      </c>
      <c r="C1011" s="33">
        <v>1</v>
      </c>
      <c r="D1011" s="33" t="s">
        <v>2540</v>
      </c>
      <c r="E1011" s="33">
        <v>2</v>
      </c>
      <c r="F1011" s="33"/>
      <c r="G1011" s="522"/>
      <c r="H1011" s="707"/>
      <c r="I1011" s="707">
        <f t="shared" si="30"/>
        <v>0</v>
      </c>
      <c r="J1011" s="707">
        <f t="shared" si="31"/>
        <v>0</v>
      </c>
      <c r="K1011" s="70"/>
    </row>
    <row r="1012" spans="1:11" ht="24" customHeight="1">
      <c r="A1012" s="2" t="s">
        <v>3258</v>
      </c>
      <c r="B1012" s="2" t="s">
        <v>3259</v>
      </c>
      <c r="C1012" s="2">
        <v>3</v>
      </c>
      <c r="D1012" s="2" t="s">
        <v>3256</v>
      </c>
      <c r="E1012" s="33">
        <v>1</v>
      </c>
      <c r="F1012" s="33"/>
      <c r="G1012" s="522"/>
      <c r="H1012" s="708"/>
      <c r="I1012" s="707">
        <f t="shared" si="30"/>
        <v>0</v>
      </c>
      <c r="J1012" s="708">
        <f t="shared" si="31"/>
        <v>0</v>
      </c>
      <c r="K1012" s="72" t="s">
        <v>3260</v>
      </c>
    </row>
    <row r="1013" spans="1:11" ht="24" customHeight="1">
      <c r="A1013" s="10" t="s">
        <v>3077</v>
      </c>
      <c r="B1013" s="34" t="s">
        <v>3078</v>
      </c>
      <c r="C1013" s="11">
        <v>2</v>
      </c>
      <c r="D1013" s="33" t="s">
        <v>3053</v>
      </c>
      <c r="E1013" s="17">
        <v>2</v>
      </c>
      <c r="F1013" s="17"/>
      <c r="G1013" s="687"/>
      <c r="H1013" s="707"/>
      <c r="I1013" s="707">
        <f t="shared" si="30"/>
        <v>0</v>
      </c>
      <c r="J1013" s="707">
        <f t="shared" si="31"/>
        <v>0</v>
      </c>
      <c r="K1013" s="70"/>
    </row>
    <row r="1014" spans="1:11" ht="24" customHeight="1">
      <c r="A1014" s="74" t="s">
        <v>1678</v>
      </c>
      <c r="B1014" s="74" t="s">
        <v>115</v>
      </c>
      <c r="C1014" s="74">
        <v>2</v>
      </c>
      <c r="D1014" s="33" t="s">
        <v>1548</v>
      </c>
      <c r="E1014" s="33">
        <v>5</v>
      </c>
      <c r="F1014" s="33"/>
      <c r="G1014" s="522"/>
      <c r="H1014" s="707"/>
      <c r="I1014" s="707">
        <f t="shared" si="30"/>
        <v>0</v>
      </c>
      <c r="J1014" s="707">
        <f t="shared" si="31"/>
        <v>0</v>
      </c>
      <c r="K1014" s="70"/>
    </row>
    <row r="1015" spans="1:11" ht="24" customHeight="1">
      <c r="A1015" s="74" t="s">
        <v>1453</v>
      </c>
      <c r="B1015" s="74" t="s">
        <v>265</v>
      </c>
      <c r="C1015" s="74">
        <v>1</v>
      </c>
      <c r="D1015" s="33" t="s">
        <v>1372</v>
      </c>
      <c r="E1015" s="33">
        <v>5</v>
      </c>
      <c r="F1015" s="33"/>
      <c r="G1015" s="522"/>
      <c r="H1015" s="707">
        <v>8</v>
      </c>
      <c r="I1015" s="707">
        <f t="shared" si="30"/>
        <v>9.1999999999999993</v>
      </c>
      <c r="J1015" s="707">
        <f t="shared" si="31"/>
        <v>10.4</v>
      </c>
      <c r="K1015" s="70"/>
    </row>
    <row r="1016" spans="1:11" ht="24" customHeight="1">
      <c r="A1016" s="33" t="s">
        <v>1942</v>
      </c>
      <c r="B1016" s="33" t="s">
        <v>83</v>
      </c>
      <c r="C1016" s="33">
        <v>42</v>
      </c>
      <c r="D1016" s="33" t="s">
        <v>1938</v>
      </c>
      <c r="E1016" s="33">
        <v>1</v>
      </c>
      <c r="F1016" s="33"/>
      <c r="G1016" s="522"/>
      <c r="H1016" s="707">
        <v>60</v>
      </c>
      <c r="I1016" s="707">
        <f t="shared" si="30"/>
        <v>69</v>
      </c>
      <c r="J1016" s="707">
        <f t="shared" si="31"/>
        <v>78</v>
      </c>
      <c r="K1016" s="70" t="s">
        <v>51</v>
      </c>
    </row>
    <row r="1017" spans="1:11" ht="24" customHeight="1">
      <c r="A1017" s="33" t="s">
        <v>1412</v>
      </c>
      <c r="B1017" s="33" t="s">
        <v>1413</v>
      </c>
      <c r="C1017" s="33">
        <v>4</v>
      </c>
      <c r="D1017" s="33" t="s">
        <v>1372</v>
      </c>
      <c r="E1017" s="33">
        <v>4</v>
      </c>
      <c r="F1017" s="33"/>
      <c r="G1017" s="522"/>
      <c r="H1017" s="707">
        <v>100</v>
      </c>
      <c r="I1017" s="707">
        <f t="shared" si="30"/>
        <v>114.99999999999999</v>
      </c>
      <c r="J1017" s="707">
        <f t="shared" si="31"/>
        <v>130</v>
      </c>
      <c r="K1017" s="70"/>
    </row>
    <row r="1018" spans="1:11" ht="24" customHeight="1">
      <c r="A1018" s="33" t="s">
        <v>3196</v>
      </c>
      <c r="B1018" s="71" t="s">
        <v>3197</v>
      </c>
      <c r="C1018" s="71">
        <v>10</v>
      </c>
      <c r="D1018" s="33" t="s">
        <v>3053</v>
      </c>
      <c r="E1018" s="71">
        <v>4</v>
      </c>
      <c r="F1018" s="71"/>
      <c r="G1018" s="686"/>
      <c r="H1018" s="707"/>
      <c r="I1018" s="707">
        <f t="shared" si="30"/>
        <v>0</v>
      </c>
      <c r="J1018" s="707">
        <f t="shared" si="31"/>
        <v>0</v>
      </c>
      <c r="K1018" s="70"/>
    </row>
    <row r="1019" spans="1:11" ht="24" customHeight="1">
      <c r="A1019" s="11" t="s">
        <v>3084</v>
      </c>
      <c r="B1019" s="34" t="s">
        <v>110</v>
      </c>
      <c r="C1019" s="11">
        <v>6</v>
      </c>
      <c r="D1019" s="33" t="s">
        <v>3053</v>
      </c>
      <c r="E1019" s="17">
        <v>2</v>
      </c>
      <c r="F1019" s="17"/>
      <c r="G1019" s="687"/>
      <c r="H1019" s="707"/>
      <c r="I1019" s="707">
        <f t="shared" si="30"/>
        <v>0</v>
      </c>
      <c r="J1019" s="707">
        <f t="shared" si="31"/>
        <v>0</v>
      </c>
      <c r="K1019" s="70"/>
    </row>
    <row r="1020" spans="1:11" ht="24" customHeight="1">
      <c r="A1020" s="2" t="s">
        <v>206</v>
      </c>
      <c r="B1020" s="2" t="s">
        <v>207</v>
      </c>
      <c r="C1020" s="2">
        <v>5</v>
      </c>
      <c r="D1020" s="2" t="s">
        <v>188</v>
      </c>
      <c r="E1020" s="33">
        <v>4</v>
      </c>
      <c r="F1020" s="33"/>
      <c r="G1020" s="522"/>
      <c r="H1020" s="707">
        <v>40</v>
      </c>
      <c r="I1020" s="707">
        <f t="shared" si="30"/>
        <v>46</v>
      </c>
      <c r="J1020" s="707">
        <f t="shared" si="31"/>
        <v>52</v>
      </c>
      <c r="K1020" s="70" t="s">
        <v>51</v>
      </c>
    </row>
    <row r="1021" spans="1:11" ht="24" customHeight="1">
      <c r="A1021" s="33" t="s">
        <v>1520</v>
      </c>
      <c r="B1021" s="33" t="s">
        <v>1521</v>
      </c>
      <c r="C1021" s="33">
        <v>2</v>
      </c>
      <c r="D1021" s="33" t="s">
        <v>1494</v>
      </c>
      <c r="E1021" s="33">
        <v>2</v>
      </c>
      <c r="F1021" s="33"/>
      <c r="G1021" s="522"/>
      <c r="H1021" s="707">
        <v>70</v>
      </c>
      <c r="I1021" s="707">
        <f t="shared" si="30"/>
        <v>80.5</v>
      </c>
      <c r="J1021" s="707">
        <f t="shared" si="31"/>
        <v>91</v>
      </c>
      <c r="K1021" s="70"/>
    </row>
    <row r="1022" spans="1:11" ht="24" customHeight="1">
      <c r="A1022" s="74" t="s">
        <v>2164</v>
      </c>
      <c r="B1022" s="74" t="s">
        <v>2165</v>
      </c>
      <c r="C1022" s="74">
        <v>1</v>
      </c>
      <c r="D1022" s="33" t="s">
        <v>2111</v>
      </c>
      <c r="E1022" s="33">
        <v>2</v>
      </c>
      <c r="F1022" s="33"/>
      <c r="G1022" s="522"/>
      <c r="H1022" s="707"/>
      <c r="I1022" s="707">
        <f t="shared" si="30"/>
        <v>0</v>
      </c>
      <c r="J1022" s="707">
        <f t="shared" si="31"/>
        <v>0</v>
      </c>
      <c r="K1022" s="70"/>
    </row>
    <row r="1023" spans="1:11" ht="24" customHeight="1">
      <c r="A1023" s="74" t="s">
        <v>2483</v>
      </c>
      <c r="B1023" s="74" t="s">
        <v>19</v>
      </c>
      <c r="C1023" s="74">
        <v>6</v>
      </c>
      <c r="D1023" s="33" t="s">
        <v>2363</v>
      </c>
      <c r="E1023" s="33">
        <v>5</v>
      </c>
      <c r="F1023" s="33"/>
      <c r="G1023" s="522"/>
      <c r="H1023" s="707">
        <v>42</v>
      </c>
      <c r="I1023" s="707">
        <f t="shared" si="30"/>
        <v>48.3</v>
      </c>
      <c r="J1023" s="707">
        <f t="shared" si="31"/>
        <v>54.6</v>
      </c>
      <c r="K1023" s="70"/>
    </row>
    <row r="1024" spans="1:11" ht="24" customHeight="1">
      <c r="A1024" s="74" t="s">
        <v>2234</v>
      </c>
      <c r="B1024" s="74" t="s">
        <v>371</v>
      </c>
      <c r="C1024" s="74">
        <v>18</v>
      </c>
      <c r="D1024" s="33" t="s">
        <v>2191</v>
      </c>
      <c r="E1024" s="33">
        <v>5</v>
      </c>
      <c r="F1024" s="33"/>
      <c r="G1024" s="522"/>
      <c r="H1024" s="707"/>
      <c r="I1024" s="707">
        <f t="shared" si="30"/>
        <v>0</v>
      </c>
      <c r="J1024" s="707">
        <f t="shared" si="31"/>
        <v>0</v>
      </c>
      <c r="K1024" s="70"/>
    </row>
    <row r="1025" spans="1:11" ht="24" customHeight="1">
      <c r="A1025" s="33" t="s">
        <v>3182</v>
      </c>
      <c r="B1025" s="71" t="s">
        <v>2187</v>
      </c>
      <c r="C1025" s="71">
        <v>1</v>
      </c>
      <c r="D1025" s="33" t="s">
        <v>3053</v>
      </c>
      <c r="E1025" s="71">
        <v>4</v>
      </c>
      <c r="F1025" s="71"/>
      <c r="G1025" s="686"/>
      <c r="H1025" s="707"/>
      <c r="I1025" s="707">
        <f t="shared" si="30"/>
        <v>0</v>
      </c>
      <c r="J1025" s="707">
        <f t="shared" si="31"/>
        <v>0</v>
      </c>
      <c r="K1025" s="70"/>
    </row>
    <row r="1026" spans="1:11" ht="24" customHeight="1">
      <c r="A1026" s="33" t="s">
        <v>54</v>
      </c>
      <c r="B1026" s="33" t="s">
        <v>41</v>
      </c>
      <c r="C1026" s="33">
        <v>38</v>
      </c>
      <c r="D1026" s="33" t="s">
        <v>2504</v>
      </c>
      <c r="E1026" s="33">
        <v>5</v>
      </c>
      <c r="F1026" s="33"/>
      <c r="G1026" s="522"/>
      <c r="H1026" s="707">
        <v>1</v>
      </c>
      <c r="I1026" s="707">
        <f t="shared" ref="I1026:I1089" si="32">H1026 * 1.15</f>
        <v>1.1499999999999999</v>
      </c>
      <c r="J1026" s="707">
        <f t="shared" ref="J1026:J1089" si="33">H1026 * 1.3</f>
        <v>1.3</v>
      </c>
      <c r="K1026" s="70"/>
    </row>
    <row r="1027" spans="1:11" ht="24" customHeight="1">
      <c r="A1027" s="2" t="s">
        <v>149</v>
      </c>
      <c r="B1027" s="2" t="s">
        <v>150</v>
      </c>
      <c r="C1027" s="2">
        <v>17</v>
      </c>
      <c r="D1027" s="2" t="s">
        <v>11</v>
      </c>
      <c r="E1027" s="33">
        <v>3</v>
      </c>
      <c r="F1027" s="33"/>
      <c r="G1027" s="522"/>
      <c r="H1027" s="707"/>
      <c r="I1027" s="707">
        <f t="shared" si="32"/>
        <v>0</v>
      </c>
      <c r="J1027" s="707">
        <f t="shared" si="33"/>
        <v>0</v>
      </c>
      <c r="K1027" s="70"/>
    </row>
    <row r="1028" spans="1:11" ht="24" customHeight="1">
      <c r="A1028" s="33" t="s">
        <v>2567</v>
      </c>
      <c r="B1028" s="33" t="s">
        <v>56</v>
      </c>
      <c r="C1028" s="33">
        <v>2</v>
      </c>
      <c r="D1028" s="33" t="s">
        <v>2540</v>
      </c>
      <c r="E1028" s="33">
        <v>1</v>
      </c>
      <c r="F1028" s="33"/>
      <c r="G1028" s="522"/>
      <c r="H1028" s="707"/>
      <c r="I1028" s="707">
        <f t="shared" si="32"/>
        <v>0</v>
      </c>
      <c r="J1028" s="707">
        <f t="shared" si="33"/>
        <v>0</v>
      </c>
      <c r="K1028" s="70"/>
    </row>
    <row r="1029" spans="1:11" ht="24" customHeight="1">
      <c r="A1029" s="33" t="s">
        <v>2567</v>
      </c>
      <c r="B1029" s="33" t="s">
        <v>56</v>
      </c>
      <c r="C1029" s="33">
        <v>1</v>
      </c>
      <c r="D1029" s="33" t="s">
        <v>2624</v>
      </c>
      <c r="E1029" s="33">
        <v>4</v>
      </c>
      <c r="F1029" s="33"/>
      <c r="G1029" s="522"/>
      <c r="H1029" s="707"/>
      <c r="I1029" s="707">
        <f t="shared" si="32"/>
        <v>0</v>
      </c>
      <c r="J1029" s="707">
        <f t="shared" si="33"/>
        <v>0</v>
      </c>
      <c r="K1029" s="70"/>
    </row>
    <row r="1030" spans="1:11" ht="24" customHeight="1">
      <c r="A1030" s="33" t="s">
        <v>2567</v>
      </c>
      <c r="B1030" s="71" t="s">
        <v>56</v>
      </c>
      <c r="C1030" s="71">
        <v>1</v>
      </c>
      <c r="D1030" s="33" t="s">
        <v>3053</v>
      </c>
      <c r="E1030" s="71">
        <v>4</v>
      </c>
      <c r="F1030" s="71"/>
      <c r="G1030" s="686"/>
      <c r="H1030" s="707"/>
      <c r="I1030" s="707">
        <f t="shared" si="32"/>
        <v>0</v>
      </c>
      <c r="J1030" s="707">
        <f t="shared" si="33"/>
        <v>0</v>
      </c>
      <c r="K1030" s="70"/>
    </row>
    <row r="1031" spans="1:11" ht="24" customHeight="1">
      <c r="A1031" s="33" t="s">
        <v>2567</v>
      </c>
      <c r="B1031" s="71" t="s">
        <v>56</v>
      </c>
      <c r="C1031" s="71">
        <v>1</v>
      </c>
      <c r="D1031" s="33" t="s">
        <v>3053</v>
      </c>
      <c r="E1031" s="71">
        <v>4</v>
      </c>
      <c r="F1031" s="71"/>
      <c r="G1031" s="686"/>
      <c r="H1031" s="707"/>
      <c r="I1031" s="707">
        <f t="shared" si="32"/>
        <v>0</v>
      </c>
      <c r="J1031" s="707">
        <f t="shared" si="33"/>
        <v>0</v>
      </c>
      <c r="K1031" s="70"/>
    </row>
    <row r="1032" spans="1:11" ht="24" customHeight="1">
      <c r="A1032" s="3" t="s">
        <v>2806</v>
      </c>
      <c r="B1032" s="3" t="s">
        <v>23</v>
      </c>
      <c r="C1032" s="3">
        <v>367</v>
      </c>
      <c r="D1032" s="58" t="s">
        <v>2802</v>
      </c>
      <c r="E1032" s="33">
        <v>2</v>
      </c>
      <c r="F1032" s="33"/>
      <c r="G1032" s="522"/>
      <c r="H1032" s="707">
        <v>3</v>
      </c>
      <c r="I1032" s="707">
        <f t="shared" si="32"/>
        <v>3.4499999999999997</v>
      </c>
      <c r="J1032" s="707">
        <f t="shared" si="33"/>
        <v>3.9000000000000004</v>
      </c>
      <c r="K1032" s="70"/>
    </row>
    <row r="1033" spans="1:11" ht="24" customHeight="1">
      <c r="A1033" s="11" t="s">
        <v>2806</v>
      </c>
      <c r="B1033" s="11" t="s">
        <v>23</v>
      </c>
      <c r="C1033" s="11">
        <v>1</v>
      </c>
      <c r="D1033" s="131" t="s">
        <v>3451</v>
      </c>
      <c r="E1033" s="15">
        <v>3</v>
      </c>
      <c r="F1033" s="15"/>
      <c r="G1033" s="684"/>
      <c r="H1033" s="707"/>
      <c r="I1033" s="707">
        <f t="shared" si="32"/>
        <v>0</v>
      </c>
      <c r="J1033" s="707">
        <f t="shared" si="33"/>
        <v>0</v>
      </c>
      <c r="K1033" s="70"/>
    </row>
    <row r="1034" spans="1:11" ht="19.5" customHeight="1">
      <c r="A1034" s="33" t="s">
        <v>2307</v>
      </c>
      <c r="B1034" s="33" t="s">
        <v>272</v>
      </c>
      <c r="C1034" s="33">
        <v>4</v>
      </c>
      <c r="D1034" s="33" t="s">
        <v>2276</v>
      </c>
      <c r="E1034" s="33">
        <v>1</v>
      </c>
      <c r="F1034" s="33"/>
      <c r="G1034" s="522"/>
      <c r="H1034" s="707">
        <v>130</v>
      </c>
      <c r="I1034" s="707">
        <f t="shared" si="32"/>
        <v>149.5</v>
      </c>
      <c r="J1034" s="707">
        <f t="shared" si="33"/>
        <v>169</v>
      </c>
      <c r="K1034" s="70"/>
    </row>
    <row r="1035" spans="1:11" ht="24" customHeight="1">
      <c r="A1035" s="59" t="s">
        <v>3000</v>
      </c>
      <c r="B1035" s="59" t="s">
        <v>3001</v>
      </c>
      <c r="C1035" s="59">
        <v>4</v>
      </c>
      <c r="D1035" s="71" t="s">
        <v>2947</v>
      </c>
      <c r="E1035" s="354">
        <v>5</v>
      </c>
      <c r="F1035" s="354"/>
      <c r="G1035" s="688"/>
      <c r="H1035" s="707">
        <v>200</v>
      </c>
      <c r="I1035" s="707">
        <f t="shared" si="32"/>
        <v>229.99999999999997</v>
      </c>
      <c r="J1035" s="707">
        <f t="shared" si="33"/>
        <v>260</v>
      </c>
      <c r="K1035" s="70"/>
    </row>
    <row r="1036" spans="1:11" ht="24" customHeight="1">
      <c r="A1036" s="33" t="s">
        <v>2969</v>
      </c>
      <c r="B1036" s="33" t="s">
        <v>1179</v>
      </c>
      <c r="C1036" s="33">
        <v>10</v>
      </c>
      <c r="D1036" s="71" t="s">
        <v>2947</v>
      </c>
      <c r="E1036" s="33">
        <v>4</v>
      </c>
      <c r="F1036" s="33"/>
      <c r="G1036" s="522"/>
      <c r="H1036" s="707"/>
      <c r="I1036" s="707">
        <f t="shared" si="32"/>
        <v>0</v>
      </c>
      <c r="J1036" s="707">
        <f t="shared" si="33"/>
        <v>0</v>
      </c>
      <c r="K1036" s="70"/>
    </row>
    <row r="1037" spans="1:11" ht="24" customHeight="1">
      <c r="A1037" s="33" t="s">
        <v>1178</v>
      </c>
      <c r="B1037" s="33" t="s">
        <v>1179</v>
      </c>
      <c r="C1037" s="33">
        <v>7</v>
      </c>
      <c r="D1037" s="33" t="s">
        <v>1141</v>
      </c>
      <c r="E1037" s="33">
        <v>2</v>
      </c>
      <c r="F1037" s="33"/>
      <c r="G1037" s="522"/>
      <c r="H1037" s="707">
        <v>25</v>
      </c>
      <c r="I1037" s="707">
        <f t="shared" si="32"/>
        <v>28.749999999999996</v>
      </c>
      <c r="J1037" s="707">
        <f t="shared" si="33"/>
        <v>32.5</v>
      </c>
      <c r="K1037" s="70"/>
    </row>
    <row r="1038" spans="1:11" ht="24" customHeight="1">
      <c r="A1038" s="11" t="s">
        <v>1178</v>
      </c>
      <c r="B1038" s="34" t="s">
        <v>1179</v>
      </c>
      <c r="C1038" s="11">
        <v>7</v>
      </c>
      <c r="D1038" s="33" t="s">
        <v>3053</v>
      </c>
      <c r="E1038" s="33">
        <v>3</v>
      </c>
      <c r="F1038" s="33"/>
      <c r="G1038" s="522"/>
      <c r="H1038" s="707">
        <v>25</v>
      </c>
      <c r="I1038" s="707">
        <f t="shared" si="32"/>
        <v>28.749999999999996</v>
      </c>
      <c r="J1038" s="707">
        <f t="shared" si="33"/>
        <v>32.5</v>
      </c>
      <c r="K1038" s="70"/>
    </row>
    <row r="1039" spans="1:11" ht="24" customHeight="1">
      <c r="A1039" s="33" t="s">
        <v>2644</v>
      </c>
      <c r="B1039" s="33" t="s">
        <v>1179</v>
      </c>
      <c r="C1039" s="33">
        <v>5</v>
      </c>
      <c r="D1039" s="33" t="s">
        <v>2624</v>
      </c>
      <c r="E1039" s="33">
        <v>4</v>
      </c>
      <c r="F1039" s="33"/>
      <c r="G1039" s="522"/>
      <c r="H1039" s="707"/>
      <c r="I1039" s="707">
        <f t="shared" si="32"/>
        <v>0</v>
      </c>
      <c r="J1039" s="707">
        <f t="shared" si="33"/>
        <v>0</v>
      </c>
      <c r="K1039" s="70"/>
    </row>
    <row r="1040" spans="1:11" ht="24" customHeight="1">
      <c r="A1040" s="33" t="s">
        <v>2197</v>
      </c>
      <c r="B1040" s="33" t="s">
        <v>137</v>
      </c>
      <c r="C1040" s="33">
        <v>1</v>
      </c>
      <c r="D1040" s="33" t="s">
        <v>2191</v>
      </c>
      <c r="E1040" s="33">
        <v>3</v>
      </c>
      <c r="F1040" s="33"/>
      <c r="G1040" s="522"/>
      <c r="H1040" s="707"/>
      <c r="I1040" s="707">
        <f t="shared" si="32"/>
        <v>0</v>
      </c>
      <c r="J1040" s="707">
        <f t="shared" si="33"/>
        <v>0</v>
      </c>
      <c r="K1040" s="70"/>
    </row>
    <row r="1041" spans="1:11" ht="24" customHeight="1">
      <c r="A1041" s="3" t="s">
        <v>3050</v>
      </c>
      <c r="B1041" s="33" t="s">
        <v>485</v>
      </c>
      <c r="C1041" s="33">
        <v>1</v>
      </c>
      <c r="D1041" s="33" t="s">
        <v>3027</v>
      </c>
      <c r="E1041" s="33">
        <v>1</v>
      </c>
      <c r="F1041" s="241" t="s">
        <v>3045</v>
      </c>
      <c r="G1041" s="241"/>
      <c r="H1041" s="707"/>
      <c r="I1041" s="707">
        <f t="shared" si="32"/>
        <v>0</v>
      </c>
      <c r="J1041" s="707">
        <f t="shared" si="33"/>
        <v>0</v>
      </c>
      <c r="K1041" s="70" t="s">
        <v>549</v>
      </c>
    </row>
    <row r="1042" spans="1:11" ht="24" customHeight="1">
      <c r="A1042" s="10" t="s">
        <v>2911</v>
      </c>
      <c r="B1042" s="10" t="s">
        <v>485</v>
      </c>
      <c r="C1042" s="10">
        <v>40</v>
      </c>
      <c r="D1042" s="131" t="s">
        <v>2882</v>
      </c>
      <c r="E1042" s="17">
        <v>3</v>
      </c>
      <c r="F1042" s="17"/>
      <c r="G1042" s="687"/>
      <c r="H1042" s="707"/>
      <c r="I1042" s="707">
        <f t="shared" si="32"/>
        <v>0</v>
      </c>
      <c r="J1042" s="707">
        <f t="shared" si="33"/>
        <v>0</v>
      </c>
      <c r="K1042" s="70"/>
    </row>
    <row r="1043" spans="1:11" ht="24" customHeight="1">
      <c r="A1043" s="11" t="s">
        <v>2912</v>
      </c>
      <c r="B1043" s="11" t="s">
        <v>485</v>
      </c>
      <c r="C1043" s="11">
        <v>4</v>
      </c>
      <c r="D1043" s="131" t="s">
        <v>2882</v>
      </c>
      <c r="E1043" s="17">
        <v>3</v>
      </c>
      <c r="F1043" s="17"/>
      <c r="G1043" s="687"/>
      <c r="H1043" s="707"/>
      <c r="I1043" s="707">
        <f t="shared" si="32"/>
        <v>0</v>
      </c>
      <c r="J1043" s="707">
        <f t="shared" si="33"/>
        <v>0</v>
      </c>
      <c r="K1043" s="70"/>
    </row>
    <row r="1044" spans="1:11" ht="24" customHeight="1">
      <c r="A1044" s="10" t="s">
        <v>2910</v>
      </c>
      <c r="B1044" s="10" t="s">
        <v>485</v>
      </c>
      <c r="C1044" s="10">
        <v>8</v>
      </c>
      <c r="D1044" s="131" t="s">
        <v>2882</v>
      </c>
      <c r="E1044" s="17">
        <v>3</v>
      </c>
      <c r="F1044" s="17"/>
      <c r="G1044" s="687"/>
      <c r="H1044" s="707"/>
      <c r="I1044" s="707">
        <f t="shared" si="32"/>
        <v>0</v>
      </c>
      <c r="J1044" s="707">
        <f t="shared" si="33"/>
        <v>0</v>
      </c>
      <c r="K1044" s="70"/>
    </row>
    <row r="1045" spans="1:11" ht="24" customHeight="1">
      <c r="A1045" s="33" t="s">
        <v>553</v>
      </c>
      <c r="B1045" s="33" t="s">
        <v>371</v>
      </c>
      <c r="C1045" s="33">
        <v>10</v>
      </c>
      <c r="D1045" s="2" t="s">
        <v>536</v>
      </c>
      <c r="E1045" s="33">
        <v>5</v>
      </c>
      <c r="F1045" s="33"/>
      <c r="G1045" s="522"/>
      <c r="H1045" s="707">
        <v>20</v>
      </c>
      <c r="I1045" s="707">
        <f t="shared" si="32"/>
        <v>23</v>
      </c>
      <c r="J1045" s="707">
        <f t="shared" si="33"/>
        <v>26</v>
      </c>
      <c r="K1045" s="70"/>
    </row>
    <row r="1046" spans="1:11" ht="24" customHeight="1">
      <c r="A1046" s="2" t="s">
        <v>553</v>
      </c>
      <c r="B1046" s="2" t="s">
        <v>371</v>
      </c>
      <c r="C1046" s="2">
        <v>15</v>
      </c>
      <c r="D1046" s="2" t="s">
        <v>536</v>
      </c>
      <c r="E1046" s="33">
        <v>5</v>
      </c>
      <c r="F1046" s="33"/>
      <c r="G1046" s="522"/>
      <c r="H1046" s="707">
        <v>20</v>
      </c>
      <c r="I1046" s="707">
        <f t="shared" si="32"/>
        <v>23</v>
      </c>
      <c r="J1046" s="707">
        <f t="shared" si="33"/>
        <v>26</v>
      </c>
      <c r="K1046" s="70"/>
    </row>
    <row r="1047" spans="1:11" ht="24" customHeight="1">
      <c r="A1047" s="33" t="s">
        <v>553</v>
      </c>
      <c r="B1047" s="33" t="s">
        <v>1426</v>
      </c>
      <c r="C1047" s="33">
        <v>2</v>
      </c>
      <c r="D1047" s="33" t="s">
        <v>1372</v>
      </c>
      <c r="E1047" s="33">
        <v>4</v>
      </c>
      <c r="F1047" s="33"/>
      <c r="G1047" s="522"/>
      <c r="H1047" s="707">
        <v>20</v>
      </c>
      <c r="I1047" s="707">
        <f t="shared" si="32"/>
        <v>23</v>
      </c>
      <c r="J1047" s="707">
        <f t="shared" si="33"/>
        <v>26</v>
      </c>
      <c r="K1047" s="70"/>
    </row>
    <row r="1048" spans="1:11" ht="24" customHeight="1">
      <c r="A1048" s="11" t="s">
        <v>2913</v>
      </c>
      <c r="B1048" s="11" t="s">
        <v>2914</v>
      </c>
      <c r="C1048" s="11">
        <v>1</v>
      </c>
      <c r="D1048" s="131" t="s">
        <v>2882</v>
      </c>
      <c r="E1048" s="17">
        <v>3</v>
      </c>
      <c r="F1048" s="17"/>
      <c r="G1048" s="687"/>
      <c r="H1048" s="707">
        <v>320</v>
      </c>
      <c r="I1048" s="707">
        <f t="shared" si="32"/>
        <v>368</v>
      </c>
      <c r="J1048" s="707">
        <f t="shared" si="33"/>
        <v>416</v>
      </c>
      <c r="K1048" s="70"/>
    </row>
    <row r="1049" spans="1:11" ht="24" customHeight="1">
      <c r="A1049" s="33" t="s">
        <v>1414</v>
      </c>
      <c r="B1049" s="33" t="s">
        <v>1415</v>
      </c>
      <c r="C1049" s="33">
        <v>1</v>
      </c>
      <c r="D1049" s="33" t="s">
        <v>1372</v>
      </c>
      <c r="E1049" s="33">
        <v>4</v>
      </c>
      <c r="F1049" s="33"/>
      <c r="G1049" s="522"/>
      <c r="H1049" s="707">
        <v>100</v>
      </c>
      <c r="I1049" s="707">
        <f t="shared" si="32"/>
        <v>114.99999999999999</v>
      </c>
      <c r="J1049" s="707">
        <f t="shared" si="33"/>
        <v>130</v>
      </c>
      <c r="K1049" s="70"/>
    </row>
    <row r="1050" spans="1:11" ht="24" customHeight="1">
      <c r="A1050" s="59" t="s">
        <v>3228</v>
      </c>
      <c r="B1050" s="59" t="s">
        <v>958</v>
      </c>
      <c r="C1050" s="59">
        <v>2</v>
      </c>
      <c r="D1050" s="33" t="s">
        <v>3053</v>
      </c>
      <c r="E1050" s="354">
        <v>5</v>
      </c>
      <c r="F1050" s="354"/>
      <c r="G1050" s="688"/>
      <c r="H1050" s="707"/>
      <c r="I1050" s="707">
        <f t="shared" si="32"/>
        <v>0</v>
      </c>
      <c r="J1050" s="707">
        <f t="shared" si="33"/>
        <v>0</v>
      </c>
      <c r="K1050" s="70"/>
    </row>
    <row r="1051" spans="1:11" ht="24" customHeight="1">
      <c r="A1051" s="59" t="s">
        <v>3229</v>
      </c>
      <c r="B1051" s="59" t="s">
        <v>958</v>
      </c>
      <c r="C1051" s="59">
        <v>2</v>
      </c>
      <c r="D1051" s="33" t="s">
        <v>3053</v>
      </c>
      <c r="E1051" s="354">
        <v>5</v>
      </c>
      <c r="F1051" s="354"/>
      <c r="G1051" s="688"/>
      <c r="H1051" s="707"/>
      <c r="I1051" s="707">
        <f t="shared" si="32"/>
        <v>0</v>
      </c>
      <c r="J1051" s="707">
        <f t="shared" si="33"/>
        <v>0</v>
      </c>
      <c r="K1051" s="70"/>
    </row>
    <row r="1052" spans="1:11" ht="24" customHeight="1">
      <c r="A1052" s="33" t="s">
        <v>3370</v>
      </c>
      <c r="B1052" s="33" t="s">
        <v>3371</v>
      </c>
      <c r="C1052" s="33">
        <v>1</v>
      </c>
      <c r="D1052" s="33" t="s">
        <v>3348</v>
      </c>
      <c r="E1052" s="33">
        <v>3</v>
      </c>
      <c r="F1052" s="33"/>
      <c r="G1052" s="522"/>
      <c r="H1052" s="707"/>
      <c r="I1052" s="707">
        <f t="shared" si="32"/>
        <v>0</v>
      </c>
      <c r="J1052" s="707">
        <f t="shared" si="33"/>
        <v>0</v>
      </c>
      <c r="K1052" s="70"/>
    </row>
    <row r="1053" spans="1:11" ht="24" customHeight="1">
      <c r="A1053" s="33" t="s">
        <v>699</v>
      </c>
      <c r="B1053" s="33" t="s">
        <v>83</v>
      </c>
      <c r="C1053" s="33">
        <v>6</v>
      </c>
      <c r="D1053" s="2" t="s">
        <v>593</v>
      </c>
      <c r="E1053" s="33">
        <v>2</v>
      </c>
      <c r="F1053" s="33"/>
      <c r="G1053" s="522"/>
      <c r="H1053" s="707">
        <v>25</v>
      </c>
      <c r="I1053" s="707">
        <f t="shared" si="32"/>
        <v>28.749999999999996</v>
      </c>
      <c r="J1053" s="707">
        <f t="shared" si="33"/>
        <v>32.5</v>
      </c>
      <c r="K1053" s="70"/>
    </row>
    <row r="1054" spans="1:11" ht="24" customHeight="1">
      <c r="A1054" s="2" t="s">
        <v>465</v>
      </c>
      <c r="B1054" s="2" t="s">
        <v>43</v>
      </c>
      <c r="C1054" s="2">
        <v>1</v>
      </c>
      <c r="D1054" s="2" t="s">
        <v>274</v>
      </c>
      <c r="E1054" s="33">
        <v>3</v>
      </c>
      <c r="F1054" s="33"/>
      <c r="G1054" s="522"/>
      <c r="H1054" s="707"/>
      <c r="I1054" s="707">
        <f t="shared" si="32"/>
        <v>0</v>
      </c>
      <c r="J1054" s="707">
        <f t="shared" si="33"/>
        <v>0</v>
      </c>
      <c r="K1054" s="70"/>
    </row>
    <row r="1055" spans="1:11" ht="24" customHeight="1">
      <c r="A1055" s="2" t="s">
        <v>466</v>
      </c>
      <c r="B1055" s="2" t="s">
        <v>43</v>
      </c>
      <c r="C1055" s="2">
        <v>1</v>
      </c>
      <c r="D1055" s="2" t="s">
        <v>274</v>
      </c>
      <c r="E1055" s="33">
        <v>3</v>
      </c>
      <c r="F1055" s="33"/>
      <c r="G1055" s="522"/>
      <c r="H1055" s="707"/>
      <c r="I1055" s="707">
        <f t="shared" si="32"/>
        <v>0</v>
      </c>
      <c r="J1055" s="707">
        <f t="shared" si="33"/>
        <v>0</v>
      </c>
      <c r="K1055" s="70"/>
    </row>
    <row r="1056" spans="1:11" ht="24" customHeight="1">
      <c r="A1056" s="2" t="s">
        <v>850</v>
      </c>
      <c r="B1056" s="2" t="s">
        <v>43</v>
      </c>
      <c r="C1056" s="2">
        <v>1</v>
      </c>
      <c r="D1056" s="2" t="s">
        <v>593</v>
      </c>
      <c r="E1056" s="33">
        <v>3</v>
      </c>
      <c r="F1056" s="33"/>
      <c r="G1056" s="522"/>
      <c r="H1056" s="707"/>
      <c r="I1056" s="707">
        <f t="shared" si="32"/>
        <v>0</v>
      </c>
      <c r="J1056" s="707">
        <f t="shared" si="33"/>
        <v>0</v>
      </c>
      <c r="K1056" s="70"/>
    </row>
    <row r="1057" spans="1:11" ht="24" customHeight="1">
      <c r="A1057" s="2" t="s">
        <v>191</v>
      </c>
      <c r="B1057" s="2" t="s">
        <v>192</v>
      </c>
      <c r="C1057" s="2">
        <v>1</v>
      </c>
      <c r="D1057" s="2" t="s">
        <v>188</v>
      </c>
      <c r="E1057" s="33">
        <v>4</v>
      </c>
      <c r="F1057" s="33"/>
      <c r="G1057" s="522"/>
      <c r="H1057" s="707"/>
      <c r="I1057" s="707">
        <f t="shared" si="32"/>
        <v>0</v>
      </c>
      <c r="J1057" s="707">
        <f t="shared" si="33"/>
        <v>0</v>
      </c>
      <c r="K1057" s="70"/>
    </row>
    <row r="1058" spans="1:11" ht="24" customHeight="1">
      <c r="A1058" s="2" t="s">
        <v>848</v>
      </c>
      <c r="B1058" s="2" t="s">
        <v>43</v>
      </c>
      <c r="C1058" s="2">
        <v>1</v>
      </c>
      <c r="D1058" s="2" t="s">
        <v>593</v>
      </c>
      <c r="E1058" s="33">
        <v>3</v>
      </c>
      <c r="F1058" s="33"/>
      <c r="G1058" s="522"/>
      <c r="H1058" s="707"/>
      <c r="I1058" s="707">
        <f t="shared" si="32"/>
        <v>0</v>
      </c>
      <c r="J1058" s="707">
        <f t="shared" si="33"/>
        <v>0</v>
      </c>
      <c r="K1058" s="70"/>
    </row>
    <row r="1059" spans="1:11" ht="24" customHeight="1">
      <c r="A1059" s="33" t="s">
        <v>517</v>
      </c>
      <c r="B1059" s="33" t="s">
        <v>115</v>
      </c>
      <c r="C1059" s="33">
        <v>1</v>
      </c>
      <c r="D1059" s="2" t="s">
        <v>274</v>
      </c>
      <c r="E1059" s="33">
        <v>3</v>
      </c>
      <c r="F1059" s="33"/>
      <c r="G1059" s="522"/>
      <c r="H1059" s="707"/>
      <c r="I1059" s="707">
        <f t="shared" si="32"/>
        <v>0</v>
      </c>
      <c r="J1059" s="707">
        <f t="shared" si="33"/>
        <v>0</v>
      </c>
      <c r="K1059" s="70"/>
    </row>
    <row r="1060" spans="1:11" ht="24" customHeight="1">
      <c r="A1060" s="2" t="s">
        <v>336</v>
      </c>
      <c r="B1060" s="2" t="s">
        <v>265</v>
      </c>
      <c r="C1060" s="2">
        <v>4</v>
      </c>
      <c r="D1060" s="2" t="s">
        <v>274</v>
      </c>
      <c r="E1060" s="33">
        <v>1</v>
      </c>
      <c r="F1060" s="33"/>
      <c r="G1060" s="522"/>
      <c r="H1060" s="707"/>
      <c r="I1060" s="707">
        <f t="shared" si="32"/>
        <v>0</v>
      </c>
      <c r="J1060" s="707">
        <f t="shared" si="33"/>
        <v>0</v>
      </c>
      <c r="K1060" s="70"/>
    </row>
    <row r="1061" spans="1:11" ht="24" customHeight="1">
      <c r="A1061" s="2" t="s">
        <v>513</v>
      </c>
      <c r="B1061" s="2" t="s">
        <v>19</v>
      </c>
      <c r="C1061" s="2">
        <v>4</v>
      </c>
      <c r="D1061" s="2" t="s">
        <v>274</v>
      </c>
      <c r="E1061" s="33">
        <v>3</v>
      </c>
      <c r="F1061" s="33"/>
      <c r="G1061" s="522"/>
      <c r="H1061" s="707">
        <v>40</v>
      </c>
      <c r="I1061" s="707">
        <f t="shared" si="32"/>
        <v>46</v>
      </c>
      <c r="J1061" s="707">
        <f t="shared" si="33"/>
        <v>52</v>
      </c>
      <c r="K1061" s="70"/>
    </row>
    <row r="1062" spans="1:11" ht="24" customHeight="1">
      <c r="A1062" s="2" t="s">
        <v>514</v>
      </c>
      <c r="B1062" s="2" t="s">
        <v>41</v>
      </c>
      <c r="C1062" s="2">
        <v>1</v>
      </c>
      <c r="D1062" s="2" t="s">
        <v>274</v>
      </c>
      <c r="E1062" s="33">
        <v>3</v>
      </c>
      <c r="F1062" s="33"/>
      <c r="G1062" s="522"/>
      <c r="H1062" s="707">
        <v>30</v>
      </c>
      <c r="I1062" s="707">
        <f t="shared" si="32"/>
        <v>34.5</v>
      </c>
      <c r="J1062" s="707">
        <f t="shared" si="33"/>
        <v>39</v>
      </c>
      <c r="K1062" s="70"/>
    </row>
    <row r="1063" spans="1:11" ht="24" customHeight="1">
      <c r="A1063" s="2" t="s">
        <v>1880</v>
      </c>
      <c r="B1063" s="2" t="s">
        <v>83</v>
      </c>
      <c r="C1063" s="2">
        <v>4</v>
      </c>
      <c r="D1063" s="2" t="s">
        <v>1785</v>
      </c>
      <c r="E1063" s="33">
        <v>3</v>
      </c>
      <c r="F1063" s="33"/>
      <c r="G1063" s="522"/>
      <c r="H1063" s="707"/>
      <c r="I1063" s="707">
        <f t="shared" si="32"/>
        <v>0</v>
      </c>
      <c r="J1063" s="707">
        <f t="shared" si="33"/>
        <v>0</v>
      </c>
      <c r="K1063" s="70"/>
    </row>
    <row r="1064" spans="1:11" ht="24" customHeight="1">
      <c r="A1064" s="65" t="s">
        <v>3339</v>
      </c>
      <c r="B1064" s="68" t="s">
        <v>3340</v>
      </c>
      <c r="C1064" s="65">
        <v>2</v>
      </c>
      <c r="D1064" s="33" t="s">
        <v>3338</v>
      </c>
      <c r="E1064" s="33">
        <v>2</v>
      </c>
      <c r="F1064" s="33"/>
      <c r="G1064" s="522"/>
      <c r="H1064" s="707"/>
      <c r="I1064" s="707">
        <f t="shared" si="32"/>
        <v>0</v>
      </c>
      <c r="J1064" s="707">
        <f t="shared" si="33"/>
        <v>0</v>
      </c>
      <c r="K1064" s="70"/>
    </row>
    <row r="1065" spans="1:11" ht="24" customHeight="1">
      <c r="A1065" s="2" t="s">
        <v>1881</v>
      </c>
      <c r="B1065" s="2" t="s">
        <v>1882</v>
      </c>
      <c r="C1065" s="2">
        <v>1</v>
      </c>
      <c r="D1065" s="2" t="s">
        <v>1785</v>
      </c>
      <c r="E1065" s="33">
        <v>3</v>
      </c>
      <c r="F1065" s="33"/>
      <c r="G1065" s="522"/>
      <c r="H1065" s="707"/>
      <c r="I1065" s="707">
        <f t="shared" si="32"/>
        <v>0</v>
      </c>
      <c r="J1065" s="707">
        <f t="shared" si="33"/>
        <v>0</v>
      </c>
      <c r="K1065" s="70"/>
    </row>
    <row r="1066" spans="1:11" ht="24" customHeight="1">
      <c r="A1066" s="33" t="s">
        <v>2196</v>
      </c>
      <c r="B1066" s="33" t="s">
        <v>150</v>
      </c>
      <c r="C1066" s="33">
        <v>5</v>
      </c>
      <c r="D1066" s="33" t="s">
        <v>2191</v>
      </c>
      <c r="E1066" s="33">
        <v>3</v>
      </c>
      <c r="F1066" s="33"/>
      <c r="G1066" s="522"/>
      <c r="H1066" s="707"/>
      <c r="I1066" s="707">
        <f t="shared" si="32"/>
        <v>0</v>
      </c>
      <c r="J1066" s="707">
        <f t="shared" si="33"/>
        <v>0</v>
      </c>
      <c r="K1066" s="70"/>
    </row>
    <row r="1067" spans="1:11" ht="24" customHeight="1">
      <c r="A1067" s="33" t="s">
        <v>1004</v>
      </c>
      <c r="B1067" s="33" t="s">
        <v>150</v>
      </c>
      <c r="C1067" s="33">
        <v>8</v>
      </c>
      <c r="D1067" s="33" t="s">
        <v>992</v>
      </c>
      <c r="E1067" s="33">
        <v>3</v>
      </c>
      <c r="F1067" s="33"/>
      <c r="G1067" s="522"/>
      <c r="H1067" s="707">
        <v>75</v>
      </c>
      <c r="I1067" s="707">
        <f t="shared" si="32"/>
        <v>86.25</v>
      </c>
      <c r="J1067" s="707">
        <f t="shared" si="33"/>
        <v>97.5</v>
      </c>
      <c r="K1067" s="70"/>
    </row>
    <row r="1068" spans="1:11" ht="24" customHeight="1">
      <c r="A1068" s="33" t="s">
        <v>965</v>
      </c>
      <c r="B1068" s="33" t="s">
        <v>350</v>
      </c>
      <c r="C1068" s="33">
        <v>18</v>
      </c>
      <c r="D1068" s="33" t="s">
        <v>910</v>
      </c>
      <c r="E1068" s="33">
        <v>2</v>
      </c>
      <c r="F1068" s="33"/>
      <c r="G1068" s="522"/>
      <c r="H1068" s="707"/>
      <c r="I1068" s="707">
        <f t="shared" si="32"/>
        <v>0</v>
      </c>
      <c r="J1068" s="707">
        <f t="shared" si="33"/>
        <v>0</v>
      </c>
      <c r="K1068" s="70"/>
    </row>
    <row r="1069" spans="1:11" ht="24" customHeight="1">
      <c r="A1069" s="59" t="s">
        <v>2700</v>
      </c>
      <c r="B1069" s="59" t="s">
        <v>2701</v>
      </c>
      <c r="C1069" s="59">
        <v>2</v>
      </c>
      <c r="D1069" s="33" t="s">
        <v>2624</v>
      </c>
      <c r="E1069" s="354">
        <v>5</v>
      </c>
      <c r="F1069" s="354"/>
      <c r="G1069" s="688"/>
      <c r="H1069" s="707"/>
      <c r="I1069" s="707">
        <f t="shared" si="32"/>
        <v>0</v>
      </c>
      <c r="J1069" s="707">
        <f t="shared" si="33"/>
        <v>0</v>
      </c>
      <c r="K1069" s="70"/>
    </row>
    <row r="1070" spans="1:11" ht="24" customHeight="1">
      <c r="A1070" s="2" t="s">
        <v>215</v>
      </c>
      <c r="B1070" s="2" t="s">
        <v>50</v>
      </c>
      <c r="C1070" s="2">
        <v>3</v>
      </c>
      <c r="D1070" s="2" t="s">
        <v>188</v>
      </c>
      <c r="E1070" s="33">
        <v>4</v>
      </c>
      <c r="F1070" s="33"/>
      <c r="G1070" s="522"/>
      <c r="H1070" s="707">
        <v>12</v>
      </c>
      <c r="I1070" s="707">
        <f t="shared" si="32"/>
        <v>13.799999999999999</v>
      </c>
      <c r="J1070" s="707">
        <f t="shared" si="33"/>
        <v>15.600000000000001</v>
      </c>
      <c r="K1070" s="70"/>
    </row>
    <row r="1071" spans="1:11" ht="24" customHeight="1">
      <c r="A1071" s="74" t="s">
        <v>2408</v>
      </c>
      <c r="B1071" s="74" t="s">
        <v>485</v>
      </c>
      <c r="C1071" s="74">
        <v>1</v>
      </c>
      <c r="D1071" s="33" t="s">
        <v>2363</v>
      </c>
      <c r="E1071" s="33">
        <v>5</v>
      </c>
      <c r="F1071" s="33"/>
      <c r="G1071" s="522"/>
      <c r="H1071" s="707">
        <v>10</v>
      </c>
      <c r="I1071" s="707">
        <f t="shared" si="32"/>
        <v>11.5</v>
      </c>
      <c r="J1071" s="707">
        <f t="shared" si="33"/>
        <v>13</v>
      </c>
      <c r="K1071" s="70"/>
    </row>
    <row r="1072" spans="1:11" ht="24" customHeight="1">
      <c r="A1072" s="11" t="s">
        <v>2884</v>
      </c>
      <c r="B1072" s="11" t="s">
        <v>2885</v>
      </c>
      <c r="C1072" s="11">
        <v>4</v>
      </c>
      <c r="D1072" s="131" t="s">
        <v>2882</v>
      </c>
      <c r="E1072" s="15">
        <v>1</v>
      </c>
      <c r="F1072" s="15"/>
      <c r="G1072" s="684"/>
      <c r="H1072" s="707"/>
      <c r="I1072" s="707">
        <f t="shared" si="32"/>
        <v>0</v>
      </c>
      <c r="J1072" s="707">
        <f t="shared" si="33"/>
        <v>0</v>
      </c>
      <c r="K1072" s="70"/>
    </row>
    <row r="1073" spans="1:11" ht="24" customHeight="1">
      <c r="A1073" s="33" t="s">
        <v>2015</v>
      </c>
      <c r="B1073" s="33" t="s">
        <v>2016</v>
      </c>
      <c r="C1073" s="33">
        <v>8</v>
      </c>
      <c r="D1073" s="33" t="s">
        <v>1938</v>
      </c>
      <c r="E1073" s="33">
        <v>2</v>
      </c>
      <c r="F1073" s="33"/>
      <c r="G1073" s="522"/>
      <c r="H1073" s="707"/>
      <c r="I1073" s="707">
        <f t="shared" si="32"/>
        <v>0</v>
      </c>
      <c r="J1073" s="707">
        <f t="shared" si="33"/>
        <v>0</v>
      </c>
      <c r="K1073" s="70"/>
    </row>
    <row r="1074" spans="1:11" ht="24" customHeight="1">
      <c r="A1074" s="74" t="s">
        <v>2407</v>
      </c>
      <c r="B1074" s="74" t="s">
        <v>418</v>
      </c>
      <c r="C1074" s="74">
        <v>3</v>
      </c>
      <c r="D1074" s="33" t="s">
        <v>2363</v>
      </c>
      <c r="E1074" s="33">
        <v>5</v>
      </c>
      <c r="F1074" s="33"/>
      <c r="G1074" s="522"/>
      <c r="H1074" s="707"/>
      <c r="I1074" s="707">
        <f t="shared" si="32"/>
        <v>0</v>
      </c>
      <c r="J1074" s="707">
        <f t="shared" si="33"/>
        <v>0</v>
      </c>
      <c r="K1074" s="70"/>
    </row>
    <row r="1075" spans="1:11" ht="24" customHeight="1">
      <c r="A1075" s="2" t="s">
        <v>42</v>
      </c>
      <c r="B1075" s="2" t="s">
        <v>43</v>
      </c>
      <c r="C1075" s="2">
        <v>2</v>
      </c>
      <c r="D1075" s="2" t="s">
        <v>11</v>
      </c>
      <c r="E1075" s="33">
        <v>1</v>
      </c>
      <c r="F1075" s="33"/>
      <c r="G1075" s="522"/>
      <c r="H1075" s="707"/>
      <c r="I1075" s="707">
        <f t="shared" si="32"/>
        <v>0</v>
      </c>
      <c r="J1075" s="707">
        <f t="shared" si="33"/>
        <v>0</v>
      </c>
      <c r="K1075" s="70"/>
    </row>
    <row r="1076" spans="1:11" ht="24" customHeight="1">
      <c r="A1076" s="74" t="s">
        <v>1117</v>
      </c>
      <c r="B1076" s="74" t="s">
        <v>485</v>
      </c>
      <c r="C1076" s="74">
        <v>13</v>
      </c>
      <c r="D1076" s="33" t="s">
        <v>992</v>
      </c>
      <c r="E1076" s="33">
        <v>5</v>
      </c>
      <c r="F1076" s="33"/>
      <c r="G1076" s="522"/>
      <c r="H1076" s="707"/>
      <c r="I1076" s="707">
        <f t="shared" si="32"/>
        <v>0</v>
      </c>
      <c r="J1076" s="707">
        <f t="shared" si="33"/>
        <v>0</v>
      </c>
      <c r="K1076" s="70"/>
    </row>
    <row r="1077" spans="1:11" ht="24" customHeight="1">
      <c r="A1077" s="33" t="s">
        <v>3280</v>
      </c>
      <c r="B1077" s="33" t="s">
        <v>34</v>
      </c>
      <c r="C1077" s="33">
        <v>1</v>
      </c>
      <c r="D1077" s="33" t="s">
        <v>3279</v>
      </c>
      <c r="E1077" s="33">
        <v>3</v>
      </c>
      <c r="F1077" s="33"/>
      <c r="G1077" s="522"/>
      <c r="H1077" s="707">
        <v>800</v>
      </c>
      <c r="I1077" s="707">
        <f t="shared" si="32"/>
        <v>919.99999999999989</v>
      </c>
      <c r="J1077" s="707">
        <f t="shared" si="33"/>
        <v>1040</v>
      </c>
      <c r="K1077" s="70"/>
    </row>
    <row r="1078" spans="1:11" ht="24" customHeight="1">
      <c r="A1078" s="33" t="s">
        <v>1165</v>
      </c>
      <c r="B1078" s="33" t="s">
        <v>1166</v>
      </c>
      <c r="C1078" s="33">
        <v>1</v>
      </c>
      <c r="D1078" s="33" t="s">
        <v>1141</v>
      </c>
      <c r="E1078" s="33">
        <v>1</v>
      </c>
      <c r="F1078" s="33"/>
      <c r="G1078" s="522"/>
      <c r="H1078" s="707"/>
      <c r="I1078" s="707">
        <f t="shared" si="32"/>
        <v>0</v>
      </c>
      <c r="J1078" s="707">
        <f t="shared" si="33"/>
        <v>0</v>
      </c>
      <c r="K1078" s="70"/>
    </row>
    <row r="1079" spans="1:11" ht="24" customHeight="1">
      <c r="A1079" s="2" t="s">
        <v>100</v>
      </c>
      <c r="B1079" s="2" t="s">
        <v>101</v>
      </c>
      <c r="C1079" s="2">
        <v>2</v>
      </c>
      <c r="D1079" s="2" t="s">
        <v>11</v>
      </c>
      <c r="E1079" s="33">
        <v>2</v>
      </c>
      <c r="F1079" s="33"/>
      <c r="G1079" s="522"/>
      <c r="H1079" s="707"/>
      <c r="I1079" s="707">
        <f t="shared" si="32"/>
        <v>0</v>
      </c>
      <c r="J1079" s="707">
        <f t="shared" si="33"/>
        <v>0</v>
      </c>
      <c r="K1079" s="70"/>
    </row>
    <row r="1080" spans="1:11" ht="24" customHeight="1">
      <c r="A1080" s="17" t="s">
        <v>1693</v>
      </c>
      <c r="B1080" s="17" t="s">
        <v>1694</v>
      </c>
      <c r="C1080" s="17">
        <v>4</v>
      </c>
      <c r="D1080" s="131" t="s">
        <v>1681</v>
      </c>
      <c r="E1080" s="15">
        <v>1</v>
      </c>
      <c r="F1080" s="15"/>
      <c r="G1080" s="684"/>
      <c r="H1080" s="707"/>
      <c r="I1080" s="707">
        <f t="shared" si="32"/>
        <v>0</v>
      </c>
      <c r="J1080" s="707">
        <f t="shared" si="33"/>
        <v>0</v>
      </c>
      <c r="K1080" s="70"/>
    </row>
    <row r="1081" spans="1:11" ht="24" customHeight="1">
      <c r="A1081" s="17" t="s">
        <v>1695</v>
      </c>
      <c r="B1081" s="17" t="s">
        <v>1694</v>
      </c>
      <c r="C1081" s="17">
        <v>2</v>
      </c>
      <c r="D1081" s="131" t="s">
        <v>1681</v>
      </c>
      <c r="E1081" s="15">
        <v>1</v>
      </c>
      <c r="F1081" s="15"/>
      <c r="G1081" s="684"/>
      <c r="H1081" s="707"/>
      <c r="I1081" s="707">
        <f t="shared" si="32"/>
        <v>0</v>
      </c>
      <c r="J1081" s="707">
        <f t="shared" si="33"/>
        <v>0</v>
      </c>
      <c r="K1081" s="70"/>
    </row>
    <row r="1082" spans="1:11" ht="24" customHeight="1">
      <c r="A1082" s="74" t="s">
        <v>2155</v>
      </c>
      <c r="B1082" s="74" t="s">
        <v>2156</v>
      </c>
      <c r="C1082" s="74">
        <v>2</v>
      </c>
      <c r="D1082" s="33" t="s">
        <v>2111</v>
      </c>
      <c r="E1082" s="33">
        <v>2</v>
      </c>
      <c r="F1082" s="33"/>
      <c r="G1082" s="522"/>
      <c r="H1082" s="707">
        <v>850</v>
      </c>
      <c r="I1082" s="707">
        <f t="shared" si="32"/>
        <v>977.49999999999989</v>
      </c>
      <c r="J1082" s="707">
        <f t="shared" si="33"/>
        <v>1105</v>
      </c>
      <c r="K1082" s="70"/>
    </row>
    <row r="1083" spans="1:11" ht="24" customHeight="1">
      <c r="A1083" s="33" t="s">
        <v>1716</v>
      </c>
      <c r="B1083" s="33" t="s">
        <v>94</v>
      </c>
      <c r="C1083" s="33">
        <v>2</v>
      </c>
      <c r="D1083" s="131" t="s">
        <v>1681</v>
      </c>
      <c r="E1083" s="33">
        <v>3</v>
      </c>
      <c r="F1083" s="33"/>
      <c r="G1083" s="522"/>
      <c r="H1083" s="707">
        <v>14.3</v>
      </c>
      <c r="I1083" s="707">
        <f t="shared" si="32"/>
        <v>16.445</v>
      </c>
      <c r="J1083" s="707">
        <f t="shared" si="33"/>
        <v>18.59</v>
      </c>
      <c r="K1083" s="70" t="s">
        <v>51</v>
      </c>
    </row>
    <row r="1084" spans="1:11" ht="24" customHeight="1">
      <c r="A1084" s="399" t="s">
        <v>1896</v>
      </c>
      <c r="B1084" s="399" t="s">
        <v>1897</v>
      </c>
      <c r="C1084" s="399">
        <v>1</v>
      </c>
      <c r="D1084" s="400" t="s">
        <v>1898</v>
      </c>
      <c r="E1084" s="400">
        <v>4</v>
      </c>
      <c r="F1084" s="400" t="s">
        <v>1012</v>
      </c>
      <c r="G1084" s="690"/>
      <c r="H1084" s="713"/>
      <c r="I1084" s="713">
        <f t="shared" si="32"/>
        <v>0</v>
      </c>
      <c r="J1084" s="713">
        <f t="shared" si="33"/>
        <v>0</v>
      </c>
      <c r="K1084" s="401" t="s">
        <v>8019</v>
      </c>
    </row>
    <row r="1085" spans="1:11" ht="24" customHeight="1">
      <c r="A1085" s="399" t="s">
        <v>1896</v>
      </c>
      <c r="B1085" s="399" t="s">
        <v>1897</v>
      </c>
      <c r="C1085" s="399">
        <v>1</v>
      </c>
      <c r="D1085" s="400" t="s">
        <v>1898</v>
      </c>
      <c r="E1085" s="400">
        <v>4</v>
      </c>
      <c r="F1085" s="400" t="s">
        <v>1012</v>
      </c>
      <c r="G1085" s="690"/>
      <c r="H1085" s="713"/>
      <c r="I1085" s="713">
        <f t="shared" si="32"/>
        <v>0</v>
      </c>
      <c r="J1085" s="713">
        <f t="shared" si="33"/>
        <v>0</v>
      </c>
      <c r="K1085" s="401" t="s">
        <v>8019</v>
      </c>
    </row>
    <row r="1086" spans="1:11" ht="24" customHeight="1">
      <c r="A1086" s="399" t="s">
        <v>1899</v>
      </c>
      <c r="B1086" s="399" t="s">
        <v>1900</v>
      </c>
      <c r="C1086" s="399">
        <v>1</v>
      </c>
      <c r="D1086" s="400" t="s">
        <v>1898</v>
      </c>
      <c r="E1086" s="400">
        <v>4</v>
      </c>
      <c r="F1086" s="400" t="s">
        <v>1012</v>
      </c>
      <c r="G1086" s="690"/>
      <c r="H1086" s="713"/>
      <c r="I1086" s="713">
        <f t="shared" si="32"/>
        <v>0</v>
      </c>
      <c r="J1086" s="713">
        <f t="shared" si="33"/>
        <v>0</v>
      </c>
      <c r="K1086" s="401"/>
    </row>
    <row r="1087" spans="1:11" ht="24" customHeight="1">
      <c r="A1087" s="399" t="s">
        <v>1905</v>
      </c>
      <c r="B1087" s="399" t="s">
        <v>1906</v>
      </c>
      <c r="C1087" s="399">
        <v>1</v>
      </c>
      <c r="D1087" s="400" t="s">
        <v>1898</v>
      </c>
      <c r="E1087" s="400">
        <v>4</v>
      </c>
      <c r="F1087" s="400" t="s">
        <v>1012</v>
      </c>
      <c r="G1087" s="690"/>
      <c r="H1087" s="713"/>
      <c r="I1087" s="713">
        <f t="shared" si="32"/>
        <v>0</v>
      </c>
      <c r="J1087" s="713">
        <f t="shared" si="33"/>
        <v>0</v>
      </c>
      <c r="K1087" s="401"/>
    </row>
    <row r="1088" spans="1:11" ht="24" customHeight="1">
      <c r="A1088" s="399" t="s">
        <v>1907</v>
      </c>
      <c r="B1088" s="399" t="s">
        <v>1908</v>
      </c>
      <c r="C1088" s="399">
        <v>1</v>
      </c>
      <c r="D1088" s="400" t="s">
        <v>1898</v>
      </c>
      <c r="E1088" s="400">
        <v>4</v>
      </c>
      <c r="F1088" s="400" t="s">
        <v>1012</v>
      </c>
      <c r="G1088" s="690"/>
      <c r="H1088" s="713"/>
      <c r="I1088" s="713">
        <f t="shared" si="32"/>
        <v>0</v>
      </c>
      <c r="J1088" s="713">
        <f t="shared" si="33"/>
        <v>0</v>
      </c>
      <c r="K1088" s="401"/>
    </row>
    <row r="1089" spans="1:11" ht="24" customHeight="1">
      <c r="A1089" s="399" t="s">
        <v>1909</v>
      </c>
      <c r="B1089" s="399" t="s">
        <v>1910</v>
      </c>
      <c r="C1089" s="399">
        <v>1</v>
      </c>
      <c r="D1089" s="400" t="s">
        <v>1898</v>
      </c>
      <c r="E1089" s="400">
        <v>4</v>
      </c>
      <c r="F1089" s="400" t="s">
        <v>1012</v>
      </c>
      <c r="G1089" s="690"/>
      <c r="H1089" s="713"/>
      <c r="I1089" s="713">
        <f t="shared" si="32"/>
        <v>0</v>
      </c>
      <c r="J1089" s="713">
        <f t="shared" si="33"/>
        <v>0</v>
      </c>
      <c r="K1089" s="401"/>
    </row>
    <row r="1090" spans="1:11" ht="24" customHeight="1">
      <c r="A1090" s="399" t="s">
        <v>1911</v>
      </c>
      <c r="B1090" s="399" t="s">
        <v>1912</v>
      </c>
      <c r="C1090" s="399">
        <v>1</v>
      </c>
      <c r="D1090" s="400" t="s">
        <v>1898</v>
      </c>
      <c r="E1090" s="400">
        <v>4</v>
      </c>
      <c r="F1090" s="400" t="s">
        <v>1012</v>
      </c>
      <c r="G1090" s="690"/>
      <c r="H1090" s="713"/>
      <c r="I1090" s="713">
        <f t="shared" ref="I1090:I1153" si="34">H1090 * 1.15</f>
        <v>0</v>
      </c>
      <c r="J1090" s="713">
        <f t="shared" ref="J1090:J1153" si="35">H1090 * 1.3</f>
        <v>0</v>
      </c>
      <c r="K1090" s="401"/>
    </row>
    <row r="1091" spans="1:11" ht="24" customHeight="1">
      <c r="A1091" s="399" t="s">
        <v>1913</v>
      </c>
      <c r="B1091" s="399" t="s">
        <v>1914</v>
      </c>
      <c r="C1091" s="399">
        <v>1</v>
      </c>
      <c r="D1091" s="400" t="s">
        <v>1898</v>
      </c>
      <c r="E1091" s="400">
        <v>4</v>
      </c>
      <c r="F1091" s="400" t="s">
        <v>1012</v>
      </c>
      <c r="G1091" s="690"/>
      <c r="H1091" s="713"/>
      <c r="I1091" s="713">
        <f t="shared" si="34"/>
        <v>0</v>
      </c>
      <c r="J1091" s="713">
        <f t="shared" si="35"/>
        <v>0</v>
      </c>
      <c r="K1091" s="401"/>
    </row>
    <row r="1092" spans="1:11" ht="24" customHeight="1">
      <c r="A1092" s="33" t="s">
        <v>1056</v>
      </c>
      <c r="B1092" s="33" t="s">
        <v>147</v>
      </c>
      <c r="C1092" s="33">
        <v>5</v>
      </c>
      <c r="D1092" s="33" t="s">
        <v>992</v>
      </c>
      <c r="E1092" s="33">
        <v>4</v>
      </c>
      <c r="F1092" s="33"/>
      <c r="G1092" s="522"/>
      <c r="H1092" s="707"/>
      <c r="I1092" s="707">
        <f t="shared" si="34"/>
        <v>0</v>
      </c>
      <c r="J1092" s="707">
        <f t="shared" si="35"/>
        <v>0</v>
      </c>
      <c r="K1092" s="70"/>
    </row>
    <row r="1093" spans="1:11" ht="24" customHeight="1">
      <c r="A1093" s="33" t="s">
        <v>2396</v>
      </c>
      <c r="B1093" s="33" t="s">
        <v>10</v>
      </c>
      <c r="C1093" s="33">
        <v>19</v>
      </c>
      <c r="D1093" s="33" t="s">
        <v>2624</v>
      </c>
      <c r="E1093" s="33">
        <v>3</v>
      </c>
      <c r="F1093" s="33"/>
      <c r="G1093" s="522"/>
      <c r="H1093" s="707">
        <v>5</v>
      </c>
      <c r="I1093" s="707">
        <f t="shared" si="34"/>
        <v>5.75</v>
      </c>
      <c r="J1093" s="707">
        <f t="shared" si="35"/>
        <v>6.5</v>
      </c>
      <c r="K1093" s="70" t="s">
        <v>51</v>
      </c>
    </row>
    <row r="1094" spans="1:11" ht="24" customHeight="1">
      <c r="A1094" s="33" t="s">
        <v>2396</v>
      </c>
      <c r="B1094" s="33" t="s">
        <v>10</v>
      </c>
      <c r="C1094" s="33">
        <v>8</v>
      </c>
      <c r="D1094" s="33" t="s">
        <v>2363</v>
      </c>
      <c r="E1094" s="33">
        <v>4</v>
      </c>
      <c r="F1094" s="33"/>
      <c r="G1094" s="522"/>
      <c r="H1094" s="707">
        <v>5</v>
      </c>
      <c r="I1094" s="707">
        <f t="shared" si="34"/>
        <v>5.75</v>
      </c>
      <c r="J1094" s="707">
        <f t="shared" si="35"/>
        <v>6.5</v>
      </c>
      <c r="K1094" s="70" t="s">
        <v>1062</v>
      </c>
    </row>
    <row r="1095" spans="1:11" ht="24" customHeight="1">
      <c r="A1095" s="15" t="s">
        <v>2909</v>
      </c>
      <c r="B1095" s="11" t="s">
        <v>458</v>
      </c>
      <c r="C1095" s="11">
        <v>1</v>
      </c>
      <c r="D1095" s="131" t="s">
        <v>2882</v>
      </c>
      <c r="E1095" s="17">
        <v>3</v>
      </c>
      <c r="F1095" s="17"/>
      <c r="G1095" s="687"/>
      <c r="H1095" s="707">
        <v>1350</v>
      </c>
      <c r="I1095" s="707">
        <f t="shared" si="34"/>
        <v>1552.4999999999998</v>
      </c>
      <c r="J1095" s="707">
        <f t="shared" si="35"/>
        <v>1755</v>
      </c>
      <c r="K1095" s="70"/>
    </row>
    <row r="1096" spans="1:11" ht="24" customHeight="1">
      <c r="A1096" s="33" t="s">
        <v>3397</v>
      </c>
      <c r="B1096" s="33" t="s">
        <v>1197</v>
      </c>
      <c r="C1096" s="33">
        <v>1</v>
      </c>
      <c r="D1096" s="33" t="s">
        <v>3348</v>
      </c>
      <c r="E1096" s="33">
        <v>4</v>
      </c>
      <c r="F1096" s="33"/>
      <c r="G1096" s="522"/>
      <c r="H1096" s="707"/>
      <c r="I1096" s="707">
        <f t="shared" si="34"/>
        <v>0</v>
      </c>
      <c r="J1096" s="707">
        <f t="shared" si="35"/>
        <v>0</v>
      </c>
      <c r="K1096" s="70"/>
    </row>
    <row r="1097" spans="1:11" ht="24" customHeight="1">
      <c r="A1097" s="33" t="s">
        <v>1011</v>
      </c>
      <c r="B1097" s="33" t="s">
        <v>678</v>
      </c>
      <c r="C1097" s="33">
        <v>1</v>
      </c>
      <c r="D1097" s="33" t="s">
        <v>992</v>
      </c>
      <c r="E1097" s="33">
        <v>3</v>
      </c>
      <c r="F1097" s="57" t="s">
        <v>1012</v>
      </c>
      <c r="G1097" s="57"/>
      <c r="H1097" s="707"/>
      <c r="I1097" s="707">
        <f t="shared" si="34"/>
        <v>0</v>
      </c>
      <c r="J1097" s="707">
        <f t="shared" si="35"/>
        <v>0</v>
      </c>
      <c r="K1097" s="70"/>
    </row>
    <row r="1098" spans="1:11" ht="24" customHeight="1">
      <c r="A1098" s="33" t="s">
        <v>1292</v>
      </c>
      <c r="B1098" s="33" t="s">
        <v>269</v>
      </c>
      <c r="C1098" s="33">
        <v>4</v>
      </c>
      <c r="D1098" s="33" t="s">
        <v>1201</v>
      </c>
      <c r="E1098" s="33">
        <v>4</v>
      </c>
      <c r="F1098" s="33"/>
      <c r="G1098" s="522"/>
      <c r="H1098" s="707">
        <v>5</v>
      </c>
      <c r="I1098" s="707">
        <f t="shared" si="34"/>
        <v>5.75</v>
      </c>
      <c r="J1098" s="707">
        <f t="shared" si="35"/>
        <v>6.5</v>
      </c>
      <c r="K1098" s="70"/>
    </row>
    <row r="1099" spans="1:11" ht="24" customHeight="1">
      <c r="A1099" s="2" t="s">
        <v>484</v>
      </c>
      <c r="B1099" s="2" t="s">
        <v>485</v>
      </c>
      <c r="C1099" s="2">
        <v>1</v>
      </c>
      <c r="D1099" s="2" t="s">
        <v>274</v>
      </c>
      <c r="E1099" s="33">
        <v>3</v>
      </c>
      <c r="F1099" s="33"/>
      <c r="G1099" s="522"/>
      <c r="H1099" s="707">
        <v>50</v>
      </c>
      <c r="I1099" s="707">
        <f t="shared" si="34"/>
        <v>57.499999999999993</v>
      </c>
      <c r="J1099" s="707">
        <f t="shared" si="35"/>
        <v>65</v>
      </c>
      <c r="K1099" s="70"/>
    </row>
    <row r="1100" spans="1:11" ht="24" customHeight="1">
      <c r="A1100" s="11" t="s">
        <v>484</v>
      </c>
      <c r="B1100" s="11" t="s">
        <v>485</v>
      </c>
      <c r="C1100" s="11">
        <v>4</v>
      </c>
      <c r="D1100" s="131" t="s">
        <v>3451</v>
      </c>
      <c r="E1100" s="15">
        <v>3</v>
      </c>
      <c r="F1100" s="15"/>
      <c r="G1100" s="684"/>
      <c r="H1100" s="707"/>
      <c r="I1100" s="707">
        <f t="shared" si="34"/>
        <v>0</v>
      </c>
      <c r="J1100" s="707">
        <f t="shared" si="35"/>
        <v>0</v>
      </c>
      <c r="K1100" s="70"/>
    </row>
    <row r="1101" spans="1:11" ht="24" customHeight="1">
      <c r="A1101" s="33" t="s">
        <v>1150</v>
      </c>
      <c r="B1101" s="33" t="s">
        <v>485</v>
      </c>
      <c r="C1101" s="33">
        <v>4</v>
      </c>
      <c r="D1101" s="33" t="s">
        <v>1141</v>
      </c>
      <c r="E1101" s="33">
        <v>1</v>
      </c>
      <c r="F1101" s="33"/>
      <c r="G1101" s="522"/>
      <c r="H1101" s="707">
        <v>20</v>
      </c>
      <c r="I1101" s="707">
        <f t="shared" si="34"/>
        <v>23</v>
      </c>
      <c r="J1101" s="707">
        <f t="shared" si="35"/>
        <v>26</v>
      </c>
      <c r="K1101" s="70"/>
    </row>
    <row r="1102" spans="1:11" ht="24" customHeight="1">
      <c r="A1102" s="74" t="s">
        <v>1322</v>
      </c>
      <c r="B1102" s="74" t="s">
        <v>34</v>
      </c>
      <c r="C1102" s="74">
        <v>2</v>
      </c>
      <c r="D1102" s="33" t="s">
        <v>1201</v>
      </c>
      <c r="E1102" s="33">
        <v>5</v>
      </c>
      <c r="F1102" s="86"/>
      <c r="G1102" s="691"/>
      <c r="H1102" s="714">
        <v>100</v>
      </c>
      <c r="I1102" s="714">
        <f t="shared" si="34"/>
        <v>114.99999999999999</v>
      </c>
      <c r="J1102" s="714">
        <f t="shared" si="35"/>
        <v>130</v>
      </c>
      <c r="K1102" s="70"/>
    </row>
    <row r="1103" spans="1:11" ht="24" customHeight="1">
      <c r="A1103" s="2" t="s">
        <v>3661</v>
      </c>
      <c r="B1103" s="2" t="s">
        <v>2369</v>
      </c>
      <c r="C1103" s="2">
        <v>1</v>
      </c>
      <c r="D1103" s="2" t="s">
        <v>3636</v>
      </c>
      <c r="E1103" s="33">
        <v>2</v>
      </c>
      <c r="F1103" s="33"/>
      <c r="G1103" s="522"/>
      <c r="H1103" s="707"/>
      <c r="I1103" s="707">
        <f t="shared" si="34"/>
        <v>0</v>
      </c>
      <c r="J1103" s="707">
        <f t="shared" si="35"/>
        <v>0</v>
      </c>
      <c r="K1103" s="55"/>
    </row>
    <row r="1104" spans="1:11" ht="24" customHeight="1">
      <c r="A1104" s="33" t="s">
        <v>2008</v>
      </c>
      <c r="B1104" s="33" t="s">
        <v>2009</v>
      </c>
      <c r="C1104" s="33">
        <v>2</v>
      </c>
      <c r="D1104" s="33" t="s">
        <v>1938</v>
      </c>
      <c r="E1104" s="33">
        <v>2</v>
      </c>
      <c r="F1104" s="33"/>
      <c r="G1104" s="522"/>
      <c r="H1104" s="707"/>
      <c r="I1104" s="707">
        <f t="shared" si="34"/>
        <v>0</v>
      </c>
      <c r="J1104" s="707">
        <f t="shared" si="35"/>
        <v>0</v>
      </c>
      <c r="K1104" s="70"/>
    </row>
    <row r="1105" spans="1:11" ht="24" customHeight="1">
      <c r="A1105" s="33" t="s">
        <v>2047</v>
      </c>
      <c r="B1105" s="33" t="s">
        <v>2048</v>
      </c>
      <c r="C1105" s="33">
        <v>2</v>
      </c>
      <c r="D1105" s="33" t="s">
        <v>2026</v>
      </c>
      <c r="E1105" s="33">
        <v>4</v>
      </c>
      <c r="F1105" s="33"/>
      <c r="G1105" s="522"/>
      <c r="H1105" s="707"/>
      <c r="I1105" s="707">
        <f t="shared" si="34"/>
        <v>0</v>
      </c>
      <c r="J1105" s="707">
        <f t="shared" si="35"/>
        <v>0</v>
      </c>
      <c r="K1105" s="70"/>
    </row>
    <row r="1106" spans="1:11" ht="24" customHeight="1">
      <c r="A1106" s="74" t="s">
        <v>2047</v>
      </c>
      <c r="B1106" s="74" t="s">
        <v>147</v>
      </c>
      <c r="C1106" s="74">
        <v>1</v>
      </c>
      <c r="D1106" s="33" t="s">
        <v>2111</v>
      </c>
      <c r="E1106" s="33">
        <v>2</v>
      </c>
      <c r="F1106" s="33"/>
      <c r="G1106" s="522"/>
      <c r="H1106" s="707"/>
      <c r="I1106" s="707">
        <f t="shared" si="34"/>
        <v>0</v>
      </c>
      <c r="J1106" s="707">
        <f t="shared" si="35"/>
        <v>0</v>
      </c>
      <c r="K1106" s="70"/>
    </row>
    <row r="1107" spans="1:11" ht="24" customHeight="1">
      <c r="A1107" s="33" t="s">
        <v>1144</v>
      </c>
      <c r="B1107" s="33" t="s">
        <v>418</v>
      </c>
      <c r="C1107" s="33">
        <v>2</v>
      </c>
      <c r="D1107" s="33" t="s">
        <v>1141</v>
      </c>
      <c r="E1107" s="33">
        <v>1</v>
      </c>
      <c r="F1107" s="33"/>
      <c r="G1107" s="522"/>
      <c r="H1107" s="707"/>
      <c r="I1107" s="707">
        <f t="shared" si="34"/>
        <v>0</v>
      </c>
      <c r="J1107" s="707">
        <f t="shared" si="35"/>
        <v>0</v>
      </c>
      <c r="K1107" s="70"/>
    </row>
    <row r="1108" spans="1:11" ht="24" customHeight="1">
      <c r="A1108" s="3" t="s">
        <v>2917</v>
      </c>
      <c r="B1108" s="3" t="s">
        <v>1465</v>
      </c>
      <c r="C1108" s="3">
        <v>3</v>
      </c>
      <c r="D1108" s="15" t="s">
        <v>2918</v>
      </c>
      <c r="E1108" s="15">
        <v>1</v>
      </c>
      <c r="F1108" s="15"/>
      <c r="G1108" s="684"/>
      <c r="H1108" s="707"/>
      <c r="I1108" s="707">
        <f t="shared" si="34"/>
        <v>0</v>
      </c>
      <c r="J1108" s="707">
        <f t="shared" si="35"/>
        <v>0</v>
      </c>
      <c r="K1108" s="70"/>
    </row>
    <row r="1109" spans="1:11" ht="24" customHeight="1">
      <c r="A1109" s="33" t="s">
        <v>2068</v>
      </c>
      <c r="B1109" s="33" t="s">
        <v>34</v>
      </c>
      <c r="C1109" s="33">
        <v>4</v>
      </c>
      <c r="D1109" s="33" t="s">
        <v>2026</v>
      </c>
      <c r="E1109" s="33">
        <v>4</v>
      </c>
      <c r="F1109" s="33"/>
      <c r="G1109" s="522"/>
      <c r="H1109" s="707">
        <v>180</v>
      </c>
      <c r="I1109" s="707">
        <f t="shared" si="34"/>
        <v>206.99999999999997</v>
      </c>
      <c r="J1109" s="707">
        <f t="shared" si="35"/>
        <v>234</v>
      </c>
      <c r="K1109" s="70"/>
    </row>
    <row r="1110" spans="1:11" ht="24" customHeight="1">
      <c r="A1110" s="3" t="s">
        <v>2978</v>
      </c>
      <c r="B1110" s="3" t="s">
        <v>1006</v>
      </c>
      <c r="C1110" s="3">
        <v>5</v>
      </c>
      <c r="D1110" s="71" t="s">
        <v>2947</v>
      </c>
      <c r="E1110" s="354">
        <v>5</v>
      </c>
      <c r="F1110" s="354"/>
      <c r="G1110" s="688"/>
      <c r="H1110" s="707"/>
      <c r="I1110" s="707">
        <f t="shared" si="34"/>
        <v>0</v>
      </c>
      <c r="J1110" s="707">
        <f t="shared" si="35"/>
        <v>0</v>
      </c>
      <c r="K1110" s="70"/>
    </row>
    <row r="1111" spans="1:11" ht="24" customHeight="1">
      <c r="A1111" s="11" t="s">
        <v>3092</v>
      </c>
      <c r="B1111" s="34" t="s">
        <v>43</v>
      </c>
      <c r="C1111" s="11">
        <v>1</v>
      </c>
      <c r="D1111" s="33" t="s">
        <v>3053</v>
      </c>
      <c r="E1111" s="33">
        <v>3</v>
      </c>
      <c r="F1111" s="33"/>
      <c r="G1111" s="522"/>
      <c r="H1111" s="707"/>
      <c r="I1111" s="707">
        <f t="shared" si="34"/>
        <v>0</v>
      </c>
      <c r="J1111" s="707">
        <f t="shared" si="35"/>
        <v>0</v>
      </c>
      <c r="K1111" s="70"/>
    </row>
    <row r="1112" spans="1:11" ht="24" customHeight="1">
      <c r="A1112" s="33" t="s">
        <v>2259</v>
      </c>
      <c r="B1112" s="66" t="s">
        <v>2260</v>
      </c>
      <c r="C1112" s="66">
        <v>1</v>
      </c>
      <c r="D1112" s="66" t="s">
        <v>2191</v>
      </c>
      <c r="E1112" s="66">
        <v>5</v>
      </c>
      <c r="F1112" s="66"/>
      <c r="G1112" s="689"/>
      <c r="H1112" s="707"/>
      <c r="I1112" s="707">
        <f t="shared" si="34"/>
        <v>0</v>
      </c>
      <c r="J1112" s="707">
        <f t="shared" si="35"/>
        <v>0</v>
      </c>
      <c r="K1112" s="70"/>
    </row>
    <row r="1113" spans="1:11" ht="24" customHeight="1">
      <c r="A1113" s="33" t="s">
        <v>1206</v>
      </c>
      <c r="B1113" s="33" t="s">
        <v>115</v>
      </c>
      <c r="C1113" s="33">
        <v>24</v>
      </c>
      <c r="D1113" s="33" t="s">
        <v>1201</v>
      </c>
      <c r="E1113" s="33">
        <v>3</v>
      </c>
      <c r="F1113" s="33"/>
      <c r="G1113" s="522"/>
      <c r="H1113" s="707"/>
      <c r="I1113" s="707">
        <f t="shared" si="34"/>
        <v>0</v>
      </c>
      <c r="J1113" s="707">
        <f t="shared" si="35"/>
        <v>0</v>
      </c>
      <c r="K1113" s="70"/>
    </row>
    <row r="1114" spans="1:11" ht="24" customHeight="1">
      <c r="A1114" s="33" t="s">
        <v>1206</v>
      </c>
      <c r="B1114" s="33" t="s">
        <v>115</v>
      </c>
      <c r="C1114" s="33">
        <v>16</v>
      </c>
      <c r="D1114" s="33" t="s">
        <v>2276</v>
      </c>
      <c r="E1114" s="33">
        <v>1</v>
      </c>
      <c r="F1114" s="33"/>
      <c r="G1114" s="522"/>
      <c r="H1114" s="707"/>
      <c r="I1114" s="707">
        <f t="shared" si="34"/>
        <v>0</v>
      </c>
      <c r="J1114" s="707">
        <f t="shared" si="35"/>
        <v>0</v>
      </c>
      <c r="K1114" s="70"/>
    </row>
    <row r="1115" spans="1:11" ht="24" customHeight="1">
      <c r="A1115" s="2" t="s">
        <v>838</v>
      </c>
      <c r="B1115" s="2" t="s">
        <v>19</v>
      </c>
      <c r="C1115" s="2">
        <v>40</v>
      </c>
      <c r="D1115" s="2" t="s">
        <v>593</v>
      </c>
      <c r="E1115" s="33">
        <v>3</v>
      </c>
      <c r="F1115" s="33"/>
      <c r="G1115" s="522"/>
      <c r="H1115" s="707">
        <v>0.222</v>
      </c>
      <c r="I1115" s="707">
        <f t="shared" si="34"/>
        <v>0.25529999999999997</v>
      </c>
      <c r="J1115" s="707">
        <f t="shared" si="35"/>
        <v>0.28860000000000002</v>
      </c>
      <c r="K1115" s="70"/>
    </row>
    <row r="1116" spans="1:11" ht="24" customHeight="1">
      <c r="A1116" s="33" t="s">
        <v>838</v>
      </c>
      <c r="B1116" s="243" t="s">
        <v>19</v>
      </c>
      <c r="C1116" s="71">
        <v>61</v>
      </c>
      <c r="D1116" s="33" t="s">
        <v>3053</v>
      </c>
      <c r="E1116" s="71">
        <v>4</v>
      </c>
      <c r="F1116" s="71"/>
      <c r="G1116" s="686"/>
      <c r="H1116" s="707">
        <v>0.5</v>
      </c>
      <c r="I1116" s="707">
        <f t="shared" si="34"/>
        <v>0.57499999999999996</v>
      </c>
      <c r="J1116" s="707">
        <f t="shared" si="35"/>
        <v>0.65</v>
      </c>
      <c r="K1116" s="70"/>
    </row>
    <row r="1117" spans="1:11" ht="24" customHeight="1">
      <c r="A1117" s="33" t="s">
        <v>1522</v>
      </c>
      <c r="B1117" s="33" t="s">
        <v>640</v>
      </c>
      <c r="C1117" s="33">
        <v>6</v>
      </c>
      <c r="D1117" s="33" t="s">
        <v>1494</v>
      </c>
      <c r="E1117" s="33">
        <v>2</v>
      </c>
      <c r="F1117" s="33"/>
      <c r="G1117" s="522"/>
      <c r="H1117" s="707"/>
      <c r="I1117" s="707">
        <f t="shared" si="34"/>
        <v>0</v>
      </c>
      <c r="J1117" s="707">
        <f t="shared" si="35"/>
        <v>0</v>
      </c>
      <c r="K1117" s="70"/>
    </row>
    <row r="1118" spans="1:11" ht="24" customHeight="1">
      <c r="A1118" s="3" t="s">
        <v>2919</v>
      </c>
      <c r="B1118" s="3" t="s">
        <v>1030</v>
      </c>
      <c r="C1118" s="3">
        <v>1</v>
      </c>
      <c r="D1118" s="15" t="s">
        <v>2918</v>
      </c>
      <c r="E1118" s="15">
        <v>1</v>
      </c>
      <c r="F1118" s="15"/>
      <c r="G1118" s="684"/>
      <c r="H1118" s="707"/>
      <c r="I1118" s="707">
        <f t="shared" si="34"/>
        <v>0</v>
      </c>
      <c r="J1118" s="707">
        <f t="shared" si="35"/>
        <v>0</v>
      </c>
      <c r="K1118" s="70"/>
    </row>
    <row r="1119" spans="1:11" ht="24" customHeight="1">
      <c r="A1119" s="17" t="s">
        <v>3536</v>
      </c>
      <c r="B1119" s="17" t="s">
        <v>1649</v>
      </c>
      <c r="C1119" s="17">
        <v>1</v>
      </c>
      <c r="D1119" s="131" t="s">
        <v>3451</v>
      </c>
      <c r="E1119" s="15">
        <v>3</v>
      </c>
      <c r="F1119" s="15"/>
      <c r="G1119" s="684"/>
      <c r="H1119" s="707"/>
      <c r="I1119" s="707">
        <f t="shared" si="34"/>
        <v>0</v>
      </c>
      <c r="J1119" s="707">
        <f t="shared" si="35"/>
        <v>0</v>
      </c>
      <c r="K1119" s="70"/>
    </row>
    <row r="1120" spans="1:11" ht="24" customHeight="1">
      <c r="A1120" s="74" t="s">
        <v>1099</v>
      </c>
      <c r="B1120" s="74" t="s">
        <v>56</v>
      </c>
      <c r="C1120" s="74">
        <v>6</v>
      </c>
      <c r="D1120" s="33" t="s">
        <v>992</v>
      </c>
      <c r="E1120" s="33">
        <v>5</v>
      </c>
      <c r="F1120" s="33"/>
      <c r="G1120" s="522"/>
      <c r="H1120" s="707">
        <v>75</v>
      </c>
      <c r="I1120" s="707">
        <f t="shared" si="34"/>
        <v>86.25</v>
      </c>
      <c r="J1120" s="707">
        <f t="shared" si="35"/>
        <v>97.5</v>
      </c>
      <c r="K1120" s="70"/>
    </row>
    <row r="1121" spans="1:11" ht="24" customHeight="1">
      <c r="A1121" s="11" t="s">
        <v>1750</v>
      </c>
      <c r="B1121" s="11" t="s">
        <v>83</v>
      </c>
      <c r="C1121" s="11">
        <v>5</v>
      </c>
      <c r="D1121" s="131" t="s">
        <v>1723</v>
      </c>
      <c r="E1121" s="15">
        <v>1</v>
      </c>
      <c r="F1121" s="15"/>
      <c r="G1121" s="684"/>
      <c r="H1121" s="707">
        <v>40</v>
      </c>
      <c r="I1121" s="707">
        <f t="shared" si="34"/>
        <v>46</v>
      </c>
      <c r="J1121" s="707">
        <f t="shared" si="35"/>
        <v>52</v>
      </c>
      <c r="K1121" s="70"/>
    </row>
    <row r="1122" spans="1:11" ht="24" customHeight="1">
      <c r="A1122" s="74" t="s">
        <v>703</v>
      </c>
      <c r="B1122" s="74" t="s">
        <v>147</v>
      </c>
      <c r="C1122" s="2">
        <v>2</v>
      </c>
      <c r="D1122" s="33" t="s">
        <v>992</v>
      </c>
      <c r="E1122" s="33">
        <v>5</v>
      </c>
      <c r="F1122" s="33"/>
      <c r="G1122" s="522"/>
      <c r="H1122" s="707"/>
      <c r="I1122" s="707">
        <f t="shared" si="34"/>
        <v>0</v>
      </c>
      <c r="J1122" s="707">
        <f t="shared" si="35"/>
        <v>0</v>
      </c>
      <c r="K1122" s="70"/>
    </row>
    <row r="1123" spans="1:11" ht="24" customHeight="1">
      <c r="A1123" s="59" t="s">
        <v>2674</v>
      </c>
      <c r="B1123" s="59" t="s">
        <v>147</v>
      </c>
      <c r="C1123" s="59">
        <v>167</v>
      </c>
      <c r="D1123" s="33" t="s">
        <v>2624</v>
      </c>
      <c r="E1123" s="354">
        <v>5</v>
      </c>
      <c r="F1123" s="354"/>
      <c r="G1123" s="688"/>
      <c r="H1123" s="707"/>
      <c r="I1123" s="707">
        <f t="shared" si="34"/>
        <v>0</v>
      </c>
      <c r="J1123" s="707">
        <f t="shared" si="35"/>
        <v>0</v>
      </c>
      <c r="K1123" s="70"/>
    </row>
    <row r="1124" spans="1:11" ht="24" customHeight="1">
      <c r="A1124" s="33" t="s">
        <v>2397</v>
      </c>
      <c r="B1124" s="75" t="s">
        <v>10</v>
      </c>
      <c r="C1124" s="33">
        <v>22</v>
      </c>
      <c r="D1124" s="33" t="s">
        <v>2363</v>
      </c>
      <c r="E1124" s="33">
        <v>4</v>
      </c>
      <c r="F1124" s="33"/>
      <c r="G1124" s="522"/>
      <c r="H1124" s="707">
        <v>4</v>
      </c>
      <c r="I1124" s="707">
        <f t="shared" si="34"/>
        <v>4.5999999999999996</v>
      </c>
      <c r="J1124" s="707">
        <f t="shared" si="35"/>
        <v>5.2</v>
      </c>
      <c r="K1124" s="70"/>
    </row>
    <row r="1125" spans="1:11" ht="24" customHeight="1">
      <c r="A1125" s="33" t="s">
        <v>2397</v>
      </c>
      <c r="B1125" s="75" t="s">
        <v>10</v>
      </c>
      <c r="C1125" s="33">
        <v>6</v>
      </c>
      <c r="D1125" s="33" t="s">
        <v>2624</v>
      </c>
      <c r="E1125" s="33">
        <v>3</v>
      </c>
      <c r="F1125" s="33"/>
      <c r="G1125" s="522"/>
      <c r="H1125" s="707">
        <v>4</v>
      </c>
      <c r="I1125" s="707">
        <f t="shared" si="34"/>
        <v>4.5999999999999996</v>
      </c>
      <c r="J1125" s="707">
        <f t="shared" si="35"/>
        <v>5.2</v>
      </c>
      <c r="K1125" s="70"/>
    </row>
    <row r="1126" spans="1:11" ht="24" customHeight="1">
      <c r="A1126" s="33" t="s">
        <v>2397</v>
      </c>
      <c r="B1126" s="243" t="s">
        <v>10</v>
      </c>
      <c r="C1126" s="71">
        <v>15</v>
      </c>
      <c r="D1126" s="71" t="s">
        <v>2947</v>
      </c>
      <c r="E1126" s="71">
        <v>3</v>
      </c>
      <c r="F1126" s="71"/>
      <c r="G1126" s="686"/>
      <c r="H1126" s="709">
        <v>4</v>
      </c>
      <c r="I1126" s="709">
        <f t="shared" si="34"/>
        <v>4.5999999999999996</v>
      </c>
      <c r="J1126" s="709">
        <f t="shared" si="35"/>
        <v>5.2</v>
      </c>
      <c r="K1126" s="70"/>
    </row>
    <row r="1127" spans="1:11" ht="24" customHeight="1">
      <c r="A1127" s="33" t="s">
        <v>2020</v>
      </c>
      <c r="B1127" s="33" t="s">
        <v>10</v>
      </c>
      <c r="C1127" s="33">
        <v>123</v>
      </c>
      <c r="D1127" s="33" t="s">
        <v>1938</v>
      </c>
      <c r="E1127" s="33">
        <v>2</v>
      </c>
      <c r="F1127" s="33"/>
      <c r="G1127" s="522"/>
      <c r="H1127" s="707"/>
      <c r="I1127" s="707">
        <f t="shared" si="34"/>
        <v>0</v>
      </c>
      <c r="J1127" s="707">
        <f t="shared" si="35"/>
        <v>0</v>
      </c>
      <c r="K1127" s="70"/>
    </row>
    <row r="1128" spans="1:11" ht="24" customHeight="1">
      <c r="A1128" s="33" t="s">
        <v>2020</v>
      </c>
      <c r="B1128" s="75" t="s">
        <v>10</v>
      </c>
      <c r="C1128" s="33">
        <v>31</v>
      </c>
      <c r="D1128" s="33" t="s">
        <v>2111</v>
      </c>
      <c r="E1128" s="33">
        <v>1</v>
      </c>
      <c r="F1128" s="33"/>
      <c r="G1128" s="522"/>
      <c r="H1128" s="707">
        <v>50</v>
      </c>
      <c r="I1128" s="707">
        <f t="shared" si="34"/>
        <v>57.499999999999993</v>
      </c>
      <c r="J1128" s="707">
        <f t="shared" si="35"/>
        <v>65</v>
      </c>
      <c r="K1128" s="70"/>
    </row>
    <row r="1129" spans="1:11" ht="24" customHeight="1">
      <c r="A1129" s="33" t="s">
        <v>2020</v>
      </c>
      <c r="B1129" s="75" t="s">
        <v>10</v>
      </c>
      <c r="C1129" s="33">
        <v>12</v>
      </c>
      <c r="D1129" s="33" t="s">
        <v>2363</v>
      </c>
      <c r="E1129" s="33">
        <v>4</v>
      </c>
      <c r="F1129" s="33"/>
      <c r="G1129" s="522"/>
      <c r="H1129" s="707">
        <v>50</v>
      </c>
      <c r="I1129" s="707">
        <f t="shared" si="34"/>
        <v>57.499999999999993</v>
      </c>
      <c r="J1129" s="707">
        <f t="shared" si="35"/>
        <v>65</v>
      </c>
      <c r="K1129" s="70"/>
    </row>
    <row r="1130" spans="1:11" ht="24" customHeight="1">
      <c r="A1130" s="33" t="s">
        <v>2122</v>
      </c>
      <c r="B1130" s="33" t="s">
        <v>10</v>
      </c>
      <c r="C1130" s="33">
        <v>16</v>
      </c>
      <c r="D1130" s="33" t="s">
        <v>2111</v>
      </c>
      <c r="E1130" s="33">
        <v>1</v>
      </c>
      <c r="F1130" s="33"/>
      <c r="G1130" s="522"/>
      <c r="H1130" s="707"/>
      <c r="I1130" s="707">
        <f t="shared" si="34"/>
        <v>0</v>
      </c>
      <c r="J1130" s="707">
        <f t="shared" si="35"/>
        <v>0</v>
      </c>
      <c r="K1130" s="70"/>
    </row>
    <row r="1131" spans="1:11" ht="24" customHeight="1">
      <c r="A1131" s="33" t="s">
        <v>2122</v>
      </c>
      <c r="B1131" s="75" t="s">
        <v>10</v>
      </c>
      <c r="C1131" s="33">
        <v>915</v>
      </c>
      <c r="D1131" s="33" t="s">
        <v>2276</v>
      </c>
      <c r="E1131" s="33">
        <v>2</v>
      </c>
      <c r="F1131" s="33"/>
      <c r="G1131" s="522"/>
      <c r="H1131" s="707"/>
      <c r="I1131" s="707">
        <f t="shared" si="34"/>
        <v>0</v>
      </c>
      <c r="J1131" s="707">
        <f t="shared" si="35"/>
        <v>0</v>
      </c>
      <c r="K1131" s="70"/>
    </row>
    <row r="1132" spans="1:11" ht="24" customHeight="1">
      <c r="A1132" s="33" t="s">
        <v>2122</v>
      </c>
      <c r="B1132" s="75" t="s">
        <v>10</v>
      </c>
      <c r="C1132" s="33">
        <v>20</v>
      </c>
      <c r="D1132" s="71" t="s">
        <v>2947</v>
      </c>
      <c r="E1132" s="33">
        <v>3</v>
      </c>
      <c r="F1132" s="33"/>
      <c r="G1132" s="522"/>
      <c r="H1132" s="707"/>
      <c r="I1132" s="707">
        <f t="shared" si="34"/>
        <v>0</v>
      </c>
      <c r="J1132" s="707">
        <f t="shared" si="35"/>
        <v>0</v>
      </c>
      <c r="K1132" s="70"/>
    </row>
    <row r="1133" spans="1:11" ht="24" customHeight="1">
      <c r="A1133" s="33" t="s">
        <v>954</v>
      </c>
      <c r="B1133" s="33" t="s">
        <v>25</v>
      </c>
      <c r="C1133" s="33">
        <v>9</v>
      </c>
      <c r="D1133" s="33" t="s">
        <v>910</v>
      </c>
      <c r="E1133" s="33">
        <v>2</v>
      </c>
      <c r="F1133" s="33"/>
      <c r="G1133" s="522"/>
      <c r="H1133" s="711">
        <v>2</v>
      </c>
      <c r="I1133" s="711">
        <f t="shared" si="34"/>
        <v>2.2999999999999998</v>
      </c>
      <c r="J1133" s="711">
        <f t="shared" si="35"/>
        <v>2.6</v>
      </c>
      <c r="K1133" s="70"/>
    </row>
    <row r="1134" spans="1:11" ht="24" customHeight="1">
      <c r="A1134" s="74" t="s">
        <v>1094</v>
      </c>
      <c r="B1134" s="74" t="s">
        <v>1030</v>
      </c>
      <c r="C1134" s="74">
        <v>6</v>
      </c>
      <c r="D1134" s="33" t="s">
        <v>992</v>
      </c>
      <c r="E1134" s="33">
        <v>5</v>
      </c>
      <c r="F1134" s="33"/>
      <c r="G1134" s="522"/>
      <c r="H1134" s="707"/>
      <c r="I1134" s="707">
        <f t="shared" si="34"/>
        <v>0</v>
      </c>
      <c r="J1134" s="707">
        <f t="shared" si="35"/>
        <v>0</v>
      </c>
      <c r="K1134" s="70"/>
    </row>
    <row r="1135" spans="1:11" ht="24" customHeight="1">
      <c r="A1135" s="3" t="s">
        <v>2920</v>
      </c>
      <c r="B1135" s="3" t="s">
        <v>1030</v>
      </c>
      <c r="C1135" s="3">
        <v>5</v>
      </c>
      <c r="D1135" s="15" t="s">
        <v>2918</v>
      </c>
      <c r="E1135" s="15">
        <v>1</v>
      </c>
      <c r="F1135" s="15"/>
      <c r="G1135" s="684"/>
      <c r="H1135" s="707"/>
      <c r="I1135" s="707">
        <f t="shared" si="34"/>
        <v>0</v>
      </c>
      <c r="J1135" s="707">
        <f t="shared" si="35"/>
        <v>0</v>
      </c>
      <c r="K1135" s="70"/>
    </row>
    <row r="1136" spans="1:11" ht="24" customHeight="1">
      <c r="A1136" s="33" t="s">
        <v>2605</v>
      </c>
      <c r="B1136" s="33" t="s">
        <v>678</v>
      </c>
      <c r="C1136" s="33">
        <v>1</v>
      </c>
      <c r="D1136" s="33" t="s">
        <v>2540</v>
      </c>
      <c r="E1136" s="33">
        <v>2</v>
      </c>
      <c r="F1136" s="33"/>
      <c r="G1136" s="522"/>
      <c r="H1136" s="707"/>
      <c r="I1136" s="707">
        <f t="shared" si="34"/>
        <v>0</v>
      </c>
      <c r="J1136" s="707">
        <f t="shared" si="35"/>
        <v>0</v>
      </c>
      <c r="K1136" s="70"/>
    </row>
    <row r="1137" spans="1:11" ht="24" customHeight="1">
      <c r="A1137" s="33" t="s">
        <v>2574</v>
      </c>
      <c r="B1137" s="33" t="s">
        <v>678</v>
      </c>
      <c r="C1137" s="33">
        <v>1</v>
      </c>
      <c r="D1137" s="33" t="s">
        <v>2540</v>
      </c>
      <c r="E1137" s="33">
        <v>2</v>
      </c>
      <c r="F1137" s="33"/>
      <c r="G1137" s="522"/>
      <c r="H1137" s="707"/>
      <c r="I1137" s="707">
        <f t="shared" si="34"/>
        <v>0</v>
      </c>
      <c r="J1137" s="707">
        <f t="shared" si="35"/>
        <v>0</v>
      </c>
      <c r="K1137" s="70"/>
    </row>
    <row r="1138" spans="1:11" ht="24" customHeight="1">
      <c r="A1138" s="11" t="s">
        <v>3054</v>
      </c>
      <c r="B1138" s="34" t="s">
        <v>3055</v>
      </c>
      <c r="C1138" s="11">
        <v>1</v>
      </c>
      <c r="D1138" s="33" t="s">
        <v>3053</v>
      </c>
      <c r="E1138" s="17">
        <v>2</v>
      </c>
      <c r="F1138" s="17"/>
      <c r="G1138" s="687"/>
      <c r="H1138" s="707"/>
      <c r="I1138" s="707">
        <f t="shared" si="34"/>
        <v>0</v>
      </c>
      <c r="J1138" s="707">
        <f t="shared" si="35"/>
        <v>0</v>
      </c>
      <c r="K1138" s="70"/>
    </row>
    <row r="1139" spans="1:11" ht="24" customHeight="1">
      <c r="A1139" s="11" t="s">
        <v>3537</v>
      </c>
      <c r="B1139" s="11" t="s">
        <v>3538</v>
      </c>
      <c r="C1139" s="11">
        <v>1</v>
      </c>
      <c r="D1139" s="131" t="s">
        <v>3451</v>
      </c>
      <c r="E1139" s="15">
        <v>3</v>
      </c>
      <c r="F1139" s="15"/>
      <c r="G1139" s="684"/>
      <c r="H1139" s="707"/>
      <c r="I1139" s="707">
        <f t="shared" si="34"/>
        <v>0</v>
      </c>
      <c r="J1139" s="707">
        <f t="shared" si="35"/>
        <v>0</v>
      </c>
      <c r="K1139" s="70"/>
    </row>
    <row r="1140" spans="1:11" ht="24" customHeight="1">
      <c r="A1140" s="33" t="s">
        <v>3105</v>
      </c>
      <c r="B1140" s="33" t="s">
        <v>558</v>
      </c>
      <c r="C1140" s="33">
        <v>16</v>
      </c>
      <c r="D1140" s="33" t="s">
        <v>3053</v>
      </c>
      <c r="E1140" s="33">
        <v>3</v>
      </c>
      <c r="F1140" s="33"/>
      <c r="G1140" s="522"/>
      <c r="H1140" s="707"/>
      <c r="I1140" s="707">
        <f t="shared" si="34"/>
        <v>0</v>
      </c>
      <c r="J1140" s="707">
        <f t="shared" si="35"/>
        <v>0</v>
      </c>
      <c r="K1140" s="70"/>
    </row>
    <row r="1141" spans="1:11" ht="24" customHeight="1">
      <c r="A1141" s="33" t="s">
        <v>3105</v>
      </c>
      <c r="B1141" s="75" t="s">
        <v>558</v>
      </c>
      <c r="C1141" s="33">
        <v>4</v>
      </c>
      <c r="D1141" s="33" t="s">
        <v>3279</v>
      </c>
      <c r="E1141" s="33">
        <v>3</v>
      </c>
      <c r="F1141" s="33"/>
      <c r="G1141" s="522"/>
      <c r="H1141" s="707"/>
      <c r="I1141" s="707">
        <f t="shared" si="34"/>
        <v>0</v>
      </c>
      <c r="J1141" s="707">
        <f t="shared" si="35"/>
        <v>0</v>
      </c>
      <c r="K1141" s="70"/>
    </row>
    <row r="1142" spans="1:11" ht="24" customHeight="1">
      <c r="A1142" s="10" t="s">
        <v>3056</v>
      </c>
      <c r="B1142" s="34" t="s">
        <v>41</v>
      </c>
      <c r="C1142" s="10">
        <v>2</v>
      </c>
      <c r="D1142" s="33" t="s">
        <v>3053</v>
      </c>
      <c r="E1142" s="17">
        <v>2</v>
      </c>
      <c r="F1142" s="17"/>
      <c r="G1142" s="687"/>
      <c r="H1142" s="707"/>
      <c r="I1142" s="707">
        <f t="shared" si="34"/>
        <v>0</v>
      </c>
      <c r="J1142" s="707">
        <f t="shared" si="35"/>
        <v>0</v>
      </c>
      <c r="K1142" s="70"/>
    </row>
    <row r="1143" spans="1:11" ht="24" customHeight="1">
      <c r="A1143" s="3" t="s">
        <v>2979</v>
      </c>
      <c r="B1143" s="3" t="s">
        <v>23</v>
      </c>
      <c r="C1143" s="3">
        <v>9</v>
      </c>
      <c r="D1143" s="71" t="s">
        <v>2947</v>
      </c>
      <c r="E1143" s="354">
        <v>5</v>
      </c>
      <c r="F1143" s="354"/>
      <c r="G1143" s="688"/>
      <c r="H1143" s="707"/>
      <c r="I1143" s="707">
        <f t="shared" si="34"/>
        <v>0</v>
      </c>
      <c r="J1143" s="707">
        <f t="shared" si="35"/>
        <v>0</v>
      </c>
      <c r="K1143" s="70"/>
    </row>
    <row r="1144" spans="1:11" ht="24" customHeight="1">
      <c r="A1144" s="33" t="s">
        <v>3057</v>
      </c>
      <c r="B1144" s="33" t="s">
        <v>389</v>
      </c>
      <c r="C1144" s="33">
        <v>11</v>
      </c>
      <c r="D1144" s="33" t="s">
        <v>3053</v>
      </c>
      <c r="E1144" s="33">
        <v>2</v>
      </c>
      <c r="F1144" s="33"/>
      <c r="G1144" s="522"/>
      <c r="H1144" s="707"/>
      <c r="I1144" s="707">
        <f t="shared" si="34"/>
        <v>0</v>
      </c>
      <c r="J1144" s="707">
        <f t="shared" si="35"/>
        <v>0</v>
      </c>
      <c r="K1144" s="70"/>
    </row>
    <row r="1145" spans="1:11" ht="24" customHeight="1">
      <c r="A1145" s="10" t="s">
        <v>3094</v>
      </c>
      <c r="B1145" s="34" t="s">
        <v>558</v>
      </c>
      <c r="C1145" s="10">
        <v>1</v>
      </c>
      <c r="D1145" s="33" t="s">
        <v>3053</v>
      </c>
      <c r="E1145" s="33">
        <v>3</v>
      </c>
      <c r="F1145" s="33"/>
      <c r="G1145" s="522"/>
      <c r="H1145" s="707"/>
      <c r="I1145" s="707">
        <f t="shared" si="34"/>
        <v>0</v>
      </c>
      <c r="J1145" s="707">
        <f t="shared" si="35"/>
        <v>0</v>
      </c>
      <c r="K1145" s="70"/>
    </row>
    <row r="1146" spans="1:11" ht="24" customHeight="1">
      <c r="A1146" s="11" t="s">
        <v>3454</v>
      </c>
      <c r="B1146" s="11" t="s">
        <v>558</v>
      </c>
      <c r="C1146" s="11">
        <v>24</v>
      </c>
      <c r="D1146" s="131" t="s">
        <v>3451</v>
      </c>
      <c r="E1146" s="15">
        <v>2</v>
      </c>
      <c r="F1146" s="15"/>
      <c r="G1146" s="684"/>
      <c r="H1146" s="707"/>
      <c r="I1146" s="707">
        <f t="shared" si="34"/>
        <v>0</v>
      </c>
      <c r="J1146" s="707">
        <f t="shared" si="35"/>
        <v>0</v>
      </c>
      <c r="K1146" s="70"/>
    </row>
    <row r="1147" spans="1:11" ht="24" customHeight="1">
      <c r="A1147" s="11" t="s">
        <v>3095</v>
      </c>
      <c r="B1147" s="34" t="s">
        <v>2981</v>
      </c>
      <c r="C1147" s="11">
        <v>1</v>
      </c>
      <c r="D1147" s="33" t="s">
        <v>3053</v>
      </c>
      <c r="E1147" s="33">
        <v>3</v>
      </c>
      <c r="F1147" s="33"/>
      <c r="G1147" s="522"/>
      <c r="H1147" s="707"/>
      <c r="I1147" s="707">
        <f t="shared" si="34"/>
        <v>0</v>
      </c>
      <c r="J1147" s="707">
        <f t="shared" si="35"/>
        <v>0</v>
      </c>
      <c r="K1147" s="70"/>
    </row>
    <row r="1148" spans="1:11" ht="24" customHeight="1">
      <c r="A1148" s="3" t="s">
        <v>2980</v>
      </c>
      <c r="B1148" s="3" t="s">
        <v>2981</v>
      </c>
      <c r="C1148" s="3">
        <v>1</v>
      </c>
      <c r="D1148" s="71" t="s">
        <v>2947</v>
      </c>
      <c r="E1148" s="354">
        <v>5</v>
      </c>
      <c r="F1148" s="354"/>
      <c r="G1148" s="688"/>
      <c r="H1148" s="707"/>
      <c r="I1148" s="707">
        <f t="shared" si="34"/>
        <v>0</v>
      </c>
      <c r="J1148" s="707">
        <f t="shared" si="35"/>
        <v>0</v>
      </c>
      <c r="K1148" s="70"/>
    </row>
    <row r="1149" spans="1:11" ht="24" customHeight="1">
      <c r="A1149" s="11" t="s">
        <v>3058</v>
      </c>
      <c r="B1149" s="34" t="s">
        <v>3059</v>
      </c>
      <c r="C1149" s="10">
        <v>1</v>
      </c>
      <c r="D1149" s="33" t="s">
        <v>3053</v>
      </c>
      <c r="E1149" s="17">
        <v>2</v>
      </c>
      <c r="F1149" s="17"/>
      <c r="G1149" s="687"/>
      <c r="H1149" s="707"/>
      <c r="I1149" s="707">
        <f t="shared" si="34"/>
        <v>0</v>
      </c>
      <c r="J1149" s="707">
        <f t="shared" si="35"/>
        <v>0</v>
      </c>
      <c r="K1149" s="70"/>
    </row>
    <row r="1150" spans="1:11" ht="24" customHeight="1">
      <c r="A1150" s="33" t="s">
        <v>2021</v>
      </c>
      <c r="B1150" s="243" t="s">
        <v>1410</v>
      </c>
      <c r="C1150" s="71">
        <v>3</v>
      </c>
      <c r="D1150" s="33" t="s">
        <v>3053</v>
      </c>
      <c r="E1150" s="71">
        <v>4</v>
      </c>
      <c r="F1150" s="71"/>
      <c r="G1150" s="686"/>
      <c r="H1150" s="707" t="s">
        <v>3183</v>
      </c>
      <c r="I1150" s="707" t="e">
        <f t="shared" si="34"/>
        <v>#VALUE!</v>
      </c>
      <c r="J1150" s="707" t="e">
        <f t="shared" si="35"/>
        <v>#VALUE!</v>
      </c>
      <c r="K1150" s="70" t="s">
        <v>3184</v>
      </c>
    </row>
    <row r="1151" spans="1:11" ht="24" customHeight="1">
      <c r="A1151" s="33" t="s">
        <v>1982</v>
      </c>
      <c r="B1151" s="33" t="s">
        <v>34</v>
      </c>
      <c r="C1151" s="33">
        <v>3</v>
      </c>
      <c r="D1151" s="33" t="s">
        <v>1938</v>
      </c>
      <c r="E1151" s="33">
        <v>2</v>
      </c>
      <c r="F1151" s="33"/>
      <c r="G1151" s="522"/>
      <c r="H1151" s="707">
        <v>250</v>
      </c>
      <c r="I1151" s="707">
        <f t="shared" si="34"/>
        <v>287.5</v>
      </c>
      <c r="J1151" s="707">
        <f t="shared" si="35"/>
        <v>325</v>
      </c>
      <c r="K1151" s="70"/>
    </row>
    <row r="1152" spans="1:11" ht="24" customHeight="1">
      <c r="A1152" s="33" t="s">
        <v>1247</v>
      </c>
      <c r="B1152" s="33" t="s">
        <v>1248</v>
      </c>
      <c r="C1152" s="33">
        <v>1</v>
      </c>
      <c r="D1152" s="33" t="s">
        <v>1201</v>
      </c>
      <c r="E1152" s="33">
        <v>4</v>
      </c>
      <c r="F1152" s="33"/>
      <c r="G1152" s="522"/>
      <c r="H1152" s="707"/>
      <c r="I1152" s="707">
        <f t="shared" si="34"/>
        <v>0</v>
      </c>
      <c r="J1152" s="707">
        <f t="shared" si="35"/>
        <v>0</v>
      </c>
      <c r="K1152" s="70"/>
    </row>
    <row r="1153" spans="1:11" ht="24" customHeight="1">
      <c r="A1153" s="33" t="s">
        <v>1247</v>
      </c>
      <c r="B1153" s="75" t="s">
        <v>1248</v>
      </c>
      <c r="C1153" s="33">
        <v>1</v>
      </c>
      <c r="D1153" s="33" t="s">
        <v>2624</v>
      </c>
      <c r="E1153" s="33">
        <v>4</v>
      </c>
      <c r="F1153" s="33"/>
      <c r="G1153" s="522"/>
      <c r="H1153" s="707"/>
      <c r="I1153" s="707">
        <f t="shared" si="34"/>
        <v>0</v>
      </c>
      <c r="J1153" s="707">
        <f t="shared" si="35"/>
        <v>0</v>
      </c>
      <c r="K1153" s="70"/>
    </row>
    <row r="1154" spans="1:11" ht="24" customHeight="1">
      <c r="A1154" s="33" t="s">
        <v>984</v>
      </c>
      <c r="B1154" s="33" t="s">
        <v>56</v>
      </c>
      <c r="C1154" s="33">
        <v>1</v>
      </c>
      <c r="D1154" s="33" t="s">
        <v>910</v>
      </c>
      <c r="E1154" s="33">
        <v>2</v>
      </c>
      <c r="F1154" s="33"/>
      <c r="G1154" s="522"/>
      <c r="H1154" s="707">
        <v>150</v>
      </c>
      <c r="I1154" s="707">
        <f t="shared" ref="I1154:I1217" si="36">H1154 * 1.15</f>
        <v>172.5</v>
      </c>
      <c r="J1154" s="707">
        <f t="shared" ref="J1154:J1217" si="37">H1154 * 1.3</f>
        <v>195</v>
      </c>
      <c r="K1154" s="70"/>
    </row>
    <row r="1155" spans="1:11" ht="24" customHeight="1">
      <c r="A1155" s="11" t="s">
        <v>3528</v>
      </c>
      <c r="B1155" s="11" t="s">
        <v>3529</v>
      </c>
      <c r="C1155" s="11">
        <v>3</v>
      </c>
      <c r="D1155" s="131" t="s">
        <v>3451</v>
      </c>
      <c r="E1155" s="15">
        <v>3</v>
      </c>
      <c r="F1155" s="15"/>
      <c r="G1155" s="684"/>
      <c r="H1155" s="707"/>
      <c r="I1155" s="707">
        <f t="shared" si="36"/>
        <v>0</v>
      </c>
      <c r="J1155" s="707">
        <f t="shared" si="37"/>
        <v>0</v>
      </c>
      <c r="K1155" s="70"/>
    </row>
    <row r="1156" spans="1:11" ht="24" customHeight="1">
      <c r="A1156" s="11" t="s">
        <v>3530</v>
      </c>
      <c r="B1156" s="11" t="s">
        <v>3531</v>
      </c>
      <c r="C1156" s="11">
        <v>1</v>
      </c>
      <c r="D1156" s="131" t="s">
        <v>3451</v>
      </c>
      <c r="E1156" s="15">
        <v>3</v>
      </c>
      <c r="F1156" s="15"/>
      <c r="G1156" s="684"/>
      <c r="H1156" s="707"/>
      <c r="I1156" s="707">
        <f t="shared" si="36"/>
        <v>0</v>
      </c>
      <c r="J1156" s="707">
        <f t="shared" si="37"/>
        <v>0</v>
      </c>
      <c r="K1156" s="70"/>
    </row>
    <row r="1157" spans="1:11" ht="24" customHeight="1">
      <c r="A1157" s="10" t="s">
        <v>3060</v>
      </c>
      <c r="B1157" s="34" t="s">
        <v>558</v>
      </c>
      <c r="C1157" s="10">
        <v>4</v>
      </c>
      <c r="D1157" s="33" t="s">
        <v>3053</v>
      </c>
      <c r="E1157" s="17">
        <v>2</v>
      </c>
      <c r="F1157" s="17"/>
      <c r="G1157" s="687"/>
      <c r="H1157" s="707"/>
      <c r="I1157" s="707">
        <f t="shared" si="36"/>
        <v>0</v>
      </c>
      <c r="J1157" s="707">
        <f t="shared" si="37"/>
        <v>0</v>
      </c>
      <c r="K1157" s="70"/>
    </row>
    <row r="1158" spans="1:11" ht="24" customHeight="1">
      <c r="A1158" s="59" t="s">
        <v>3060</v>
      </c>
      <c r="B1158" s="59" t="s">
        <v>558</v>
      </c>
      <c r="C1158" s="59">
        <v>2</v>
      </c>
      <c r="D1158" s="33" t="s">
        <v>3053</v>
      </c>
      <c r="E1158" s="354">
        <v>5</v>
      </c>
      <c r="F1158" s="354"/>
      <c r="G1158" s="688"/>
      <c r="H1158" s="707"/>
      <c r="I1158" s="707">
        <f t="shared" si="36"/>
        <v>0</v>
      </c>
      <c r="J1158" s="707">
        <f t="shared" si="37"/>
        <v>0</v>
      </c>
      <c r="K1158" s="70"/>
    </row>
    <row r="1159" spans="1:11" ht="24" customHeight="1">
      <c r="A1159" s="33" t="s">
        <v>2339</v>
      </c>
      <c r="B1159" s="33" t="s">
        <v>2340</v>
      </c>
      <c r="C1159" s="33">
        <v>1</v>
      </c>
      <c r="D1159" s="33" t="s">
        <v>2276</v>
      </c>
      <c r="E1159" s="33">
        <v>1</v>
      </c>
      <c r="F1159" s="33"/>
      <c r="G1159" s="522"/>
      <c r="H1159" s="707"/>
      <c r="I1159" s="707">
        <f t="shared" si="36"/>
        <v>0</v>
      </c>
      <c r="J1159" s="707">
        <f t="shared" si="37"/>
        <v>0</v>
      </c>
      <c r="K1159" s="70"/>
    </row>
    <row r="1160" spans="1:11" ht="24" customHeight="1">
      <c r="A1160" s="33" t="s">
        <v>2339</v>
      </c>
      <c r="B1160" s="33" t="s">
        <v>2340</v>
      </c>
      <c r="C1160" s="33">
        <v>1</v>
      </c>
      <c r="D1160" s="33" t="s">
        <v>2540</v>
      </c>
      <c r="E1160" s="33">
        <v>1</v>
      </c>
      <c r="F1160" s="33"/>
      <c r="G1160" s="522"/>
      <c r="H1160" s="707"/>
      <c r="I1160" s="707">
        <f t="shared" si="36"/>
        <v>0</v>
      </c>
      <c r="J1160" s="707">
        <f t="shared" si="37"/>
        <v>0</v>
      </c>
      <c r="K1160" s="70"/>
    </row>
    <row r="1161" spans="1:11" ht="24" customHeight="1">
      <c r="A1161" s="33" t="s">
        <v>1274</v>
      </c>
      <c r="B1161" s="33" t="s">
        <v>1275</v>
      </c>
      <c r="C1161" s="33">
        <v>2</v>
      </c>
      <c r="D1161" s="33" t="s">
        <v>1201</v>
      </c>
      <c r="E1161" s="33">
        <v>4</v>
      </c>
      <c r="F1161" s="33"/>
      <c r="G1161" s="522"/>
      <c r="H1161" s="707"/>
      <c r="I1161" s="707">
        <f t="shared" si="36"/>
        <v>0</v>
      </c>
      <c r="J1161" s="707">
        <f t="shared" si="37"/>
        <v>0</v>
      </c>
      <c r="K1161" s="70"/>
    </row>
    <row r="1162" spans="1:11" ht="24" customHeight="1">
      <c r="A1162" s="11" t="s">
        <v>1274</v>
      </c>
      <c r="B1162" s="34" t="s">
        <v>1275</v>
      </c>
      <c r="C1162" s="11">
        <v>3</v>
      </c>
      <c r="D1162" s="33" t="s">
        <v>3053</v>
      </c>
      <c r="E1162" s="33">
        <v>3</v>
      </c>
      <c r="F1162" s="33"/>
      <c r="G1162" s="522"/>
      <c r="H1162" s="707"/>
      <c r="I1162" s="707">
        <f t="shared" si="36"/>
        <v>0</v>
      </c>
      <c r="J1162" s="707">
        <f t="shared" si="37"/>
        <v>0</v>
      </c>
      <c r="K1162" s="70"/>
    </row>
    <row r="1163" spans="1:11" ht="24" customHeight="1">
      <c r="A1163" s="11" t="s">
        <v>3096</v>
      </c>
      <c r="B1163" s="34" t="s">
        <v>43</v>
      </c>
      <c r="C1163" s="11">
        <v>4</v>
      </c>
      <c r="D1163" s="33" t="s">
        <v>3053</v>
      </c>
      <c r="E1163" s="33">
        <v>3</v>
      </c>
      <c r="F1163" s="33"/>
      <c r="G1163" s="522"/>
      <c r="H1163" s="707"/>
      <c r="I1163" s="707">
        <f t="shared" si="36"/>
        <v>0</v>
      </c>
      <c r="J1163" s="707">
        <f t="shared" si="37"/>
        <v>0</v>
      </c>
      <c r="K1163" s="70"/>
    </row>
    <row r="1164" spans="1:11" ht="24" customHeight="1">
      <c r="A1164" s="11" t="s">
        <v>3097</v>
      </c>
      <c r="B1164" s="34" t="s">
        <v>3098</v>
      </c>
      <c r="C1164" s="11">
        <v>2</v>
      </c>
      <c r="D1164" s="33" t="s">
        <v>3053</v>
      </c>
      <c r="E1164" s="33">
        <v>3</v>
      </c>
      <c r="F1164" s="33"/>
      <c r="G1164" s="522"/>
      <c r="H1164" s="707"/>
      <c r="I1164" s="707">
        <f t="shared" si="36"/>
        <v>0</v>
      </c>
      <c r="J1164" s="707">
        <f t="shared" si="37"/>
        <v>0</v>
      </c>
      <c r="K1164" s="70"/>
    </row>
    <row r="1165" spans="1:11" ht="24" customHeight="1">
      <c r="A1165" s="11" t="s">
        <v>3099</v>
      </c>
      <c r="B1165" s="34" t="s">
        <v>474</v>
      </c>
      <c r="C1165" s="11">
        <v>4</v>
      </c>
      <c r="D1165" s="33" t="s">
        <v>3053</v>
      </c>
      <c r="E1165" s="33">
        <v>3</v>
      </c>
      <c r="F1165" s="33"/>
      <c r="G1165" s="522"/>
      <c r="H1165" s="707"/>
      <c r="I1165" s="707">
        <f t="shared" si="36"/>
        <v>0</v>
      </c>
      <c r="J1165" s="707">
        <f t="shared" si="37"/>
        <v>0</v>
      </c>
      <c r="K1165" s="70"/>
    </row>
    <row r="1166" spans="1:11" ht="24" customHeight="1">
      <c r="A1166" s="33" t="s">
        <v>3070</v>
      </c>
      <c r="B1166" s="33" t="s">
        <v>558</v>
      </c>
      <c r="C1166" s="33">
        <v>17</v>
      </c>
      <c r="D1166" s="33" t="s">
        <v>3053</v>
      </c>
      <c r="E1166" s="33">
        <v>2</v>
      </c>
      <c r="F1166" s="33"/>
      <c r="G1166" s="522"/>
      <c r="H1166" s="707"/>
      <c r="I1166" s="707">
        <f t="shared" si="36"/>
        <v>0</v>
      </c>
      <c r="J1166" s="707">
        <f t="shared" si="37"/>
        <v>0</v>
      </c>
      <c r="K1166" s="70"/>
    </row>
    <row r="1167" spans="1:11" ht="24" customHeight="1">
      <c r="A1167" s="2" t="s">
        <v>44</v>
      </c>
      <c r="B1167" s="2" t="s">
        <v>45</v>
      </c>
      <c r="C1167" s="2">
        <v>24</v>
      </c>
      <c r="D1167" s="2" t="s">
        <v>11</v>
      </c>
      <c r="E1167" s="33">
        <v>1</v>
      </c>
      <c r="F1167" s="33"/>
      <c r="G1167" s="522"/>
      <c r="H1167" s="707"/>
      <c r="I1167" s="707">
        <f t="shared" si="36"/>
        <v>0</v>
      </c>
      <c r="J1167" s="707">
        <f t="shared" si="37"/>
        <v>0</v>
      </c>
      <c r="K1167" s="70"/>
    </row>
    <row r="1168" spans="1:11" ht="24" customHeight="1">
      <c r="A1168" s="74" t="s">
        <v>1464</v>
      </c>
      <c r="B1168" s="74" t="s">
        <v>1465</v>
      </c>
      <c r="C1168" s="74">
        <v>5</v>
      </c>
      <c r="D1168" s="33" t="s">
        <v>1372</v>
      </c>
      <c r="E1168" s="33">
        <v>5</v>
      </c>
      <c r="F1168" s="33"/>
      <c r="G1168" s="522"/>
      <c r="H1168" s="707">
        <v>600</v>
      </c>
      <c r="I1168" s="707">
        <f t="shared" si="36"/>
        <v>690</v>
      </c>
      <c r="J1168" s="707">
        <f t="shared" si="37"/>
        <v>780</v>
      </c>
      <c r="K1168" s="70"/>
    </row>
    <row r="1169" spans="1:11" ht="24" customHeight="1">
      <c r="A1169" s="33" t="s">
        <v>1126</v>
      </c>
      <c r="B1169" s="33" t="s">
        <v>83</v>
      </c>
      <c r="C1169" s="33">
        <v>1</v>
      </c>
      <c r="D1169" s="33" t="s">
        <v>992</v>
      </c>
      <c r="E1169" s="33">
        <v>5</v>
      </c>
      <c r="F1169" s="33"/>
      <c r="G1169" s="522"/>
      <c r="H1169" s="707"/>
      <c r="I1169" s="707">
        <f t="shared" si="36"/>
        <v>0</v>
      </c>
      <c r="J1169" s="707">
        <f t="shared" si="37"/>
        <v>0</v>
      </c>
      <c r="K1169" s="70"/>
    </row>
    <row r="1170" spans="1:11" ht="24" customHeight="1">
      <c r="A1170" s="33" t="s">
        <v>2509</v>
      </c>
      <c r="B1170" s="33" t="s">
        <v>1671</v>
      </c>
      <c r="C1170" s="33">
        <v>1</v>
      </c>
      <c r="D1170" s="33" t="s">
        <v>2504</v>
      </c>
      <c r="E1170" s="33">
        <v>5</v>
      </c>
      <c r="F1170" s="33"/>
      <c r="G1170" s="522"/>
      <c r="H1170" s="707"/>
      <c r="I1170" s="707">
        <f t="shared" si="36"/>
        <v>0</v>
      </c>
      <c r="J1170" s="707">
        <f t="shared" si="37"/>
        <v>0</v>
      </c>
      <c r="K1170" s="70"/>
    </row>
    <row r="1171" spans="1:11" ht="24" customHeight="1">
      <c r="A1171" s="33" t="s">
        <v>1079</v>
      </c>
      <c r="B1171" s="33" t="s">
        <v>1080</v>
      </c>
      <c r="C1171" s="33">
        <v>2</v>
      </c>
      <c r="D1171" s="33" t="s">
        <v>992</v>
      </c>
      <c r="E1171" s="33">
        <v>4</v>
      </c>
      <c r="F1171" s="33"/>
      <c r="G1171" s="522"/>
      <c r="H1171" s="707"/>
      <c r="I1171" s="707">
        <f t="shared" si="36"/>
        <v>0</v>
      </c>
      <c r="J1171" s="707">
        <f t="shared" si="37"/>
        <v>0</v>
      </c>
      <c r="K1171" s="70"/>
    </row>
    <row r="1172" spans="1:11" ht="24" customHeight="1">
      <c r="A1172" s="11" t="s">
        <v>2921</v>
      </c>
      <c r="B1172" s="34" t="s">
        <v>43</v>
      </c>
      <c r="C1172" s="11">
        <v>1</v>
      </c>
      <c r="D1172" s="15" t="s">
        <v>2918</v>
      </c>
      <c r="E1172" s="15">
        <v>1</v>
      </c>
      <c r="F1172" s="15"/>
      <c r="G1172" s="684"/>
      <c r="H1172" s="707"/>
      <c r="I1172" s="707">
        <f t="shared" si="36"/>
        <v>0</v>
      </c>
      <c r="J1172" s="707">
        <f t="shared" si="37"/>
        <v>0</v>
      </c>
      <c r="K1172" s="70"/>
    </row>
    <row r="1173" spans="1:11" ht="24" customHeight="1">
      <c r="A1173" s="33" t="s">
        <v>2874</v>
      </c>
      <c r="B1173" s="33" t="s">
        <v>272</v>
      </c>
      <c r="C1173" s="33">
        <v>9</v>
      </c>
      <c r="D1173" s="58" t="s">
        <v>2868</v>
      </c>
      <c r="E1173" s="17">
        <v>5</v>
      </c>
      <c r="F1173" s="17"/>
      <c r="G1173" s="687"/>
      <c r="H1173" s="707">
        <v>250</v>
      </c>
      <c r="I1173" s="707">
        <f t="shared" si="36"/>
        <v>287.5</v>
      </c>
      <c r="J1173" s="707">
        <f t="shared" si="37"/>
        <v>325</v>
      </c>
      <c r="K1173" s="70"/>
    </row>
    <row r="1174" spans="1:11" ht="24" customHeight="1">
      <c r="A1174" s="59" t="s">
        <v>3209</v>
      </c>
      <c r="B1174" s="59" t="s">
        <v>110</v>
      </c>
      <c r="C1174" s="59">
        <v>1</v>
      </c>
      <c r="D1174" s="33" t="s">
        <v>3053</v>
      </c>
      <c r="E1174" s="354">
        <v>5</v>
      </c>
      <c r="F1174" s="354"/>
      <c r="G1174" s="688"/>
      <c r="H1174" s="707"/>
      <c r="I1174" s="707">
        <f t="shared" si="36"/>
        <v>0</v>
      </c>
      <c r="J1174" s="707">
        <f t="shared" si="37"/>
        <v>0</v>
      </c>
      <c r="K1174" s="70"/>
    </row>
    <row r="1175" spans="1:11" ht="24" customHeight="1">
      <c r="A1175" s="11" t="s">
        <v>3532</v>
      </c>
      <c r="B1175" s="11" t="s">
        <v>3533</v>
      </c>
      <c r="C1175" s="11">
        <v>1</v>
      </c>
      <c r="D1175" s="131" t="s">
        <v>3451</v>
      </c>
      <c r="E1175" s="15">
        <v>3</v>
      </c>
      <c r="F1175" s="15"/>
      <c r="G1175" s="684"/>
      <c r="H1175" s="707"/>
      <c r="I1175" s="707">
        <f t="shared" si="36"/>
        <v>0</v>
      </c>
      <c r="J1175" s="707">
        <f t="shared" si="37"/>
        <v>0</v>
      </c>
      <c r="K1175" s="70"/>
    </row>
    <row r="1176" spans="1:11" ht="24" customHeight="1">
      <c r="A1176" s="33" t="s">
        <v>3320</v>
      </c>
      <c r="B1176" s="33" t="s">
        <v>3321</v>
      </c>
      <c r="C1176" s="33">
        <v>1</v>
      </c>
      <c r="D1176" s="33" t="s">
        <v>3279</v>
      </c>
      <c r="E1176" s="33">
        <v>4</v>
      </c>
      <c r="F1176" s="33"/>
      <c r="G1176" s="522"/>
      <c r="H1176" s="707"/>
      <c r="I1176" s="707">
        <f t="shared" si="36"/>
        <v>0</v>
      </c>
      <c r="J1176" s="707">
        <f t="shared" si="37"/>
        <v>0</v>
      </c>
      <c r="K1176" s="70"/>
    </row>
    <row r="1177" spans="1:11" ht="24" customHeight="1">
      <c r="A1177" s="33" t="s">
        <v>2405</v>
      </c>
      <c r="B1177" s="33" t="s">
        <v>83</v>
      </c>
      <c r="C1177" s="33">
        <v>5</v>
      </c>
      <c r="D1177" s="33" t="s">
        <v>2363</v>
      </c>
      <c r="E1177" s="33">
        <v>5</v>
      </c>
      <c r="F1177" s="33"/>
      <c r="G1177" s="522"/>
      <c r="H1177" s="707"/>
      <c r="I1177" s="707">
        <f t="shared" si="36"/>
        <v>0</v>
      </c>
      <c r="J1177" s="707">
        <f t="shared" si="37"/>
        <v>0</v>
      </c>
      <c r="K1177" s="70"/>
    </row>
    <row r="1178" spans="1:11" ht="24" customHeight="1">
      <c r="A1178" s="2" t="s">
        <v>343</v>
      </c>
      <c r="B1178" s="203" t="s">
        <v>83</v>
      </c>
      <c r="C1178" s="2">
        <v>8</v>
      </c>
      <c r="D1178" s="2" t="s">
        <v>274</v>
      </c>
      <c r="E1178" s="33">
        <v>1</v>
      </c>
      <c r="F1178" s="33"/>
      <c r="G1178" s="522"/>
      <c r="H1178" s="707">
        <v>60</v>
      </c>
      <c r="I1178" s="707">
        <f t="shared" si="36"/>
        <v>69</v>
      </c>
      <c r="J1178" s="707">
        <f t="shared" si="37"/>
        <v>78</v>
      </c>
      <c r="K1178" s="70"/>
    </row>
    <row r="1179" spans="1:11" ht="24" customHeight="1">
      <c r="A1179" s="33" t="s">
        <v>343</v>
      </c>
      <c r="B1179" s="75" t="s">
        <v>1294</v>
      </c>
      <c r="C1179" s="33">
        <v>1</v>
      </c>
      <c r="D1179" s="33" t="s">
        <v>1201</v>
      </c>
      <c r="E1179" s="33">
        <v>4</v>
      </c>
      <c r="F1179" s="33"/>
      <c r="G1179" s="522"/>
      <c r="H1179" s="707">
        <v>60</v>
      </c>
      <c r="I1179" s="707">
        <f t="shared" si="36"/>
        <v>69</v>
      </c>
      <c r="J1179" s="707">
        <f t="shared" si="37"/>
        <v>78</v>
      </c>
      <c r="K1179" s="70"/>
    </row>
    <row r="1180" spans="1:11" ht="24" customHeight="1">
      <c r="A1180" s="33" t="s">
        <v>343</v>
      </c>
      <c r="B1180" s="75" t="s">
        <v>83</v>
      </c>
      <c r="C1180" s="33">
        <v>1</v>
      </c>
      <c r="D1180" s="33" t="s">
        <v>2026</v>
      </c>
      <c r="E1180" s="33">
        <v>5</v>
      </c>
      <c r="F1180" s="33"/>
      <c r="G1180" s="522"/>
      <c r="H1180" s="707">
        <v>60</v>
      </c>
      <c r="I1180" s="707">
        <f t="shared" si="36"/>
        <v>69</v>
      </c>
      <c r="J1180" s="707">
        <f t="shared" si="37"/>
        <v>78</v>
      </c>
      <c r="K1180" s="70"/>
    </row>
    <row r="1181" spans="1:11" ht="24" customHeight="1">
      <c r="A1181" s="2" t="s">
        <v>369</v>
      </c>
      <c r="B1181" s="2" t="s">
        <v>83</v>
      </c>
      <c r="C1181" s="2">
        <v>10</v>
      </c>
      <c r="D1181" s="2" t="s">
        <v>274</v>
      </c>
      <c r="E1181" s="33">
        <v>1</v>
      </c>
      <c r="F1181" s="33"/>
      <c r="G1181" s="522"/>
      <c r="H1181" s="707">
        <v>100</v>
      </c>
      <c r="I1181" s="707">
        <f t="shared" si="36"/>
        <v>114.99999999999999</v>
      </c>
      <c r="J1181" s="707">
        <f t="shared" si="37"/>
        <v>130</v>
      </c>
      <c r="K1181" s="70"/>
    </row>
    <row r="1182" spans="1:11" ht="24" customHeight="1">
      <c r="A1182" s="74" t="s">
        <v>1455</v>
      </c>
      <c r="B1182" s="74" t="s">
        <v>83</v>
      </c>
      <c r="C1182" s="74">
        <v>3</v>
      </c>
      <c r="D1182" s="33" t="s">
        <v>1372</v>
      </c>
      <c r="E1182" s="33">
        <v>5</v>
      </c>
      <c r="F1182" s="33"/>
      <c r="G1182" s="522"/>
      <c r="H1182" s="707"/>
      <c r="I1182" s="707">
        <f t="shared" si="36"/>
        <v>0</v>
      </c>
      <c r="J1182" s="707">
        <f t="shared" si="37"/>
        <v>0</v>
      </c>
      <c r="K1182" s="70"/>
    </row>
    <row r="1183" spans="1:11" ht="24" customHeight="1">
      <c r="A1183" s="74" t="s">
        <v>1466</v>
      </c>
      <c r="B1183" s="74" t="s">
        <v>83</v>
      </c>
      <c r="C1183" s="74">
        <v>5</v>
      </c>
      <c r="D1183" s="33" t="s">
        <v>1372</v>
      </c>
      <c r="E1183" s="33">
        <v>5</v>
      </c>
      <c r="F1183" s="33"/>
      <c r="G1183" s="522"/>
      <c r="H1183" s="707"/>
      <c r="I1183" s="707">
        <f t="shared" si="36"/>
        <v>0</v>
      </c>
      <c r="J1183" s="707">
        <f t="shared" si="37"/>
        <v>0</v>
      </c>
      <c r="K1183" s="70"/>
    </row>
    <row r="1184" spans="1:11" ht="24" customHeight="1">
      <c r="A1184" s="33" t="s">
        <v>2095</v>
      </c>
      <c r="B1184" s="33" t="s">
        <v>83</v>
      </c>
      <c r="C1184" s="2">
        <v>3</v>
      </c>
      <c r="D1184" s="33" t="s">
        <v>2094</v>
      </c>
      <c r="E1184" s="33">
        <v>5</v>
      </c>
      <c r="F1184" s="33"/>
      <c r="G1184" s="522"/>
      <c r="H1184" s="707"/>
      <c r="I1184" s="707">
        <f t="shared" si="36"/>
        <v>0</v>
      </c>
      <c r="J1184" s="707">
        <f t="shared" si="37"/>
        <v>0</v>
      </c>
      <c r="K1184" s="70"/>
    </row>
    <row r="1185" spans="1:11" ht="24" customHeight="1">
      <c r="A1185" s="33" t="s">
        <v>2101</v>
      </c>
      <c r="B1185" s="33" t="s">
        <v>2102</v>
      </c>
      <c r="C1185" s="33">
        <v>4</v>
      </c>
      <c r="D1185" s="33" t="s">
        <v>2094</v>
      </c>
      <c r="E1185" s="33">
        <v>5</v>
      </c>
      <c r="F1185" s="33"/>
      <c r="G1185" s="522"/>
      <c r="H1185" s="707"/>
      <c r="I1185" s="707">
        <f t="shared" si="36"/>
        <v>0</v>
      </c>
      <c r="J1185" s="707">
        <f t="shared" si="37"/>
        <v>0</v>
      </c>
      <c r="K1185" s="70"/>
    </row>
    <row r="1186" spans="1:11" ht="24" customHeight="1">
      <c r="A1186" s="74" t="s">
        <v>2090</v>
      </c>
      <c r="B1186" s="74" t="s">
        <v>389</v>
      </c>
      <c r="C1186" s="74">
        <v>3</v>
      </c>
      <c r="D1186" s="33" t="s">
        <v>2026</v>
      </c>
      <c r="E1186" s="33">
        <v>5</v>
      </c>
      <c r="F1186" s="33"/>
      <c r="G1186" s="522"/>
      <c r="H1186" s="707">
        <v>250</v>
      </c>
      <c r="I1186" s="707">
        <f t="shared" si="36"/>
        <v>287.5</v>
      </c>
      <c r="J1186" s="707">
        <f t="shared" si="37"/>
        <v>325</v>
      </c>
      <c r="K1186" s="70"/>
    </row>
    <row r="1187" spans="1:11" ht="24" customHeight="1">
      <c r="A1187" s="33" t="s">
        <v>1032</v>
      </c>
      <c r="B1187" s="33" t="s">
        <v>10</v>
      </c>
      <c r="C1187" s="33">
        <v>16</v>
      </c>
      <c r="D1187" s="33" t="s">
        <v>992</v>
      </c>
      <c r="E1187" s="33">
        <v>3</v>
      </c>
      <c r="F1187" s="33"/>
      <c r="G1187" s="522"/>
      <c r="H1187" s="707"/>
      <c r="I1187" s="707">
        <f t="shared" si="36"/>
        <v>0</v>
      </c>
      <c r="J1187" s="707">
        <f t="shared" si="37"/>
        <v>0</v>
      </c>
      <c r="K1187" s="70"/>
    </row>
    <row r="1188" spans="1:11" ht="24" customHeight="1">
      <c r="A1188" s="33" t="s">
        <v>162</v>
      </c>
      <c r="B1188" s="33" t="s">
        <v>41</v>
      </c>
      <c r="C1188" s="33">
        <v>46</v>
      </c>
      <c r="D1188" s="2" t="s">
        <v>11</v>
      </c>
      <c r="E1188" s="33">
        <v>3</v>
      </c>
      <c r="F1188" s="33"/>
      <c r="G1188" s="522"/>
      <c r="H1188" s="707">
        <v>10</v>
      </c>
      <c r="I1188" s="707">
        <f t="shared" si="36"/>
        <v>11.5</v>
      </c>
      <c r="J1188" s="707">
        <f t="shared" si="37"/>
        <v>13</v>
      </c>
      <c r="K1188" s="70"/>
    </row>
    <row r="1189" spans="1:11" ht="24" customHeight="1">
      <c r="A1189" s="33" t="s">
        <v>163</v>
      </c>
      <c r="B1189" s="33" t="s">
        <v>41</v>
      </c>
      <c r="C1189" s="33">
        <v>15</v>
      </c>
      <c r="D1189" s="2" t="s">
        <v>11</v>
      </c>
      <c r="E1189" s="33">
        <v>3</v>
      </c>
      <c r="F1189" s="33"/>
      <c r="G1189" s="522"/>
      <c r="H1189" s="707">
        <v>15</v>
      </c>
      <c r="I1189" s="707">
        <f t="shared" si="36"/>
        <v>17.25</v>
      </c>
      <c r="J1189" s="707">
        <f t="shared" si="37"/>
        <v>19.5</v>
      </c>
      <c r="K1189" s="70"/>
    </row>
    <row r="1190" spans="1:11" ht="24" customHeight="1">
      <c r="A1190" s="33" t="s">
        <v>3374</v>
      </c>
      <c r="B1190" s="33" t="s">
        <v>19</v>
      </c>
      <c r="C1190" s="33">
        <v>73</v>
      </c>
      <c r="D1190" s="33" t="s">
        <v>3348</v>
      </c>
      <c r="E1190" s="33">
        <v>3</v>
      </c>
      <c r="F1190" s="33"/>
      <c r="G1190" s="522"/>
      <c r="H1190" s="707"/>
      <c r="I1190" s="707">
        <f t="shared" si="36"/>
        <v>0</v>
      </c>
      <c r="J1190" s="707">
        <f t="shared" si="37"/>
        <v>0</v>
      </c>
      <c r="K1190" s="70"/>
    </row>
    <row r="1191" spans="1:11" ht="24" customHeight="1">
      <c r="A1191" s="33" t="s">
        <v>1269</v>
      </c>
      <c r="B1191" s="33" t="s">
        <v>147</v>
      </c>
      <c r="C1191" s="33">
        <v>2</v>
      </c>
      <c r="D1191" s="33" t="s">
        <v>1201</v>
      </c>
      <c r="E1191" s="33">
        <v>4</v>
      </c>
      <c r="F1191" s="33"/>
      <c r="G1191" s="522"/>
      <c r="H1191" s="707"/>
      <c r="I1191" s="707">
        <f t="shared" si="36"/>
        <v>0</v>
      </c>
      <c r="J1191" s="707">
        <f t="shared" si="37"/>
        <v>0</v>
      </c>
      <c r="K1191" s="70"/>
    </row>
    <row r="1192" spans="1:11" ht="24" customHeight="1">
      <c r="A1192" s="33" t="s">
        <v>947</v>
      </c>
      <c r="B1192" s="33" t="s">
        <v>509</v>
      </c>
      <c r="C1192" s="33">
        <v>6</v>
      </c>
      <c r="D1192" s="33" t="s">
        <v>910</v>
      </c>
      <c r="E1192" s="33">
        <v>2</v>
      </c>
      <c r="F1192" s="33"/>
      <c r="G1192" s="522"/>
      <c r="H1192" s="707"/>
      <c r="I1192" s="707">
        <f t="shared" si="36"/>
        <v>0</v>
      </c>
      <c r="J1192" s="707">
        <f t="shared" si="37"/>
        <v>0</v>
      </c>
      <c r="K1192" s="70"/>
    </row>
    <row r="1193" spans="1:11" ht="24" customHeight="1">
      <c r="A1193" s="33" t="s">
        <v>3305</v>
      </c>
      <c r="B1193" s="33" t="s">
        <v>3306</v>
      </c>
      <c r="C1193" s="33">
        <v>2</v>
      </c>
      <c r="D1193" s="33" t="s">
        <v>3279</v>
      </c>
      <c r="E1193" s="33">
        <v>3</v>
      </c>
      <c r="F1193" s="33"/>
      <c r="G1193" s="522"/>
      <c r="H1193" s="707">
        <v>200</v>
      </c>
      <c r="I1193" s="707">
        <f t="shared" si="36"/>
        <v>229.99999999999997</v>
      </c>
      <c r="J1193" s="707">
        <f t="shared" si="37"/>
        <v>260</v>
      </c>
      <c r="K1193" s="70"/>
    </row>
    <row r="1194" spans="1:11" ht="24" customHeight="1">
      <c r="A1194" s="33" t="s">
        <v>1946</v>
      </c>
      <c r="B1194" s="33" t="s">
        <v>1947</v>
      </c>
      <c r="C1194" s="33">
        <v>5</v>
      </c>
      <c r="D1194" s="33" t="s">
        <v>1938</v>
      </c>
      <c r="E1194" s="33">
        <v>1</v>
      </c>
      <c r="F1194" s="33"/>
      <c r="G1194" s="522"/>
      <c r="H1194" s="707"/>
      <c r="I1194" s="707">
        <f t="shared" si="36"/>
        <v>0</v>
      </c>
      <c r="J1194" s="707">
        <f t="shared" si="37"/>
        <v>0</v>
      </c>
      <c r="K1194" s="70"/>
    </row>
    <row r="1195" spans="1:11" ht="24" customHeight="1">
      <c r="A1195" s="33" t="s">
        <v>2011</v>
      </c>
      <c r="B1195" s="33" t="s">
        <v>474</v>
      </c>
      <c r="C1195" s="33">
        <v>1</v>
      </c>
      <c r="D1195" s="33" t="s">
        <v>1938</v>
      </c>
      <c r="E1195" s="33">
        <v>2</v>
      </c>
      <c r="F1195" s="33"/>
      <c r="G1195" s="522"/>
      <c r="H1195" s="707"/>
      <c r="I1195" s="707">
        <f t="shared" si="36"/>
        <v>0</v>
      </c>
      <c r="J1195" s="707">
        <f t="shared" si="37"/>
        <v>0</v>
      </c>
      <c r="K1195" s="70"/>
    </row>
    <row r="1196" spans="1:11" ht="24" customHeight="1">
      <c r="A1196" s="59" t="s">
        <v>3210</v>
      </c>
      <c r="B1196" s="59" t="s">
        <v>474</v>
      </c>
      <c r="C1196" s="59">
        <v>1</v>
      </c>
      <c r="D1196" s="33" t="s">
        <v>3053</v>
      </c>
      <c r="E1196" s="354">
        <v>5</v>
      </c>
      <c r="F1196" s="354"/>
      <c r="G1196" s="688"/>
      <c r="H1196" s="707"/>
      <c r="I1196" s="707">
        <f t="shared" si="36"/>
        <v>0</v>
      </c>
      <c r="J1196" s="707">
        <f t="shared" si="37"/>
        <v>0</v>
      </c>
      <c r="K1196" s="70"/>
    </row>
    <row r="1197" spans="1:11" ht="24" customHeight="1">
      <c r="A1197" s="33" t="s">
        <v>2014</v>
      </c>
      <c r="B1197" s="33" t="s">
        <v>147</v>
      </c>
      <c r="C1197" s="33">
        <v>50</v>
      </c>
      <c r="D1197" s="33" t="s">
        <v>1938</v>
      </c>
      <c r="E1197" s="33">
        <v>2</v>
      </c>
      <c r="F1197" s="33"/>
      <c r="G1197" s="522"/>
      <c r="H1197" s="707"/>
      <c r="I1197" s="707">
        <f t="shared" si="36"/>
        <v>0</v>
      </c>
      <c r="J1197" s="707">
        <f t="shared" si="37"/>
        <v>0</v>
      </c>
      <c r="K1197" s="70"/>
    </row>
    <row r="1198" spans="1:11" ht="24" customHeight="1">
      <c r="A1198" s="3" t="s">
        <v>2922</v>
      </c>
      <c r="B1198" s="3" t="s">
        <v>1030</v>
      </c>
      <c r="C1198" s="3">
        <v>1</v>
      </c>
      <c r="D1198" s="15" t="s">
        <v>2918</v>
      </c>
      <c r="E1198" s="15">
        <v>1</v>
      </c>
      <c r="F1198" s="15"/>
      <c r="G1198" s="684"/>
      <c r="H1198" s="707"/>
      <c r="I1198" s="707">
        <f t="shared" si="36"/>
        <v>0</v>
      </c>
      <c r="J1198" s="707">
        <f t="shared" si="37"/>
        <v>0</v>
      </c>
      <c r="K1198" s="70"/>
    </row>
    <row r="1199" spans="1:11" ht="24" customHeight="1">
      <c r="A1199" s="10" t="s">
        <v>2780</v>
      </c>
      <c r="B1199" s="204" t="s">
        <v>2781</v>
      </c>
      <c r="C1199" s="11">
        <v>9</v>
      </c>
      <c r="D1199" s="131" t="s">
        <v>2772</v>
      </c>
      <c r="E1199" s="17">
        <v>4</v>
      </c>
      <c r="F1199" s="17"/>
      <c r="G1199" s="687"/>
      <c r="H1199" s="707">
        <v>13</v>
      </c>
      <c r="I1199" s="707">
        <f t="shared" si="36"/>
        <v>14.95</v>
      </c>
      <c r="J1199" s="707">
        <f t="shared" si="37"/>
        <v>16.900000000000002</v>
      </c>
      <c r="K1199" s="70"/>
    </row>
    <row r="1200" spans="1:11" ht="24" customHeight="1">
      <c r="A1200" s="33" t="s">
        <v>3181</v>
      </c>
      <c r="B1200" s="71" t="s">
        <v>96</v>
      </c>
      <c r="C1200" s="71">
        <v>1</v>
      </c>
      <c r="D1200" s="33" t="s">
        <v>3053</v>
      </c>
      <c r="E1200" s="71">
        <v>4</v>
      </c>
      <c r="F1200" s="71"/>
      <c r="G1200" s="686"/>
      <c r="H1200" s="707"/>
      <c r="I1200" s="707">
        <f t="shared" si="36"/>
        <v>0</v>
      </c>
      <c r="J1200" s="707">
        <f t="shared" si="37"/>
        <v>0</v>
      </c>
      <c r="K1200" s="70"/>
    </row>
    <row r="1201" spans="1:11" ht="24" customHeight="1">
      <c r="A1201" s="10" t="s">
        <v>2720</v>
      </c>
      <c r="B1201" s="11" t="s">
        <v>272</v>
      </c>
      <c r="C1201" s="11">
        <v>22</v>
      </c>
      <c r="D1201" s="131" t="s">
        <v>2716</v>
      </c>
      <c r="E1201" s="15">
        <v>1</v>
      </c>
      <c r="F1201" s="15"/>
      <c r="G1201" s="684"/>
      <c r="H1201" s="707"/>
      <c r="I1201" s="707">
        <f t="shared" si="36"/>
        <v>0</v>
      </c>
      <c r="J1201" s="707">
        <f t="shared" si="37"/>
        <v>0</v>
      </c>
      <c r="K1201" s="70"/>
    </row>
    <row r="1202" spans="1:11" ht="24" customHeight="1">
      <c r="A1202" s="33" t="s">
        <v>1624</v>
      </c>
      <c r="B1202" s="33" t="s">
        <v>1030</v>
      </c>
      <c r="C1202" s="33">
        <v>5</v>
      </c>
      <c r="D1202" s="33" t="s">
        <v>1548</v>
      </c>
      <c r="E1202" s="33">
        <v>3</v>
      </c>
      <c r="F1202" s="33"/>
      <c r="G1202" s="522"/>
      <c r="H1202" s="707"/>
      <c r="I1202" s="707">
        <f t="shared" si="36"/>
        <v>0</v>
      </c>
      <c r="J1202" s="707">
        <f t="shared" si="37"/>
        <v>0</v>
      </c>
      <c r="K1202" s="70"/>
    </row>
    <row r="1203" spans="1:11" ht="24" customHeight="1">
      <c r="A1203" s="33" t="s">
        <v>1622</v>
      </c>
      <c r="B1203" s="33" t="s">
        <v>1623</v>
      </c>
      <c r="C1203" s="33">
        <v>4</v>
      </c>
      <c r="D1203" s="33" t="s">
        <v>1548</v>
      </c>
      <c r="E1203" s="33">
        <v>3</v>
      </c>
      <c r="F1203" s="33"/>
      <c r="G1203" s="522"/>
      <c r="H1203" s="707"/>
      <c r="I1203" s="707">
        <f t="shared" si="36"/>
        <v>0</v>
      </c>
      <c r="J1203" s="707">
        <f t="shared" si="37"/>
        <v>0</v>
      </c>
      <c r="K1203" s="70"/>
    </row>
    <row r="1204" spans="1:11" ht="24" customHeight="1">
      <c r="A1204" s="33" t="s">
        <v>3413</v>
      </c>
      <c r="B1204" s="33" t="s">
        <v>538</v>
      </c>
      <c r="C1204" s="33">
        <v>3</v>
      </c>
      <c r="D1204" s="33" t="s">
        <v>3348</v>
      </c>
      <c r="E1204" s="33">
        <v>4</v>
      </c>
      <c r="F1204" s="33"/>
      <c r="G1204" s="522"/>
      <c r="H1204" s="707"/>
      <c r="I1204" s="707">
        <f t="shared" si="36"/>
        <v>0</v>
      </c>
      <c r="J1204" s="707">
        <f t="shared" si="37"/>
        <v>0</v>
      </c>
      <c r="K1204" s="70"/>
    </row>
    <row r="1205" spans="1:11" ht="24" customHeight="1">
      <c r="A1205" s="33" t="s">
        <v>3412</v>
      </c>
      <c r="B1205" s="33" t="s">
        <v>1030</v>
      </c>
      <c r="C1205" s="33">
        <v>4</v>
      </c>
      <c r="D1205" s="33" t="s">
        <v>3348</v>
      </c>
      <c r="E1205" s="33">
        <v>4</v>
      </c>
      <c r="F1205" s="33"/>
      <c r="G1205" s="522"/>
      <c r="H1205" s="707"/>
      <c r="I1205" s="707">
        <f t="shared" si="36"/>
        <v>0</v>
      </c>
      <c r="J1205" s="707">
        <f t="shared" si="37"/>
        <v>0</v>
      </c>
      <c r="K1205" s="70"/>
    </row>
    <row r="1206" spans="1:11" ht="24" customHeight="1">
      <c r="A1206" s="33" t="s">
        <v>638</v>
      </c>
      <c r="B1206" s="33" t="s">
        <v>637</v>
      </c>
      <c r="C1206" s="33">
        <v>2</v>
      </c>
      <c r="D1206" s="2" t="s">
        <v>593</v>
      </c>
      <c r="E1206" s="33">
        <v>1</v>
      </c>
      <c r="F1206" s="33"/>
      <c r="G1206" s="522"/>
      <c r="H1206" s="707">
        <v>55</v>
      </c>
      <c r="I1206" s="707">
        <f t="shared" si="36"/>
        <v>63.249999999999993</v>
      </c>
      <c r="J1206" s="707">
        <f t="shared" si="37"/>
        <v>71.5</v>
      </c>
      <c r="K1206" s="70"/>
    </row>
    <row r="1207" spans="1:11" ht="24" customHeight="1">
      <c r="A1207" s="33" t="s">
        <v>636</v>
      </c>
      <c r="B1207" s="33" t="s">
        <v>637</v>
      </c>
      <c r="C1207" s="33">
        <v>5</v>
      </c>
      <c r="D1207" s="2" t="s">
        <v>593</v>
      </c>
      <c r="E1207" s="33">
        <v>1</v>
      </c>
      <c r="F1207" s="33"/>
      <c r="G1207" s="522"/>
      <c r="H1207" s="707">
        <v>10</v>
      </c>
      <c r="I1207" s="707">
        <f t="shared" si="36"/>
        <v>11.5</v>
      </c>
      <c r="J1207" s="707">
        <f t="shared" si="37"/>
        <v>13</v>
      </c>
      <c r="K1207" s="70"/>
    </row>
    <row r="1208" spans="1:11" ht="24" customHeight="1">
      <c r="A1208" s="74" t="s">
        <v>2141</v>
      </c>
      <c r="B1208" s="74" t="s">
        <v>779</v>
      </c>
      <c r="C1208" s="74">
        <v>21</v>
      </c>
      <c r="D1208" s="33" t="s">
        <v>2111</v>
      </c>
      <c r="E1208" s="33">
        <v>2</v>
      </c>
      <c r="F1208" s="33"/>
      <c r="G1208" s="522"/>
      <c r="H1208" s="707"/>
      <c r="I1208" s="707">
        <f t="shared" si="36"/>
        <v>0</v>
      </c>
      <c r="J1208" s="707">
        <f t="shared" si="37"/>
        <v>0</v>
      </c>
      <c r="K1208" s="70"/>
    </row>
    <row r="1209" spans="1:11" ht="24" customHeight="1">
      <c r="A1209" s="33" t="s">
        <v>2141</v>
      </c>
      <c r="B1209" s="33" t="s">
        <v>779</v>
      </c>
      <c r="C1209" s="33">
        <v>75</v>
      </c>
      <c r="D1209" s="33" t="s">
        <v>2624</v>
      </c>
      <c r="E1209" s="33">
        <v>4</v>
      </c>
      <c r="F1209" s="33"/>
      <c r="G1209" s="522"/>
      <c r="H1209" s="707"/>
      <c r="I1209" s="707">
        <f t="shared" si="36"/>
        <v>0</v>
      </c>
      <c r="J1209" s="707">
        <f t="shared" si="37"/>
        <v>0</v>
      </c>
      <c r="K1209" s="70"/>
    </row>
    <row r="1210" spans="1:11" ht="24" customHeight="1">
      <c r="A1210" s="59" t="s">
        <v>3211</v>
      </c>
      <c r="B1210" s="59" t="s">
        <v>207</v>
      </c>
      <c r="C1210" s="59">
        <v>2</v>
      </c>
      <c r="D1210" s="33" t="s">
        <v>3053</v>
      </c>
      <c r="E1210" s="354">
        <v>5</v>
      </c>
      <c r="F1210" s="354"/>
      <c r="G1210" s="688"/>
      <c r="H1210" s="707"/>
      <c r="I1210" s="707">
        <f t="shared" si="36"/>
        <v>0</v>
      </c>
      <c r="J1210" s="707">
        <f t="shared" si="37"/>
        <v>0</v>
      </c>
      <c r="K1210" s="70"/>
    </row>
    <row r="1211" spans="1:11" ht="24" customHeight="1">
      <c r="A1211" s="33" t="s">
        <v>2017</v>
      </c>
      <c r="B1211" s="33" t="s">
        <v>418</v>
      </c>
      <c r="C1211" s="33">
        <v>2</v>
      </c>
      <c r="D1211" s="33" t="s">
        <v>1938</v>
      </c>
      <c r="E1211" s="33">
        <v>2</v>
      </c>
      <c r="F1211" s="33"/>
      <c r="G1211" s="522"/>
      <c r="H1211" s="707"/>
      <c r="I1211" s="707">
        <f t="shared" si="36"/>
        <v>0</v>
      </c>
      <c r="J1211" s="707">
        <f t="shared" si="37"/>
        <v>0</v>
      </c>
      <c r="K1211" s="70"/>
    </row>
    <row r="1212" spans="1:11" ht="24" customHeight="1">
      <c r="A1212" s="11" t="s">
        <v>1936</v>
      </c>
      <c r="B1212" s="11" t="s">
        <v>371</v>
      </c>
      <c r="C1212" s="11">
        <v>13</v>
      </c>
      <c r="D1212" s="131" t="s">
        <v>1898</v>
      </c>
      <c r="E1212" s="15">
        <v>5</v>
      </c>
      <c r="F1212" s="15"/>
      <c r="G1212" s="684"/>
      <c r="H1212" s="707"/>
      <c r="I1212" s="707">
        <f t="shared" si="36"/>
        <v>0</v>
      </c>
      <c r="J1212" s="707">
        <f t="shared" si="37"/>
        <v>0</v>
      </c>
      <c r="K1212" s="70"/>
    </row>
    <row r="1213" spans="1:11" ht="24" customHeight="1">
      <c r="A1213" s="33" t="s">
        <v>1434</v>
      </c>
      <c r="B1213" s="33" t="s">
        <v>1435</v>
      </c>
      <c r="C1213" s="33">
        <v>1</v>
      </c>
      <c r="D1213" s="33" t="s">
        <v>1372</v>
      </c>
      <c r="E1213" s="33">
        <v>4</v>
      </c>
      <c r="F1213" s="33"/>
      <c r="G1213" s="522"/>
      <c r="H1213" s="707"/>
      <c r="I1213" s="707">
        <f t="shared" si="36"/>
        <v>0</v>
      </c>
      <c r="J1213" s="707">
        <f t="shared" si="37"/>
        <v>0</v>
      </c>
      <c r="K1213" s="70"/>
    </row>
    <row r="1214" spans="1:11" ht="24" customHeight="1">
      <c r="A1214" s="33" t="s">
        <v>2538</v>
      </c>
      <c r="B1214" s="33" t="s">
        <v>2539</v>
      </c>
      <c r="C1214" s="33">
        <v>10</v>
      </c>
      <c r="D1214" s="33" t="s">
        <v>2540</v>
      </c>
      <c r="E1214" s="33">
        <v>1</v>
      </c>
      <c r="F1214" s="33"/>
      <c r="G1214" s="522"/>
      <c r="H1214" s="707">
        <v>65</v>
      </c>
      <c r="I1214" s="707">
        <f t="shared" si="36"/>
        <v>74.75</v>
      </c>
      <c r="J1214" s="707">
        <f t="shared" si="37"/>
        <v>84.5</v>
      </c>
      <c r="K1214" s="70"/>
    </row>
    <row r="1215" spans="1:11" ht="24" customHeight="1">
      <c r="A1215" s="33" t="s">
        <v>2074</v>
      </c>
      <c r="B1215" s="33" t="s">
        <v>2075</v>
      </c>
      <c r="C1215" s="33">
        <v>1</v>
      </c>
      <c r="D1215" s="33" t="s">
        <v>2026</v>
      </c>
      <c r="E1215" s="33">
        <v>4</v>
      </c>
      <c r="F1215" s="33"/>
      <c r="G1215" s="522"/>
      <c r="H1215" s="707"/>
      <c r="I1215" s="707">
        <f t="shared" si="36"/>
        <v>0</v>
      </c>
      <c r="J1215" s="707">
        <f t="shared" si="37"/>
        <v>0</v>
      </c>
      <c r="K1215" s="70"/>
    </row>
    <row r="1216" spans="1:11" ht="24" customHeight="1">
      <c r="A1216" s="33" t="s">
        <v>2633</v>
      </c>
      <c r="B1216" s="33" t="s">
        <v>34</v>
      </c>
      <c r="C1216" s="33">
        <v>1</v>
      </c>
      <c r="D1216" s="33" t="s">
        <v>2624</v>
      </c>
      <c r="E1216" s="33">
        <v>4</v>
      </c>
      <c r="F1216" s="33"/>
      <c r="G1216" s="522"/>
      <c r="H1216" s="707"/>
      <c r="I1216" s="707">
        <f t="shared" si="36"/>
        <v>0</v>
      </c>
      <c r="J1216" s="707">
        <f t="shared" si="37"/>
        <v>0</v>
      </c>
      <c r="K1216" s="70"/>
    </row>
    <row r="1217" spans="1:11" ht="24" customHeight="1">
      <c r="A1217" s="11" t="s">
        <v>3100</v>
      </c>
      <c r="B1217" s="34" t="s">
        <v>692</v>
      </c>
      <c r="C1217" s="11">
        <v>17</v>
      </c>
      <c r="D1217" s="33" t="s">
        <v>3053</v>
      </c>
      <c r="E1217" s="33">
        <v>3</v>
      </c>
      <c r="F1217" s="33"/>
      <c r="G1217" s="522"/>
      <c r="H1217" s="707"/>
      <c r="I1217" s="707">
        <f t="shared" si="36"/>
        <v>0</v>
      </c>
      <c r="J1217" s="707">
        <f t="shared" si="37"/>
        <v>0</v>
      </c>
      <c r="K1217" s="70"/>
    </row>
    <row r="1218" spans="1:11" ht="24" customHeight="1">
      <c r="A1218" s="33" t="s">
        <v>1979</v>
      </c>
      <c r="B1218" s="33" t="s">
        <v>25</v>
      </c>
      <c r="C1218" s="33">
        <v>39</v>
      </c>
      <c r="D1218" s="33" t="s">
        <v>1938</v>
      </c>
      <c r="E1218" s="33">
        <v>1</v>
      </c>
      <c r="F1218" s="33"/>
      <c r="G1218" s="522"/>
      <c r="H1218" s="707"/>
      <c r="I1218" s="707">
        <f t="shared" ref="I1218:I1281" si="38">H1218 * 1.15</f>
        <v>0</v>
      </c>
      <c r="J1218" s="707">
        <f t="shared" ref="J1218:J1281" si="39">H1218 * 1.3</f>
        <v>0</v>
      </c>
      <c r="K1218" s="70"/>
    </row>
    <row r="1219" spans="1:11" ht="24" customHeight="1">
      <c r="A1219" s="33" t="s">
        <v>2180</v>
      </c>
      <c r="B1219" s="33" t="s">
        <v>27</v>
      </c>
      <c r="C1219" s="33">
        <v>43</v>
      </c>
      <c r="D1219" s="33" t="s">
        <v>2111</v>
      </c>
      <c r="E1219" s="33">
        <v>2</v>
      </c>
      <c r="F1219" s="33"/>
      <c r="G1219" s="522"/>
      <c r="H1219" s="707"/>
      <c r="I1219" s="707">
        <f t="shared" si="38"/>
        <v>0</v>
      </c>
      <c r="J1219" s="707">
        <f t="shared" si="39"/>
        <v>0</v>
      </c>
      <c r="K1219" s="70"/>
    </row>
    <row r="1220" spans="1:11" ht="24" customHeight="1">
      <c r="A1220" s="33" t="s">
        <v>1717</v>
      </c>
      <c r="B1220" s="33" t="s">
        <v>27</v>
      </c>
      <c r="C1220" s="33">
        <v>3</v>
      </c>
      <c r="D1220" s="131" t="s">
        <v>1681</v>
      </c>
      <c r="E1220" s="33">
        <v>3</v>
      </c>
      <c r="F1220" s="33"/>
      <c r="G1220" s="522"/>
      <c r="H1220" s="707"/>
      <c r="I1220" s="707">
        <f t="shared" si="38"/>
        <v>0</v>
      </c>
      <c r="J1220" s="707">
        <f t="shared" si="39"/>
        <v>0</v>
      </c>
      <c r="K1220" s="70"/>
    </row>
    <row r="1221" spans="1:11" ht="24" customHeight="1">
      <c r="A1221" s="2" t="s">
        <v>879</v>
      </c>
      <c r="B1221" s="2" t="s">
        <v>19</v>
      </c>
      <c r="C1221" s="2">
        <v>4</v>
      </c>
      <c r="D1221" s="2" t="s">
        <v>593</v>
      </c>
      <c r="E1221" s="33">
        <v>3</v>
      </c>
      <c r="F1221" s="33"/>
      <c r="G1221" s="522"/>
      <c r="H1221" s="707">
        <v>65</v>
      </c>
      <c r="I1221" s="707">
        <f t="shared" si="38"/>
        <v>74.75</v>
      </c>
      <c r="J1221" s="707">
        <f t="shared" si="39"/>
        <v>84.5</v>
      </c>
      <c r="K1221" s="70" t="s">
        <v>241</v>
      </c>
    </row>
    <row r="1222" spans="1:11" ht="24" customHeight="1">
      <c r="A1222" s="2" t="s">
        <v>679</v>
      </c>
      <c r="B1222" s="2" t="s">
        <v>19</v>
      </c>
      <c r="C1222" s="2">
        <v>5</v>
      </c>
      <c r="D1222" s="2" t="s">
        <v>593</v>
      </c>
      <c r="E1222" s="33">
        <v>2</v>
      </c>
      <c r="F1222" s="33"/>
      <c r="G1222" s="522"/>
      <c r="H1222" s="708"/>
      <c r="I1222" s="707">
        <f t="shared" si="38"/>
        <v>0</v>
      </c>
      <c r="J1222" s="708">
        <f t="shared" si="39"/>
        <v>0</v>
      </c>
      <c r="K1222" s="93"/>
    </row>
    <row r="1223" spans="1:11" ht="24" customHeight="1">
      <c r="A1223" s="33" t="s">
        <v>676</v>
      </c>
      <c r="B1223" s="33" t="s">
        <v>19</v>
      </c>
      <c r="C1223" s="33">
        <v>2</v>
      </c>
      <c r="D1223" s="33" t="s">
        <v>2363</v>
      </c>
      <c r="E1223" s="33">
        <v>4</v>
      </c>
      <c r="F1223" s="33"/>
      <c r="G1223" s="522"/>
      <c r="H1223" s="707"/>
      <c r="I1223" s="707">
        <f t="shared" si="38"/>
        <v>0</v>
      </c>
      <c r="J1223" s="707">
        <f t="shared" si="39"/>
        <v>0</v>
      </c>
      <c r="K1223" s="70"/>
    </row>
    <row r="1224" spans="1:11" ht="24" customHeight="1">
      <c r="A1224" s="74" t="s">
        <v>705</v>
      </c>
      <c r="B1224" s="74" t="s">
        <v>19</v>
      </c>
      <c r="C1224" s="74">
        <v>2</v>
      </c>
      <c r="D1224" s="2" t="s">
        <v>593</v>
      </c>
      <c r="E1224" s="33">
        <v>2</v>
      </c>
      <c r="F1224" s="33"/>
      <c r="G1224" s="522"/>
      <c r="H1224" s="707"/>
      <c r="I1224" s="707">
        <f t="shared" si="38"/>
        <v>0</v>
      </c>
      <c r="J1224" s="707">
        <f t="shared" si="39"/>
        <v>0</v>
      </c>
      <c r="K1224" s="70"/>
    </row>
    <row r="1225" spans="1:11" ht="24" customHeight="1">
      <c r="A1225" s="339" t="s">
        <v>534</v>
      </c>
      <c r="B1225" s="2" t="s">
        <v>27</v>
      </c>
      <c r="C1225" s="2">
        <v>4</v>
      </c>
      <c r="D1225" s="2" t="s">
        <v>274</v>
      </c>
      <c r="E1225" s="33">
        <v>3</v>
      </c>
      <c r="F1225" s="33"/>
      <c r="G1225" s="33"/>
      <c r="H1225" s="707"/>
      <c r="I1225" s="707">
        <f t="shared" si="38"/>
        <v>0</v>
      </c>
      <c r="J1225" s="707">
        <f t="shared" si="39"/>
        <v>0</v>
      </c>
      <c r="K1225" s="70"/>
    </row>
    <row r="1226" spans="1:11" ht="24" customHeight="1">
      <c r="A1226" s="33" t="s">
        <v>1168</v>
      </c>
      <c r="B1226" s="33" t="s">
        <v>1169</v>
      </c>
      <c r="C1226" s="33">
        <v>5</v>
      </c>
      <c r="D1226" s="33" t="s">
        <v>1141</v>
      </c>
      <c r="E1226" s="33">
        <v>1</v>
      </c>
      <c r="F1226" s="33"/>
      <c r="G1226" s="522"/>
      <c r="H1226" s="707"/>
      <c r="I1226" s="707">
        <f t="shared" si="38"/>
        <v>0</v>
      </c>
      <c r="J1226" s="707">
        <f t="shared" si="39"/>
        <v>0</v>
      </c>
      <c r="K1226" s="70"/>
    </row>
    <row r="1227" spans="1:11" ht="24" customHeight="1">
      <c r="A1227" s="74" t="s">
        <v>1490</v>
      </c>
      <c r="B1227" s="74" t="s">
        <v>779</v>
      </c>
      <c r="C1227" s="74">
        <v>3</v>
      </c>
      <c r="D1227" s="33" t="s">
        <v>1372</v>
      </c>
      <c r="E1227" s="33">
        <v>5</v>
      </c>
      <c r="F1227" s="33"/>
      <c r="G1227" s="522"/>
      <c r="H1227" s="707"/>
      <c r="I1227" s="707">
        <f t="shared" si="38"/>
        <v>0</v>
      </c>
      <c r="J1227" s="707">
        <f t="shared" si="39"/>
        <v>0</v>
      </c>
      <c r="K1227" s="70"/>
    </row>
    <row r="1228" spans="1:11" ht="24" customHeight="1">
      <c r="A1228" s="33" t="s">
        <v>1036</v>
      </c>
      <c r="B1228" s="33" t="s">
        <v>371</v>
      </c>
      <c r="C1228" s="33">
        <v>5</v>
      </c>
      <c r="D1228" s="33" t="s">
        <v>992</v>
      </c>
      <c r="E1228" s="33">
        <v>3</v>
      </c>
      <c r="F1228" s="33"/>
      <c r="G1228" s="522"/>
      <c r="H1228" s="707"/>
      <c r="I1228" s="707">
        <f t="shared" si="38"/>
        <v>0</v>
      </c>
      <c r="J1228" s="707">
        <f t="shared" si="39"/>
        <v>0</v>
      </c>
      <c r="K1228" s="70"/>
    </row>
    <row r="1229" spans="1:11" ht="24" customHeight="1">
      <c r="A1229" s="79" t="s">
        <v>1136</v>
      </c>
      <c r="B1229" s="79" t="s">
        <v>1137</v>
      </c>
      <c r="C1229" s="79">
        <v>1</v>
      </c>
      <c r="D1229" s="33" t="s">
        <v>992</v>
      </c>
      <c r="E1229" s="79">
        <v>5</v>
      </c>
      <c r="F1229" s="79"/>
      <c r="G1229" s="60"/>
      <c r="H1229" s="712"/>
      <c r="I1229" s="721">
        <f t="shared" si="38"/>
        <v>0</v>
      </c>
      <c r="J1229" s="712">
        <f t="shared" si="39"/>
        <v>0</v>
      </c>
      <c r="K1229" s="70"/>
    </row>
    <row r="1230" spans="1:11" ht="24" customHeight="1">
      <c r="A1230" s="2" t="s">
        <v>677</v>
      </c>
      <c r="B1230" s="2" t="s">
        <v>678</v>
      </c>
      <c r="C1230" s="2">
        <v>1</v>
      </c>
      <c r="D1230" s="2" t="s">
        <v>593</v>
      </c>
      <c r="E1230" s="33">
        <v>1</v>
      </c>
      <c r="F1230" s="33"/>
      <c r="G1230" s="522"/>
      <c r="H1230" s="708"/>
      <c r="I1230" s="707">
        <f t="shared" si="38"/>
        <v>0</v>
      </c>
      <c r="J1230" s="708">
        <f t="shared" si="39"/>
        <v>0</v>
      </c>
      <c r="K1230" s="93"/>
    </row>
    <row r="1231" spans="1:11" ht="24" customHeight="1">
      <c r="A1231" s="2" t="s">
        <v>677</v>
      </c>
      <c r="B1231" s="2" t="s">
        <v>678</v>
      </c>
      <c r="C1231" s="2">
        <v>2</v>
      </c>
      <c r="D1231" s="65" t="s">
        <v>3348</v>
      </c>
      <c r="E1231" s="33">
        <v>5</v>
      </c>
      <c r="F1231" s="33"/>
      <c r="G1231" s="522"/>
      <c r="H1231" s="707"/>
      <c r="I1231" s="707">
        <f t="shared" si="38"/>
        <v>0</v>
      </c>
      <c r="J1231" s="707">
        <f t="shared" si="39"/>
        <v>0</v>
      </c>
      <c r="K1231" s="70"/>
    </row>
    <row r="1232" spans="1:11" ht="24" customHeight="1">
      <c r="A1232" s="33" t="s">
        <v>3349</v>
      </c>
      <c r="B1232" s="33" t="s">
        <v>27</v>
      </c>
      <c r="C1232" s="33">
        <v>1</v>
      </c>
      <c r="D1232" s="33" t="s">
        <v>3348</v>
      </c>
      <c r="E1232" s="33">
        <v>3</v>
      </c>
      <c r="F1232" s="33"/>
      <c r="G1232" s="522"/>
      <c r="H1232" s="707"/>
      <c r="I1232" s="707">
        <f t="shared" si="38"/>
        <v>0</v>
      </c>
      <c r="J1232" s="707">
        <f t="shared" si="39"/>
        <v>0</v>
      </c>
      <c r="K1232" s="70"/>
    </row>
    <row r="1233" spans="1:11" ht="24" customHeight="1">
      <c r="A1233" s="74" t="s">
        <v>2536</v>
      </c>
      <c r="B1233" s="74" t="s">
        <v>613</v>
      </c>
      <c r="C1233" s="74">
        <v>2</v>
      </c>
      <c r="D1233" s="33" t="s">
        <v>2504</v>
      </c>
      <c r="E1233" s="33">
        <v>5</v>
      </c>
      <c r="F1233" s="33"/>
      <c r="G1233" s="522"/>
      <c r="H1233" s="707"/>
      <c r="I1233" s="707">
        <f t="shared" si="38"/>
        <v>0</v>
      </c>
      <c r="J1233" s="707">
        <f t="shared" si="39"/>
        <v>0</v>
      </c>
      <c r="K1233" s="70"/>
    </row>
    <row r="1234" spans="1:11" ht="24" customHeight="1">
      <c r="A1234" s="59" t="s">
        <v>3214</v>
      </c>
      <c r="B1234" s="59" t="s">
        <v>2264</v>
      </c>
      <c r="C1234" s="59">
        <v>1</v>
      </c>
      <c r="D1234" s="33" t="s">
        <v>3053</v>
      </c>
      <c r="E1234" s="354">
        <v>5</v>
      </c>
      <c r="F1234" s="354"/>
      <c r="G1234" s="688"/>
      <c r="H1234" s="707"/>
      <c r="I1234" s="707">
        <f t="shared" si="38"/>
        <v>0</v>
      </c>
      <c r="J1234" s="707">
        <f t="shared" si="39"/>
        <v>0</v>
      </c>
      <c r="K1234" s="70"/>
    </row>
    <row r="1235" spans="1:11" ht="24" customHeight="1">
      <c r="A1235" s="2" t="s">
        <v>883</v>
      </c>
      <c r="B1235" s="2" t="s">
        <v>613</v>
      </c>
      <c r="C1235" s="2">
        <v>2</v>
      </c>
      <c r="D1235" s="2" t="s">
        <v>593</v>
      </c>
      <c r="E1235" s="33">
        <v>3</v>
      </c>
      <c r="F1235" s="33"/>
      <c r="G1235" s="522"/>
      <c r="H1235" s="707"/>
      <c r="I1235" s="707">
        <f t="shared" si="38"/>
        <v>0</v>
      </c>
      <c r="J1235" s="707">
        <f t="shared" si="39"/>
        <v>0</v>
      </c>
      <c r="K1235" s="70"/>
    </row>
    <row r="1236" spans="1:11" ht="24" customHeight="1">
      <c r="A1236" s="59" t="s">
        <v>2710</v>
      </c>
      <c r="B1236" s="59" t="s">
        <v>10</v>
      </c>
      <c r="C1236" s="59">
        <v>1</v>
      </c>
      <c r="D1236" s="33" t="s">
        <v>2624</v>
      </c>
      <c r="E1236" s="354">
        <v>5</v>
      </c>
      <c r="F1236" s="354"/>
      <c r="G1236" s="688"/>
      <c r="H1236" s="707"/>
      <c r="I1236" s="707">
        <f t="shared" si="38"/>
        <v>0</v>
      </c>
      <c r="J1236" s="707">
        <f t="shared" si="39"/>
        <v>0</v>
      </c>
      <c r="K1236" s="70"/>
    </row>
    <row r="1237" spans="1:11" ht="24" customHeight="1">
      <c r="A1237" s="74" t="s">
        <v>2263</v>
      </c>
      <c r="B1237" s="74" t="s">
        <v>2264</v>
      </c>
      <c r="C1237" s="74">
        <v>1</v>
      </c>
      <c r="D1237" s="33" t="s">
        <v>2191</v>
      </c>
      <c r="E1237" s="33">
        <v>5</v>
      </c>
      <c r="F1237" s="33"/>
      <c r="G1237" s="522"/>
      <c r="H1237" s="707"/>
      <c r="I1237" s="707">
        <f t="shared" si="38"/>
        <v>0</v>
      </c>
      <c r="J1237" s="707">
        <f t="shared" si="39"/>
        <v>0</v>
      </c>
      <c r="K1237" s="70"/>
    </row>
    <row r="1238" spans="1:11" ht="24" customHeight="1">
      <c r="A1238" s="59" t="s">
        <v>2711</v>
      </c>
      <c r="B1238" s="59" t="s">
        <v>2712</v>
      </c>
      <c r="C1238" s="59">
        <v>1</v>
      </c>
      <c r="D1238" s="33" t="s">
        <v>2624</v>
      </c>
      <c r="E1238" s="354">
        <v>5</v>
      </c>
      <c r="F1238" s="354"/>
      <c r="G1238" s="688"/>
      <c r="H1238" s="707"/>
      <c r="I1238" s="707">
        <f t="shared" si="38"/>
        <v>0</v>
      </c>
      <c r="J1238" s="707">
        <f t="shared" si="39"/>
        <v>0</v>
      </c>
      <c r="K1238" s="70"/>
    </row>
    <row r="1239" spans="1:11" ht="24" customHeight="1">
      <c r="A1239" s="33" t="s">
        <v>1081</v>
      </c>
      <c r="B1239" s="33" t="s">
        <v>371</v>
      </c>
      <c r="C1239" s="33">
        <v>1</v>
      </c>
      <c r="D1239" s="33" t="s">
        <v>992</v>
      </c>
      <c r="E1239" s="33">
        <v>4</v>
      </c>
      <c r="F1239" s="33"/>
      <c r="G1239" s="522"/>
      <c r="H1239" s="707"/>
      <c r="I1239" s="707">
        <f t="shared" si="38"/>
        <v>0</v>
      </c>
      <c r="J1239" s="707">
        <f t="shared" si="39"/>
        <v>0</v>
      </c>
      <c r="K1239" s="70"/>
    </row>
    <row r="1240" spans="1:11" ht="24" customHeight="1">
      <c r="A1240" s="33" t="s">
        <v>1394</v>
      </c>
      <c r="B1240" s="33" t="s">
        <v>1395</v>
      </c>
      <c r="C1240" s="33">
        <v>1</v>
      </c>
      <c r="D1240" s="33" t="s">
        <v>1372</v>
      </c>
      <c r="E1240" s="33">
        <v>3</v>
      </c>
      <c r="F1240" s="33"/>
      <c r="G1240" s="522"/>
      <c r="H1240" s="707">
        <v>3200</v>
      </c>
      <c r="I1240" s="707">
        <f t="shared" si="38"/>
        <v>3679.9999999999995</v>
      </c>
      <c r="J1240" s="707">
        <f t="shared" si="39"/>
        <v>4160</v>
      </c>
      <c r="K1240" s="70"/>
    </row>
    <row r="1241" spans="1:11" ht="24" customHeight="1">
      <c r="A1241" s="399" t="s">
        <v>1927</v>
      </c>
      <c r="B1241" s="399" t="s">
        <v>1298</v>
      </c>
      <c r="C1241" s="399">
        <v>1</v>
      </c>
      <c r="D1241" s="400" t="s">
        <v>1898</v>
      </c>
      <c r="E1241" s="400">
        <v>4</v>
      </c>
      <c r="F1241" s="400" t="s">
        <v>1012</v>
      </c>
      <c r="G1241" s="690"/>
      <c r="H1241" s="713"/>
      <c r="I1241" s="713">
        <f t="shared" si="38"/>
        <v>0</v>
      </c>
      <c r="J1241" s="713">
        <f t="shared" si="39"/>
        <v>0</v>
      </c>
      <c r="K1241" s="401"/>
    </row>
    <row r="1242" spans="1:11" ht="24" customHeight="1">
      <c r="A1242" s="399" t="s">
        <v>1928</v>
      </c>
      <c r="B1242" s="399" t="s">
        <v>1929</v>
      </c>
      <c r="C1242" s="399">
        <v>1</v>
      </c>
      <c r="D1242" s="400" t="s">
        <v>1898</v>
      </c>
      <c r="E1242" s="400">
        <v>4</v>
      </c>
      <c r="F1242" s="400" t="s">
        <v>1012</v>
      </c>
      <c r="G1242" s="690"/>
      <c r="H1242" s="713"/>
      <c r="I1242" s="713">
        <f t="shared" si="38"/>
        <v>0</v>
      </c>
      <c r="J1242" s="713">
        <f t="shared" si="39"/>
        <v>0</v>
      </c>
      <c r="K1242" s="401"/>
    </row>
    <row r="1243" spans="1:11" ht="24" customHeight="1">
      <c r="A1243" s="399" t="s">
        <v>1930</v>
      </c>
      <c r="B1243" s="399" t="s">
        <v>1931</v>
      </c>
      <c r="C1243" s="399">
        <v>1</v>
      </c>
      <c r="D1243" s="400" t="s">
        <v>1898</v>
      </c>
      <c r="E1243" s="400">
        <v>4</v>
      </c>
      <c r="F1243" s="400" t="s">
        <v>1012</v>
      </c>
      <c r="G1243" s="690"/>
      <c r="H1243" s="713"/>
      <c r="I1243" s="713">
        <f t="shared" si="38"/>
        <v>0</v>
      </c>
      <c r="J1243" s="713">
        <f t="shared" si="39"/>
        <v>0</v>
      </c>
      <c r="K1243" s="401"/>
    </row>
    <row r="1244" spans="1:11" ht="24" customHeight="1">
      <c r="A1244" s="74" t="s">
        <v>2491</v>
      </c>
      <c r="B1244" s="74" t="s">
        <v>2072</v>
      </c>
      <c r="C1244" s="74">
        <v>1</v>
      </c>
      <c r="D1244" s="33" t="s">
        <v>2363</v>
      </c>
      <c r="E1244" s="33">
        <v>5</v>
      </c>
      <c r="F1244" s="33"/>
      <c r="G1244" s="522"/>
      <c r="H1244" s="707"/>
      <c r="I1244" s="707">
        <f t="shared" si="38"/>
        <v>0</v>
      </c>
      <c r="J1244" s="707">
        <f t="shared" si="39"/>
        <v>0</v>
      </c>
      <c r="K1244" s="70"/>
    </row>
    <row r="1245" spans="1:11" ht="24" customHeight="1">
      <c r="A1245" s="74" t="s">
        <v>2265</v>
      </c>
      <c r="B1245" s="74" t="s">
        <v>558</v>
      </c>
      <c r="C1245" s="74">
        <v>34</v>
      </c>
      <c r="D1245" s="33" t="s">
        <v>2191</v>
      </c>
      <c r="E1245" s="33">
        <v>5</v>
      </c>
      <c r="F1245" s="33"/>
      <c r="G1245" s="522"/>
      <c r="H1245" s="707">
        <v>150</v>
      </c>
      <c r="I1245" s="707">
        <f t="shared" si="38"/>
        <v>172.5</v>
      </c>
      <c r="J1245" s="707">
        <f t="shared" si="39"/>
        <v>195</v>
      </c>
      <c r="K1245" s="70"/>
    </row>
    <row r="1246" spans="1:11" ht="24" customHeight="1">
      <c r="A1246" s="33" t="s">
        <v>1436</v>
      </c>
      <c r="B1246" s="33" t="s">
        <v>1097</v>
      </c>
      <c r="C1246" s="33">
        <v>2</v>
      </c>
      <c r="D1246" s="33" t="s">
        <v>1372</v>
      </c>
      <c r="E1246" s="33">
        <v>4</v>
      </c>
      <c r="F1246" s="33"/>
      <c r="G1246" s="522"/>
      <c r="H1246" s="707"/>
      <c r="I1246" s="707">
        <f t="shared" si="38"/>
        <v>0</v>
      </c>
      <c r="J1246" s="707">
        <f t="shared" si="39"/>
        <v>0</v>
      </c>
      <c r="K1246" s="70"/>
    </row>
    <row r="1247" spans="1:11" ht="24" customHeight="1">
      <c r="A1247" s="33" t="s">
        <v>1436</v>
      </c>
      <c r="B1247" s="33" t="s">
        <v>1097</v>
      </c>
      <c r="C1247" s="33">
        <v>7</v>
      </c>
      <c r="D1247" s="33" t="s">
        <v>1548</v>
      </c>
      <c r="E1247" s="33">
        <v>3</v>
      </c>
      <c r="F1247" s="33"/>
      <c r="G1247" s="522"/>
      <c r="H1247" s="707"/>
      <c r="I1247" s="707">
        <f t="shared" si="38"/>
        <v>0</v>
      </c>
      <c r="J1247" s="707">
        <f t="shared" si="39"/>
        <v>0</v>
      </c>
      <c r="K1247" s="70"/>
    </row>
    <row r="1248" spans="1:11" ht="24" customHeight="1">
      <c r="A1248" s="11" t="s">
        <v>3101</v>
      </c>
      <c r="B1248" s="34" t="s">
        <v>1275</v>
      </c>
      <c r="C1248" s="11">
        <v>1</v>
      </c>
      <c r="D1248" s="33" t="s">
        <v>3053</v>
      </c>
      <c r="E1248" s="33">
        <v>3</v>
      </c>
      <c r="F1248" s="33"/>
      <c r="G1248" s="522"/>
      <c r="H1248" s="707"/>
      <c r="I1248" s="707">
        <f t="shared" si="38"/>
        <v>0</v>
      </c>
      <c r="J1248" s="707">
        <f t="shared" si="39"/>
        <v>0</v>
      </c>
      <c r="K1248" s="70"/>
    </row>
    <row r="1249" spans="1:11" ht="24" customHeight="1">
      <c r="A1249" s="11" t="s">
        <v>3534</v>
      </c>
      <c r="B1249" s="11" t="s">
        <v>3535</v>
      </c>
      <c r="C1249" s="11">
        <v>1</v>
      </c>
      <c r="D1249" s="131" t="s">
        <v>3451</v>
      </c>
      <c r="E1249" s="15">
        <v>3</v>
      </c>
      <c r="F1249" s="15"/>
      <c r="G1249" s="684"/>
      <c r="H1249" s="707"/>
      <c r="I1249" s="707">
        <f t="shared" si="38"/>
        <v>0</v>
      </c>
      <c r="J1249" s="707">
        <f t="shared" si="39"/>
        <v>0</v>
      </c>
      <c r="K1249" s="70"/>
    </row>
    <row r="1250" spans="1:11" ht="24" customHeight="1">
      <c r="A1250" s="33" t="s">
        <v>2076</v>
      </c>
      <c r="B1250" s="33" t="s">
        <v>2077</v>
      </c>
      <c r="C1250" s="33">
        <v>2</v>
      </c>
      <c r="D1250" s="33" t="s">
        <v>2026</v>
      </c>
      <c r="E1250" s="33">
        <v>4</v>
      </c>
      <c r="F1250" s="33"/>
      <c r="G1250" s="522"/>
      <c r="H1250" s="707"/>
      <c r="I1250" s="707">
        <f t="shared" si="38"/>
        <v>0</v>
      </c>
      <c r="J1250" s="707">
        <f t="shared" si="39"/>
        <v>0</v>
      </c>
      <c r="K1250" s="70"/>
    </row>
    <row r="1251" spans="1:11" ht="24" customHeight="1">
      <c r="A1251" s="33" t="s">
        <v>2076</v>
      </c>
      <c r="B1251" s="33" t="s">
        <v>845</v>
      </c>
      <c r="C1251" s="33">
        <v>4</v>
      </c>
      <c r="D1251" s="71" t="s">
        <v>2947</v>
      </c>
      <c r="E1251" s="33">
        <v>4</v>
      </c>
      <c r="F1251" s="33"/>
      <c r="G1251" s="522"/>
      <c r="H1251" s="707"/>
      <c r="I1251" s="707">
        <f t="shared" si="38"/>
        <v>0</v>
      </c>
      <c r="J1251" s="707">
        <f t="shared" si="39"/>
        <v>0</v>
      </c>
      <c r="K1251" s="70"/>
    </row>
    <row r="1252" spans="1:11" ht="24" customHeight="1">
      <c r="A1252" s="33" t="s">
        <v>2752</v>
      </c>
      <c r="B1252" s="33" t="s">
        <v>2753</v>
      </c>
      <c r="C1252" s="33">
        <v>2</v>
      </c>
      <c r="D1252" s="33" t="s">
        <v>2716</v>
      </c>
      <c r="E1252" s="354">
        <v>3</v>
      </c>
      <c r="F1252" s="200" t="s">
        <v>2754</v>
      </c>
      <c r="G1252" s="200"/>
      <c r="H1252" s="708"/>
      <c r="I1252" s="707">
        <f t="shared" si="38"/>
        <v>0</v>
      </c>
      <c r="J1252" s="708">
        <f t="shared" si="39"/>
        <v>0</v>
      </c>
      <c r="K1252" s="70" t="s">
        <v>2727</v>
      </c>
    </row>
    <row r="1253" spans="1:11" ht="24" customHeight="1">
      <c r="A1253" s="3" t="s">
        <v>3217</v>
      </c>
      <c r="B1253" s="59" t="s">
        <v>418</v>
      </c>
      <c r="C1253" s="59">
        <v>1</v>
      </c>
      <c r="D1253" s="33" t="s">
        <v>3053</v>
      </c>
      <c r="E1253" s="354">
        <v>5</v>
      </c>
      <c r="F1253" s="354"/>
      <c r="G1253" s="688"/>
      <c r="H1253" s="707"/>
      <c r="I1253" s="707">
        <f t="shared" si="38"/>
        <v>0</v>
      </c>
      <c r="J1253" s="707">
        <f t="shared" si="39"/>
        <v>0</v>
      </c>
      <c r="K1253" s="70"/>
    </row>
    <row r="1254" spans="1:11" ht="24" customHeight="1">
      <c r="A1254" s="74" t="s">
        <v>2537</v>
      </c>
      <c r="B1254" s="74" t="s">
        <v>485</v>
      </c>
      <c r="C1254" s="74">
        <v>8</v>
      </c>
      <c r="D1254" s="33" t="s">
        <v>2504</v>
      </c>
      <c r="E1254" s="33">
        <v>5</v>
      </c>
      <c r="F1254" s="33"/>
      <c r="G1254" s="522"/>
      <c r="H1254" s="707">
        <v>30</v>
      </c>
      <c r="I1254" s="707">
        <f t="shared" si="38"/>
        <v>34.5</v>
      </c>
      <c r="J1254" s="707">
        <f t="shared" si="39"/>
        <v>39</v>
      </c>
      <c r="K1254" s="70"/>
    </row>
    <row r="1255" spans="1:11" ht="24" customHeight="1">
      <c r="A1255" s="33" t="s">
        <v>2755</v>
      </c>
      <c r="B1255" s="33" t="s">
        <v>2756</v>
      </c>
      <c r="C1255" s="33">
        <v>1</v>
      </c>
      <c r="D1255" s="33" t="s">
        <v>2716</v>
      </c>
      <c r="E1255" s="354">
        <v>3</v>
      </c>
      <c r="F1255" s="354"/>
      <c r="G1255" s="688"/>
      <c r="H1255" s="708"/>
      <c r="I1255" s="707">
        <f t="shared" si="38"/>
        <v>0</v>
      </c>
      <c r="J1255" s="708">
        <f t="shared" si="39"/>
        <v>0</v>
      </c>
      <c r="K1255" s="70" t="s">
        <v>2757</v>
      </c>
    </row>
    <row r="1256" spans="1:11" ht="24" customHeight="1">
      <c r="A1256" s="3" t="s">
        <v>2832</v>
      </c>
      <c r="B1256" s="3" t="s">
        <v>43</v>
      </c>
      <c r="C1256" s="3">
        <v>1</v>
      </c>
      <c r="D1256" s="58" t="s">
        <v>2802</v>
      </c>
      <c r="E1256" s="33">
        <v>2</v>
      </c>
      <c r="F1256" s="33"/>
      <c r="G1256" s="522"/>
      <c r="H1256" s="707"/>
      <c r="I1256" s="707">
        <f t="shared" si="38"/>
        <v>0</v>
      </c>
      <c r="J1256" s="707">
        <f t="shared" si="39"/>
        <v>0</v>
      </c>
      <c r="K1256" s="70"/>
    </row>
    <row r="1257" spans="1:11" ht="24" customHeight="1">
      <c r="A1257" s="33" t="s">
        <v>1082</v>
      </c>
      <c r="B1257" s="33" t="s">
        <v>1083</v>
      </c>
      <c r="C1257" s="33">
        <v>2</v>
      </c>
      <c r="D1257" s="33" t="s">
        <v>992</v>
      </c>
      <c r="E1257" s="33">
        <v>4</v>
      </c>
      <c r="F1257" s="33"/>
      <c r="G1257" s="522"/>
      <c r="H1257" s="707"/>
      <c r="I1257" s="707">
        <f t="shared" si="38"/>
        <v>0</v>
      </c>
      <c r="J1257" s="707">
        <f t="shared" si="39"/>
        <v>0</v>
      </c>
      <c r="K1257" s="70"/>
    </row>
    <row r="1258" spans="1:11" ht="24" customHeight="1">
      <c r="A1258" s="2" t="s">
        <v>3571</v>
      </c>
      <c r="B1258" s="2" t="s">
        <v>10</v>
      </c>
      <c r="C1258" s="2">
        <v>84</v>
      </c>
      <c r="D1258" s="33" t="s">
        <v>3568</v>
      </c>
      <c r="E1258" s="33">
        <v>2</v>
      </c>
      <c r="F1258" s="33"/>
      <c r="G1258" s="522"/>
      <c r="H1258" s="707"/>
      <c r="I1258" s="707">
        <f t="shared" si="38"/>
        <v>0</v>
      </c>
      <c r="J1258" s="707">
        <f t="shared" si="39"/>
        <v>0</v>
      </c>
      <c r="K1258" s="55"/>
    </row>
    <row r="1259" spans="1:11" ht="24" customHeight="1">
      <c r="A1259" s="74" t="s">
        <v>2502</v>
      </c>
      <c r="B1259" s="74" t="s">
        <v>2238</v>
      </c>
      <c r="C1259" s="74">
        <v>1</v>
      </c>
      <c r="D1259" s="33" t="s">
        <v>2363</v>
      </c>
      <c r="E1259" s="33">
        <v>5</v>
      </c>
      <c r="F1259" s="33"/>
      <c r="G1259" s="522"/>
      <c r="H1259" s="707"/>
      <c r="I1259" s="707">
        <f t="shared" si="38"/>
        <v>0</v>
      </c>
      <c r="J1259" s="707">
        <f t="shared" si="39"/>
        <v>0</v>
      </c>
      <c r="K1259" s="70"/>
    </row>
    <row r="1260" spans="1:11" ht="24" customHeight="1">
      <c r="A1260" s="33" t="s">
        <v>2392</v>
      </c>
      <c r="B1260" s="33" t="s">
        <v>2393</v>
      </c>
      <c r="C1260" s="33">
        <v>1</v>
      </c>
      <c r="D1260" s="33" t="s">
        <v>2363</v>
      </c>
      <c r="E1260" s="33">
        <v>3</v>
      </c>
      <c r="F1260" s="33"/>
      <c r="G1260" s="522"/>
      <c r="H1260" s="707">
        <v>500</v>
      </c>
      <c r="I1260" s="707">
        <f t="shared" si="38"/>
        <v>575</v>
      </c>
      <c r="J1260" s="707">
        <f t="shared" si="39"/>
        <v>650</v>
      </c>
      <c r="K1260" s="70"/>
    </row>
    <row r="1261" spans="1:11" ht="24" customHeight="1">
      <c r="A1261" s="33" t="s">
        <v>3384</v>
      </c>
      <c r="B1261" s="33" t="s">
        <v>10</v>
      </c>
      <c r="C1261" s="33">
        <v>31</v>
      </c>
      <c r="D1261" s="33" t="s">
        <v>3348</v>
      </c>
      <c r="E1261" s="33">
        <v>4</v>
      </c>
      <c r="F1261" s="33"/>
      <c r="G1261" s="522"/>
      <c r="H1261" s="707"/>
      <c r="I1261" s="707">
        <f t="shared" si="38"/>
        <v>0</v>
      </c>
      <c r="J1261" s="707">
        <f t="shared" si="39"/>
        <v>0</v>
      </c>
      <c r="K1261" s="70" t="s">
        <v>51</v>
      </c>
    </row>
    <row r="1262" spans="1:11" ht="24" customHeight="1">
      <c r="A1262" s="17" t="s">
        <v>2907</v>
      </c>
      <c r="B1262" s="17" t="s">
        <v>10</v>
      </c>
      <c r="C1262" s="17">
        <v>22</v>
      </c>
      <c r="D1262" s="131" t="s">
        <v>2882</v>
      </c>
      <c r="E1262" s="15">
        <v>2</v>
      </c>
      <c r="F1262" s="15" t="s">
        <v>2900</v>
      </c>
      <c r="G1262" s="684"/>
      <c r="H1262" s="708"/>
      <c r="I1262" s="707">
        <f t="shared" si="38"/>
        <v>0</v>
      </c>
      <c r="J1262" s="708">
        <f t="shared" si="39"/>
        <v>0</v>
      </c>
      <c r="K1262" s="70" t="s">
        <v>549</v>
      </c>
    </row>
    <row r="1263" spans="1:11" ht="24" customHeight="1">
      <c r="A1263" s="33" t="s">
        <v>86</v>
      </c>
      <c r="B1263" s="33" t="s">
        <v>50</v>
      </c>
      <c r="C1263" s="33">
        <v>10</v>
      </c>
      <c r="D1263" s="2" t="s">
        <v>11</v>
      </c>
      <c r="E1263" s="33">
        <v>1</v>
      </c>
      <c r="F1263" s="33"/>
      <c r="G1263" s="522"/>
      <c r="H1263" s="707"/>
      <c r="I1263" s="707">
        <f t="shared" si="38"/>
        <v>0</v>
      </c>
      <c r="J1263" s="707">
        <f t="shared" si="39"/>
        <v>0</v>
      </c>
      <c r="K1263" s="70"/>
    </row>
    <row r="1264" spans="1:11" ht="24" customHeight="1">
      <c r="A1264" s="33" t="s">
        <v>183</v>
      </c>
      <c r="B1264" s="33" t="s">
        <v>10</v>
      </c>
      <c r="C1264" s="33">
        <v>2</v>
      </c>
      <c r="D1264" s="2" t="s">
        <v>11</v>
      </c>
      <c r="E1264" s="33">
        <v>3</v>
      </c>
      <c r="F1264" s="33"/>
      <c r="G1264" s="522"/>
      <c r="H1264" s="707">
        <v>5</v>
      </c>
      <c r="I1264" s="707">
        <f t="shared" si="38"/>
        <v>5.75</v>
      </c>
      <c r="J1264" s="707">
        <f t="shared" si="39"/>
        <v>6.5</v>
      </c>
      <c r="K1264" s="70"/>
    </row>
    <row r="1265" spans="1:11" ht="24" customHeight="1">
      <c r="A1265" s="59" t="s">
        <v>3025</v>
      </c>
      <c r="B1265" s="59" t="s">
        <v>83</v>
      </c>
      <c r="C1265" s="59">
        <v>1</v>
      </c>
      <c r="D1265" s="71" t="s">
        <v>2947</v>
      </c>
      <c r="E1265" s="354">
        <v>5</v>
      </c>
      <c r="F1265" s="354"/>
      <c r="G1265" s="688"/>
      <c r="H1265" s="707"/>
      <c r="I1265" s="707">
        <f t="shared" si="38"/>
        <v>0</v>
      </c>
      <c r="J1265" s="707">
        <f t="shared" si="39"/>
        <v>0</v>
      </c>
      <c r="K1265" s="70"/>
    </row>
    <row r="1266" spans="1:11" ht="24" customHeight="1">
      <c r="A1266" s="74" t="s">
        <v>1323</v>
      </c>
      <c r="B1266" s="74" t="s">
        <v>10</v>
      </c>
      <c r="C1266" s="74">
        <v>2</v>
      </c>
      <c r="D1266" s="33" t="s">
        <v>1201</v>
      </c>
      <c r="E1266" s="33">
        <v>5</v>
      </c>
      <c r="F1266" s="33"/>
      <c r="G1266" s="522"/>
      <c r="H1266" s="707">
        <v>100</v>
      </c>
      <c r="I1266" s="707">
        <f t="shared" si="38"/>
        <v>114.99999999999999</v>
      </c>
      <c r="J1266" s="707">
        <f t="shared" si="39"/>
        <v>130</v>
      </c>
      <c r="K1266" s="70"/>
    </row>
    <row r="1267" spans="1:11" ht="24" customHeight="1">
      <c r="A1267" s="11" t="s">
        <v>1754</v>
      </c>
      <c r="B1267" s="11" t="s">
        <v>83</v>
      </c>
      <c r="C1267" s="11">
        <v>7</v>
      </c>
      <c r="D1267" s="131" t="s">
        <v>1723</v>
      </c>
      <c r="E1267" s="15">
        <v>1</v>
      </c>
      <c r="F1267" s="15"/>
      <c r="G1267" s="684"/>
      <c r="H1267" s="708"/>
      <c r="I1267" s="707">
        <f t="shared" si="38"/>
        <v>0</v>
      </c>
      <c r="J1267" s="708">
        <f t="shared" si="39"/>
        <v>0</v>
      </c>
      <c r="K1267" s="70"/>
    </row>
    <row r="1268" spans="1:11" ht="24" customHeight="1">
      <c r="A1268" s="33" t="s">
        <v>1296</v>
      </c>
      <c r="B1268" s="33" t="s">
        <v>27</v>
      </c>
      <c r="C1268" s="33">
        <v>2</v>
      </c>
      <c r="D1268" s="33" t="s">
        <v>1201</v>
      </c>
      <c r="E1268" s="33">
        <v>4</v>
      </c>
      <c r="F1268" s="33"/>
      <c r="G1268" s="522"/>
      <c r="H1268" s="707"/>
      <c r="I1268" s="707">
        <f t="shared" si="38"/>
        <v>0</v>
      </c>
      <c r="J1268" s="707">
        <f t="shared" si="39"/>
        <v>0</v>
      </c>
      <c r="K1268" s="70"/>
    </row>
    <row r="1269" spans="1:11" ht="24" customHeight="1">
      <c r="A1269" s="10" t="s">
        <v>3071</v>
      </c>
      <c r="B1269" s="34" t="s">
        <v>150</v>
      </c>
      <c r="C1269" s="10">
        <v>1</v>
      </c>
      <c r="D1269" s="33" t="s">
        <v>3053</v>
      </c>
      <c r="E1269" s="17">
        <v>2</v>
      </c>
      <c r="F1269" s="17"/>
      <c r="G1269" s="687"/>
      <c r="H1269" s="707"/>
      <c r="I1269" s="707">
        <f t="shared" si="38"/>
        <v>0</v>
      </c>
      <c r="J1269" s="707">
        <f t="shared" si="39"/>
        <v>0</v>
      </c>
      <c r="K1269" s="70"/>
    </row>
    <row r="1270" spans="1:11" ht="24" customHeight="1">
      <c r="A1270" s="17" t="s">
        <v>1682</v>
      </c>
      <c r="B1270" s="17" t="s">
        <v>1683</v>
      </c>
      <c r="C1270" s="17">
        <v>1</v>
      </c>
      <c r="D1270" s="131" t="s">
        <v>1681</v>
      </c>
      <c r="E1270" s="15">
        <v>1</v>
      </c>
      <c r="F1270" s="15"/>
      <c r="G1270" s="684"/>
      <c r="H1270" s="707"/>
      <c r="I1270" s="707">
        <f t="shared" si="38"/>
        <v>0</v>
      </c>
      <c r="J1270" s="707">
        <f t="shared" si="39"/>
        <v>0</v>
      </c>
      <c r="K1270" s="70"/>
    </row>
    <row r="1271" spans="1:11" ht="24" customHeight="1">
      <c r="A1271" s="74" t="s">
        <v>2181</v>
      </c>
      <c r="B1271" s="74" t="s">
        <v>2165</v>
      </c>
      <c r="C1271" s="74">
        <v>1</v>
      </c>
      <c r="D1271" s="33" t="s">
        <v>2111</v>
      </c>
      <c r="E1271" s="33">
        <v>2</v>
      </c>
      <c r="F1271" s="33"/>
      <c r="G1271" s="522"/>
      <c r="H1271" s="707"/>
      <c r="I1271" s="707">
        <f t="shared" si="38"/>
        <v>0</v>
      </c>
      <c r="J1271" s="707">
        <f t="shared" si="39"/>
        <v>0</v>
      </c>
      <c r="K1271" s="70"/>
    </row>
    <row r="1272" spans="1:11" ht="24" customHeight="1">
      <c r="A1272" s="17" t="s">
        <v>1689</v>
      </c>
      <c r="B1272" s="17" t="s">
        <v>1690</v>
      </c>
      <c r="C1272" s="17">
        <v>1</v>
      </c>
      <c r="D1272" s="131" t="s">
        <v>1681</v>
      </c>
      <c r="E1272" s="15">
        <v>1</v>
      </c>
      <c r="F1272" s="15"/>
      <c r="G1272" s="684"/>
      <c r="H1272" s="707"/>
      <c r="I1272" s="707">
        <f t="shared" si="38"/>
        <v>0</v>
      </c>
      <c r="J1272" s="707">
        <f t="shared" si="39"/>
        <v>0</v>
      </c>
      <c r="K1272" s="70"/>
    </row>
    <row r="1273" spans="1:11" ht="24" customHeight="1">
      <c r="A1273" s="33" t="s">
        <v>1084</v>
      </c>
      <c r="B1273" s="33" t="s">
        <v>1039</v>
      </c>
      <c r="C1273" s="33">
        <v>1</v>
      </c>
      <c r="D1273" s="33" t="s">
        <v>992</v>
      </c>
      <c r="E1273" s="33">
        <v>4</v>
      </c>
      <c r="F1273" s="33"/>
      <c r="G1273" s="522"/>
      <c r="H1273" s="707"/>
      <c r="I1273" s="707">
        <f t="shared" si="38"/>
        <v>0</v>
      </c>
      <c r="J1273" s="707">
        <f t="shared" si="39"/>
        <v>0</v>
      </c>
      <c r="K1273" s="70"/>
    </row>
    <row r="1274" spans="1:11" ht="24" customHeight="1">
      <c r="A1274" s="17" t="s">
        <v>2715</v>
      </c>
      <c r="B1274" s="17" t="s">
        <v>272</v>
      </c>
      <c r="C1274" s="17">
        <v>3</v>
      </c>
      <c r="D1274" s="131" t="s">
        <v>2716</v>
      </c>
      <c r="E1274" s="15">
        <v>1</v>
      </c>
      <c r="F1274" s="15"/>
      <c r="G1274" s="684"/>
      <c r="H1274" s="707"/>
      <c r="I1274" s="707">
        <f t="shared" si="38"/>
        <v>0</v>
      </c>
      <c r="J1274" s="707">
        <f t="shared" si="39"/>
        <v>0</v>
      </c>
      <c r="K1274" s="70"/>
    </row>
    <row r="1275" spans="1:11" ht="24" customHeight="1">
      <c r="A1275" s="33" t="s">
        <v>1170</v>
      </c>
      <c r="B1275" s="33" t="s">
        <v>150</v>
      </c>
      <c r="C1275" s="33">
        <v>2</v>
      </c>
      <c r="D1275" s="33" t="s">
        <v>1141</v>
      </c>
      <c r="E1275" s="33">
        <v>1</v>
      </c>
      <c r="F1275" s="33"/>
      <c r="G1275" s="522"/>
      <c r="H1275" s="707"/>
      <c r="I1275" s="707">
        <f t="shared" si="38"/>
        <v>0</v>
      </c>
      <c r="J1275" s="707">
        <f t="shared" si="39"/>
        <v>0</v>
      </c>
      <c r="K1275" s="70"/>
    </row>
    <row r="1276" spans="1:11" ht="24" customHeight="1">
      <c r="A1276" s="33" t="s">
        <v>990</v>
      </c>
      <c r="B1276" s="33" t="s">
        <v>150</v>
      </c>
      <c r="C1276" s="33">
        <v>1</v>
      </c>
      <c r="D1276" s="33" t="s">
        <v>910</v>
      </c>
      <c r="E1276" s="33">
        <v>2</v>
      </c>
      <c r="F1276" s="33"/>
      <c r="G1276" s="522"/>
      <c r="H1276" s="707"/>
      <c r="I1276" s="707">
        <f t="shared" si="38"/>
        <v>0</v>
      </c>
      <c r="J1276" s="707">
        <f t="shared" si="39"/>
        <v>0</v>
      </c>
      <c r="K1276" s="70"/>
    </row>
    <row r="1277" spans="1:11" ht="24" customHeight="1">
      <c r="A1277" s="3" t="s">
        <v>2833</v>
      </c>
      <c r="B1277" s="3" t="s">
        <v>2165</v>
      </c>
      <c r="C1277" s="3">
        <v>4</v>
      </c>
      <c r="D1277" s="58" t="s">
        <v>2802</v>
      </c>
      <c r="E1277" s="33">
        <v>2</v>
      </c>
      <c r="F1277" s="33"/>
      <c r="G1277" s="522"/>
      <c r="H1277" s="707"/>
      <c r="I1277" s="707">
        <f t="shared" si="38"/>
        <v>0</v>
      </c>
      <c r="J1277" s="707">
        <f t="shared" si="39"/>
        <v>0</v>
      </c>
      <c r="K1277" s="70"/>
    </row>
    <row r="1278" spans="1:11" ht="24" customHeight="1">
      <c r="A1278" s="2" t="s">
        <v>884</v>
      </c>
      <c r="B1278" s="2" t="s">
        <v>885</v>
      </c>
      <c r="C1278" s="2">
        <v>1</v>
      </c>
      <c r="D1278" s="2" t="s">
        <v>593</v>
      </c>
      <c r="E1278" s="33">
        <v>3</v>
      </c>
      <c r="F1278" s="33"/>
      <c r="G1278" s="522"/>
      <c r="H1278" s="707"/>
      <c r="I1278" s="707">
        <f t="shared" si="38"/>
        <v>0</v>
      </c>
      <c r="J1278" s="707">
        <f t="shared" si="39"/>
        <v>0</v>
      </c>
      <c r="K1278" s="70"/>
    </row>
    <row r="1279" spans="1:11" ht="24" customHeight="1">
      <c r="A1279" s="33" t="s">
        <v>2078</v>
      </c>
      <c r="B1279" s="33" t="s">
        <v>1623</v>
      </c>
      <c r="C1279" s="33">
        <v>3</v>
      </c>
      <c r="D1279" s="33" t="s">
        <v>2026</v>
      </c>
      <c r="E1279" s="33">
        <v>4</v>
      </c>
      <c r="F1279" s="33"/>
      <c r="G1279" s="522"/>
      <c r="H1279" s="707"/>
      <c r="I1279" s="707">
        <f t="shared" si="38"/>
        <v>0</v>
      </c>
      <c r="J1279" s="707">
        <f t="shared" si="39"/>
        <v>0</v>
      </c>
      <c r="K1279" s="70"/>
    </row>
    <row r="1280" spans="1:11" ht="24" customHeight="1">
      <c r="A1280" s="33" t="s">
        <v>3253</v>
      </c>
      <c r="B1280" s="33" t="s">
        <v>1623</v>
      </c>
      <c r="C1280" s="33">
        <v>9</v>
      </c>
      <c r="D1280" s="33" t="s">
        <v>3053</v>
      </c>
      <c r="E1280" s="354">
        <v>5</v>
      </c>
      <c r="F1280" s="354"/>
      <c r="G1280" s="688"/>
      <c r="H1280" s="707"/>
      <c r="I1280" s="707">
        <f t="shared" si="38"/>
        <v>0</v>
      </c>
      <c r="J1280" s="707">
        <f t="shared" si="39"/>
        <v>0</v>
      </c>
      <c r="K1280" s="70"/>
    </row>
    <row r="1281" spans="1:11" ht="24" customHeight="1">
      <c r="A1281" s="33" t="s">
        <v>3180</v>
      </c>
      <c r="B1281" s="33" t="s">
        <v>1169</v>
      </c>
      <c r="C1281" s="33">
        <v>3</v>
      </c>
      <c r="D1281" s="33" t="s">
        <v>3053</v>
      </c>
      <c r="E1281" s="33">
        <v>3</v>
      </c>
      <c r="F1281" s="33"/>
      <c r="G1281" s="522"/>
      <c r="H1281" s="707"/>
      <c r="I1281" s="707">
        <f t="shared" si="38"/>
        <v>0</v>
      </c>
      <c r="J1281" s="707">
        <f t="shared" si="39"/>
        <v>0</v>
      </c>
      <c r="K1281" s="70"/>
    </row>
    <row r="1282" spans="1:11" ht="24" customHeight="1">
      <c r="A1282" s="33" t="s">
        <v>2360</v>
      </c>
      <c r="B1282" s="33" t="s">
        <v>474</v>
      </c>
      <c r="C1282" s="33">
        <v>1</v>
      </c>
      <c r="D1282" s="33" t="s">
        <v>2276</v>
      </c>
      <c r="E1282" s="33">
        <v>1</v>
      </c>
      <c r="F1282" s="33"/>
      <c r="G1282" s="522"/>
      <c r="H1282" s="707"/>
      <c r="I1282" s="707">
        <f t="shared" ref="I1282:I1345" si="40">H1282 * 1.15</f>
        <v>0</v>
      </c>
      <c r="J1282" s="707">
        <f t="shared" ref="J1282:J1345" si="41">H1282 * 1.3</f>
        <v>0</v>
      </c>
      <c r="K1282" s="70"/>
    </row>
    <row r="1283" spans="1:11" ht="24" customHeight="1">
      <c r="A1283" s="33" t="s">
        <v>185</v>
      </c>
      <c r="B1283" s="33" t="s">
        <v>19</v>
      </c>
      <c r="C1283" s="33">
        <v>25</v>
      </c>
      <c r="D1283" s="2" t="s">
        <v>11</v>
      </c>
      <c r="E1283" s="33">
        <v>3</v>
      </c>
      <c r="F1283" s="33"/>
      <c r="G1283" s="522"/>
      <c r="H1283" s="707"/>
      <c r="I1283" s="707">
        <f t="shared" si="40"/>
        <v>0</v>
      </c>
      <c r="J1283" s="707">
        <f t="shared" si="41"/>
        <v>0</v>
      </c>
      <c r="K1283" s="70"/>
    </row>
    <row r="1284" spans="1:11" ht="24" customHeight="1">
      <c r="A1284" s="33" t="s">
        <v>184</v>
      </c>
      <c r="B1284" s="33" t="s">
        <v>41</v>
      </c>
      <c r="C1284" s="33">
        <v>50</v>
      </c>
      <c r="D1284" s="2" t="s">
        <v>11</v>
      </c>
      <c r="E1284" s="33">
        <v>3</v>
      </c>
      <c r="F1284" s="33"/>
      <c r="G1284" s="522"/>
      <c r="H1284" s="707"/>
      <c r="I1284" s="707">
        <f t="shared" si="40"/>
        <v>0</v>
      </c>
      <c r="J1284" s="707">
        <f t="shared" si="41"/>
        <v>0</v>
      </c>
      <c r="K1284" s="70"/>
    </row>
    <row r="1285" spans="1:11" ht="24" customHeight="1">
      <c r="A1285" s="33" t="s">
        <v>1626</v>
      </c>
      <c r="B1285" s="33" t="s">
        <v>1627</v>
      </c>
      <c r="C1285" s="33">
        <v>5</v>
      </c>
      <c r="D1285" s="33" t="s">
        <v>1548</v>
      </c>
      <c r="E1285" s="33">
        <v>3</v>
      </c>
      <c r="F1285" s="33"/>
      <c r="G1285" s="522"/>
      <c r="H1285" s="707">
        <v>5</v>
      </c>
      <c r="I1285" s="707">
        <f t="shared" si="40"/>
        <v>5.75</v>
      </c>
      <c r="J1285" s="707">
        <f t="shared" si="41"/>
        <v>6.5</v>
      </c>
      <c r="K1285" s="70"/>
    </row>
    <row r="1286" spans="1:11" ht="24" customHeight="1">
      <c r="A1286" s="33" t="s">
        <v>1628</v>
      </c>
      <c r="B1286" s="33" t="s">
        <v>1629</v>
      </c>
      <c r="C1286" s="33">
        <v>16</v>
      </c>
      <c r="D1286" s="33" t="s">
        <v>1548</v>
      </c>
      <c r="E1286" s="33">
        <v>3</v>
      </c>
      <c r="F1286" s="33"/>
      <c r="G1286" s="522"/>
      <c r="H1286" s="707">
        <v>1</v>
      </c>
      <c r="I1286" s="707">
        <f t="shared" si="40"/>
        <v>1.1499999999999999</v>
      </c>
      <c r="J1286" s="707">
        <f t="shared" si="41"/>
        <v>1.3</v>
      </c>
      <c r="K1286" s="70"/>
    </row>
    <row r="1287" spans="1:11" ht="24" customHeight="1">
      <c r="A1287" s="33" t="s">
        <v>1630</v>
      </c>
      <c r="B1287" s="33" t="s">
        <v>1631</v>
      </c>
      <c r="C1287" s="33">
        <v>20</v>
      </c>
      <c r="D1287" s="33" t="s">
        <v>1548</v>
      </c>
      <c r="E1287" s="33">
        <v>3</v>
      </c>
      <c r="F1287" s="33"/>
      <c r="G1287" s="522"/>
      <c r="H1287" s="707"/>
      <c r="I1287" s="707">
        <f t="shared" si="40"/>
        <v>0</v>
      </c>
      <c r="J1287" s="707">
        <f t="shared" si="41"/>
        <v>0</v>
      </c>
      <c r="K1287" s="70"/>
    </row>
    <row r="1288" spans="1:11" ht="24" customHeight="1">
      <c r="A1288" s="3" t="s">
        <v>2834</v>
      </c>
      <c r="B1288" s="3" t="s">
        <v>21</v>
      </c>
      <c r="C1288" s="3">
        <v>9</v>
      </c>
      <c r="D1288" s="58" t="s">
        <v>2802</v>
      </c>
      <c r="E1288" s="33">
        <v>2</v>
      </c>
      <c r="F1288" s="33"/>
      <c r="G1288" s="522"/>
      <c r="H1288" s="707">
        <v>60</v>
      </c>
      <c r="I1288" s="707">
        <f t="shared" si="40"/>
        <v>69</v>
      </c>
      <c r="J1288" s="707">
        <f t="shared" si="41"/>
        <v>78</v>
      </c>
      <c r="K1288" s="70"/>
    </row>
    <row r="1289" spans="1:11" ht="24" customHeight="1">
      <c r="A1289" s="33" t="s">
        <v>3420</v>
      </c>
      <c r="B1289" s="33" t="s">
        <v>21</v>
      </c>
      <c r="C1289" s="33">
        <v>8</v>
      </c>
      <c r="D1289" s="33" t="s">
        <v>3348</v>
      </c>
      <c r="E1289" s="33">
        <v>4</v>
      </c>
      <c r="F1289" s="33"/>
      <c r="G1289" s="522"/>
      <c r="H1289" s="707"/>
      <c r="I1289" s="707">
        <f t="shared" si="40"/>
        <v>0</v>
      </c>
      <c r="J1289" s="707">
        <f t="shared" si="41"/>
        <v>0</v>
      </c>
      <c r="K1289" s="70"/>
    </row>
    <row r="1290" spans="1:11" ht="24" customHeight="1">
      <c r="A1290" s="33" t="s">
        <v>3334</v>
      </c>
      <c r="B1290" s="33" t="s">
        <v>845</v>
      </c>
      <c r="C1290" s="33">
        <v>11</v>
      </c>
      <c r="D1290" s="33" t="s">
        <v>3279</v>
      </c>
      <c r="E1290" s="33">
        <v>4</v>
      </c>
      <c r="F1290" s="33"/>
      <c r="G1290" s="522"/>
      <c r="H1290" s="707"/>
      <c r="I1290" s="707">
        <f t="shared" si="40"/>
        <v>0</v>
      </c>
      <c r="J1290" s="707">
        <f t="shared" si="41"/>
        <v>0</v>
      </c>
      <c r="K1290" s="70"/>
    </row>
    <row r="1291" spans="1:11" ht="24" customHeight="1">
      <c r="A1291" s="33" t="s">
        <v>1266</v>
      </c>
      <c r="B1291" s="33" t="s">
        <v>172</v>
      </c>
      <c r="C1291" s="33">
        <v>6</v>
      </c>
      <c r="D1291" s="33" t="s">
        <v>1201</v>
      </c>
      <c r="E1291" s="33">
        <v>4</v>
      </c>
      <c r="F1291" s="33"/>
      <c r="G1291" s="522"/>
      <c r="H1291" s="707"/>
      <c r="I1291" s="707">
        <f t="shared" si="40"/>
        <v>0</v>
      </c>
      <c r="J1291" s="707">
        <f t="shared" si="41"/>
        <v>0</v>
      </c>
      <c r="K1291" s="70"/>
    </row>
    <row r="1292" spans="1:11" ht="24" customHeight="1">
      <c r="A1292" s="74" t="s">
        <v>2159</v>
      </c>
      <c r="B1292" s="74" t="s">
        <v>2160</v>
      </c>
      <c r="C1292" s="74">
        <v>71</v>
      </c>
      <c r="D1292" s="33" t="s">
        <v>2111</v>
      </c>
      <c r="E1292" s="33">
        <v>2</v>
      </c>
      <c r="F1292" s="33"/>
      <c r="G1292" s="522"/>
      <c r="H1292" s="707"/>
      <c r="I1292" s="707">
        <f t="shared" si="40"/>
        <v>0</v>
      </c>
      <c r="J1292" s="707">
        <f t="shared" si="41"/>
        <v>0</v>
      </c>
      <c r="K1292" s="70"/>
    </row>
    <row r="1293" spans="1:11" ht="24" customHeight="1">
      <c r="A1293" s="33" t="s">
        <v>2525</v>
      </c>
      <c r="B1293" s="33" t="s">
        <v>43</v>
      </c>
      <c r="C1293" s="33">
        <v>1</v>
      </c>
      <c r="D1293" s="33" t="s">
        <v>2504</v>
      </c>
      <c r="E1293" s="33">
        <v>5</v>
      </c>
      <c r="F1293" s="33"/>
      <c r="G1293" s="522"/>
      <c r="H1293" s="707"/>
      <c r="I1293" s="707">
        <f t="shared" si="40"/>
        <v>0</v>
      </c>
      <c r="J1293" s="707">
        <f t="shared" si="41"/>
        <v>0</v>
      </c>
      <c r="K1293" s="70"/>
    </row>
    <row r="1294" spans="1:11" ht="24" customHeight="1">
      <c r="A1294" s="2" t="s">
        <v>803</v>
      </c>
      <c r="B1294" s="2" t="s">
        <v>147</v>
      </c>
      <c r="C1294" s="2">
        <v>6</v>
      </c>
      <c r="D1294" s="2" t="s">
        <v>593</v>
      </c>
      <c r="E1294" s="33">
        <v>3</v>
      </c>
      <c r="F1294" s="33"/>
      <c r="G1294" s="522"/>
      <c r="H1294" s="707">
        <v>50</v>
      </c>
      <c r="I1294" s="707">
        <f t="shared" si="40"/>
        <v>57.499999999999993</v>
      </c>
      <c r="J1294" s="707">
        <f t="shared" si="41"/>
        <v>65</v>
      </c>
      <c r="K1294" s="70"/>
    </row>
    <row r="1295" spans="1:11" ht="24" customHeight="1">
      <c r="A1295" s="2" t="s">
        <v>35</v>
      </c>
      <c r="B1295" s="2" t="s">
        <v>36</v>
      </c>
      <c r="C1295" s="2">
        <v>2</v>
      </c>
      <c r="D1295" s="2" t="s">
        <v>11</v>
      </c>
      <c r="E1295" s="33">
        <v>1</v>
      </c>
      <c r="F1295" s="33"/>
      <c r="G1295" s="522"/>
      <c r="H1295" s="707"/>
      <c r="I1295" s="707">
        <f t="shared" si="40"/>
        <v>0</v>
      </c>
      <c r="J1295" s="707">
        <f t="shared" si="41"/>
        <v>0</v>
      </c>
      <c r="K1295" s="70"/>
    </row>
    <row r="1296" spans="1:11" ht="24" customHeight="1">
      <c r="A1296" s="33" t="s">
        <v>3110</v>
      </c>
      <c r="B1296" s="33" t="s">
        <v>45</v>
      </c>
      <c r="C1296" s="33">
        <v>6</v>
      </c>
      <c r="D1296" s="33" t="s">
        <v>3053</v>
      </c>
      <c r="E1296" s="33">
        <v>3</v>
      </c>
      <c r="F1296" s="33"/>
      <c r="G1296" s="522"/>
      <c r="H1296" s="707"/>
      <c r="I1296" s="707">
        <f t="shared" si="40"/>
        <v>0</v>
      </c>
      <c r="J1296" s="707">
        <f t="shared" si="41"/>
        <v>0</v>
      </c>
      <c r="K1296" s="70"/>
    </row>
    <row r="1297" spans="1:11" ht="24" customHeight="1">
      <c r="A1297" s="33" t="s">
        <v>1998</v>
      </c>
      <c r="B1297" s="33" t="s">
        <v>1999</v>
      </c>
      <c r="C1297" s="33">
        <v>7</v>
      </c>
      <c r="D1297" s="33" t="s">
        <v>1938</v>
      </c>
      <c r="E1297" s="33">
        <v>2</v>
      </c>
      <c r="F1297" s="33"/>
      <c r="G1297" s="522"/>
      <c r="H1297" s="707"/>
      <c r="I1297" s="707">
        <f t="shared" si="40"/>
        <v>0</v>
      </c>
      <c r="J1297" s="707">
        <f t="shared" si="41"/>
        <v>0</v>
      </c>
      <c r="K1297" s="70"/>
    </row>
    <row r="1298" spans="1:11" ht="24" customHeight="1">
      <c r="A1298" s="33" t="s">
        <v>2963</v>
      </c>
      <c r="B1298" s="33" t="s">
        <v>45</v>
      </c>
      <c r="C1298" s="33">
        <v>6</v>
      </c>
      <c r="D1298" s="71" t="s">
        <v>2947</v>
      </c>
      <c r="E1298" s="33">
        <v>4</v>
      </c>
      <c r="F1298" s="33"/>
      <c r="G1298" s="522"/>
      <c r="H1298" s="707"/>
      <c r="I1298" s="707">
        <f t="shared" si="40"/>
        <v>0</v>
      </c>
      <c r="J1298" s="707">
        <f t="shared" si="41"/>
        <v>0</v>
      </c>
      <c r="K1298" s="70"/>
    </row>
    <row r="1299" spans="1:11" ht="24" customHeight="1">
      <c r="A1299" s="33" t="s">
        <v>2062</v>
      </c>
      <c r="B1299" s="33" t="s">
        <v>1778</v>
      </c>
      <c r="C1299" s="33">
        <v>1</v>
      </c>
      <c r="D1299" s="33" t="s">
        <v>2026</v>
      </c>
      <c r="E1299" s="33">
        <v>4</v>
      </c>
      <c r="F1299" s="33"/>
      <c r="G1299" s="522"/>
      <c r="H1299" s="707"/>
      <c r="I1299" s="707">
        <f t="shared" si="40"/>
        <v>0</v>
      </c>
      <c r="J1299" s="707">
        <f t="shared" si="41"/>
        <v>0</v>
      </c>
      <c r="K1299" s="70"/>
    </row>
    <row r="1300" spans="1:11" ht="24" customHeight="1">
      <c r="A1300" s="74" t="s">
        <v>1443</v>
      </c>
      <c r="B1300" s="74" t="s">
        <v>1444</v>
      </c>
      <c r="C1300" s="74">
        <v>1</v>
      </c>
      <c r="D1300" s="33" t="s">
        <v>1372</v>
      </c>
      <c r="E1300" s="33">
        <v>5</v>
      </c>
      <c r="F1300" s="33"/>
      <c r="G1300" s="522"/>
      <c r="H1300" s="707"/>
      <c r="I1300" s="707">
        <f t="shared" si="40"/>
        <v>0</v>
      </c>
      <c r="J1300" s="707">
        <f t="shared" si="41"/>
        <v>0</v>
      </c>
      <c r="K1300" s="70"/>
    </row>
    <row r="1301" spans="1:11" ht="24" customHeight="1">
      <c r="A1301" s="33" t="s">
        <v>1529</v>
      </c>
      <c r="B1301" s="33" t="s">
        <v>558</v>
      </c>
      <c r="C1301" s="33">
        <v>1</v>
      </c>
      <c r="D1301" s="33" t="s">
        <v>1494</v>
      </c>
      <c r="E1301" s="33">
        <v>2</v>
      </c>
      <c r="F1301" s="33"/>
      <c r="G1301" s="522"/>
      <c r="H1301" s="707"/>
      <c r="I1301" s="707">
        <f t="shared" si="40"/>
        <v>0</v>
      </c>
      <c r="J1301" s="707">
        <f t="shared" si="41"/>
        <v>0</v>
      </c>
      <c r="K1301" s="70"/>
    </row>
    <row r="1302" spans="1:11" ht="24" customHeight="1">
      <c r="A1302" s="33" t="s">
        <v>1060</v>
      </c>
      <c r="B1302" s="33" t="s">
        <v>665</v>
      </c>
      <c r="C1302" s="33">
        <v>58</v>
      </c>
      <c r="D1302" s="33" t="s">
        <v>992</v>
      </c>
      <c r="E1302" s="33">
        <v>4</v>
      </c>
      <c r="F1302" s="33"/>
      <c r="G1302" s="522"/>
      <c r="H1302" s="707">
        <v>10</v>
      </c>
      <c r="I1302" s="707">
        <f t="shared" si="40"/>
        <v>11.5</v>
      </c>
      <c r="J1302" s="707">
        <f t="shared" si="41"/>
        <v>13</v>
      </c>
      <c r="K1302" s="70"/>
    </row>
    <row r="1303" spans="1:11" ht="24" customHeight="1">
      <c r="A1303" s="2" t="s">
        <v>734</v>
      </c>
      <c r="B1303" s="2" t="s">
        <v>83</v>
      </c>
      <c r="C1303" s="2">
        <v>1</v>
      </c>
      <c r="D1303" s="2" t="s">
        <v>593</v>
      </c>
      <c r="E1303" s="33">
        <v>3</v>
      </c>
      <c r="F1303" s="33"/>
      <c r="G1303" s="522"/>
      <c r="H1303" s="707"/>
      <c r="I1303" s="707">
        <f t="shared" si="40"/>
        <v>0</v>
      </c>
      <c r="J1303" s="707">
        <f t="shared" si="41"/>
        <v>0</v>
      </c>
      <c r="K1303" s="70"/>
    </row>
    <row r="1304" spans="1:11" ht="24" customHeight="1">
      <c r="A1304" s="65" t="s">
        <v>3421</v>
      </c>
      <c r="B1304" s="68" t="s">
        <v>3422</v>
      </c>
      <c r="C1304" s="65">
        <v>1</v>
      </c>
      <c r="D1304" s="65" t="s">
        <v>3348</v>
      </c>
      <c r="E1304" s="33">
        <v>5</v>
      </c>
      <c r="F1304" s="33"/>
      <c r="G1304" s="522"/>
      <c r="H1304" s="707"/>
      <c r="I1304" s="707">
        <f t="shared" si="40"/>
        <v>0</v>
      </c>
      <c r="J1304" s="707">
        <f t="shared" si="41"/>
        <v>0</v>
      </c>
      <c r="K1304" s="70"/>
    </row>
    <row r="1305" spans="1:11" ht="24" customHeight="1">
      <c r="A1305" s="33" t="s">
        <v>2112</v>
      </c>
      <c r="B1305" s="33" t="s">
        <v>814</v>
      </c>
      <c r="C1305" s="33">
        <v>110</v>
      </c>
      <c r="D1305" s="33" t="s">
        <v>2111</v>
      </c>
      <c r="E1305" s="33">
        <v>1</v>
      </c>
      <c r="F1305" s="33"/>
      <c r="G1305" s="522"/>
      <c r="H1305" s="707"/>
      <c r="I1305" s="707">
        <f t="shared" si="40"/>
        <v>0</v>
      </c>
      <c r="J1305" s="707">
        <f t="shared" si="41"/>
        <v>0</v>
      </c>
      <c r="K1305" s="70"/>
    </row>
    <row r="1306" spans="1:11" ht="24" customHeight="1">
      <c r="A1306" s="33" t="s">
        <v>2112</v>
      </c>
      <c r="B1306" s="33" t="s">
        <v>1315</v>
      </c>
      <c r="C1306" s="33">
        <v>43</v>
      </c>
      <c r="D1306" s="33" t="s">
        <v>2624</v>
      </c>
      <c r="E1306" s="33">
        <v>3</v>
      </c>
      <c r="F1306" s="33"/>
      <c r="G1306" s="522"/>
      <c r="H1306" s="707"/>
      <c r="I1306" s="707">
        <f t="shared" si="40"/>
        <v>0</v>
      </c>
      <c r="J1306" s="707">
        <f t="shared" si="41"/>
        <v>0</v>
      </c>
      <c r="K1306" s="70"/>
    </row>
    <row r="1307" spans="1:11" ht="24" customHeight="1">
      <c r="A1307" s="74" t="s">
        <v>1109</v>
      </c>
      <c r="B1307" s="74" t="s">
        <v>350</v>
      </c>
      <c r="C1307" s="74">
        <v>1</v>
      </c>
      <c r="D1307" s="33" t="s">
        <v>992</v>
      </c>
      <c r="E1307" s="33">
        <v>5</v>
      </c>
      <c r="F1307" s="33"/>
      <c r="G1307" s="522"/>
      <c r="H1307" s="707">
        <v>400</v>
      </c>
      <c r="I1307" s="707">
        <f t="shared" si="40"/>
        <v>459.99999999999994</v>
      </c>
      <c r="J1307" s="707">
        <f t="shared" si="41"/>
        <v>520</v>
      </c>
      <c r="K1307" s="70"/>
    </row>
    <row r="1308" spans="1:11" ht="24" customHeight="1">
      <c r="A1308" s="74" t="s">
        <v>1662</v>
      </c>
      <c r="B1308" s="74" t="s">
        <v>21</v>
      </c>
      <c r="C1308" s="74">
        <v>3</v>
      </c>
      <c r="D1308" s="33" t="s">
        <v>1548</v>
      </c>
      <c r="E1308" s="33">
        <v>5</v>
      </c>
      <c r="F1308" s="33"/>
      <c r="G1308" s="522"/>
      <c r="H1308" s="707">
        <v>25</v>
      </c>
      <c r="I1308" s="707">
        <f t="shared" si="40"/>
        <v>28.749999999999996</v>
      </c>
      <c r="J1308" s="707">
        <f t="shared" si="41"/>
        <v>32.5</v>
      </c>
      <c r="K1308" s="70"/>
    </row>
    <row r="1309" spans="1:11" ht="24" customHeight="1">
      <c r="A1309" s="33" t="s">
        <v>918</v>
      </c>
      <c r="B1309" s="33" t="s">
        <v>21</v>
      </c>
      <c r="C1309" s="33">
        <v>3</v>
      </c>
      <c r="D1309" s="33" t="s">
        <v>910</v>
      </c>
      <c r="E1309" s="33">
        <v>1</v>
      </c>
      <c r="F1309" s="33"/>
      <c r="G1309" s="522"/>
      <c r="H1309" s="711">
        <v>3</v>
      </c>
      <c r="I1309" s="711">
        <f t="shared" si="40"/>
        <v>3.4499999999999997</v>
      </c>
      <c r="J1309" s="711">
        <f t="shared" si="41"/>
        <v>3.9000000000000004</v>
      </c>
      <c r="K1309" s="70"/>
    </row>
    <row r="1310" spans="1:11" ht="24" customHeight="1">
      <c r="A1310" s="33" t="s">
        <v>2296</v>
      </c>
      <c r="B1310" s="33" t="s">
        <v>915</v>
      </c>
      <c r="C1310" s="33">
        <v>2</v>
      </c>
      <c r="D1310" s="33" t="s">
        <v>2276</v>
      </c>
      <c r="E1310" s="33">
        <v>1</v>
      </c>
      <c r="F1310" s="33"/>
      <c r="G1310" s="522"/>
      <c r="H1310" s="707"/>
      <c r="I1310" s="707">
        <f t="shared" si="40"/>
        <v>0</v>
      </c>
      <c r="J1310" s="707">
        <f t="shared" si="41"/>
        <v>0</v>
      </c>
      <c r="K1310" s="70"/>
    </row>
    <row r="1311" spans="1:11" ht="24" customHeight="1">
      <c r="A1311" s="2" t="s">
        <v>349</v>
      </c>
      <c r="B1311" s="2" t="s">
        <v>350</v>
      </c>
      <c r="C1311" s="2">
        <v>1</v>
      </c>
      <c r="D1311" s="2" t="s">
        <v>274</v>
      </c>
      <c r="E1311" s="33">
        <v>1</v>
      </c>
      <c r="F1311" s="33"/>
      <c r="G1311" s="522"/>
      <c r="H1311" s="707">
        <v>200</v>
      </c>
      <c r="I1311" s="707">
        <f t="shared" si="40"/>
        <v>229.99999999999997</v>
      </c>
      <c r="J1311" s="707">
        <f t="shared" si="41"/>
        <v>260</v>
      </c>
      <c r="K1311" s="70"/>
    </row>
    <row r="1312" spans="1:11" ht="24" customHeight="1">
      <c r="A1312" s="65" t="s">
        <v>590</v>
      </c>
      <c r="B1312" s="68" t="s">
        <v>27</v>
      </c>
      <c r="C1312" s="65">
        <v>26</v>
      </c>
      <c r="D1312" s="2" t="s">
        <v>536</v>
      </c>
      <c r="E1312" s="33">
        <v>5</v>
      </c>
      <c r="F1312" s="33"/>
      <c r="G1312" s="522"/>
      <c r="H1312" s="707"/>
      <c r="I1312" s="707">
        <f t="shared" si="40"/>
        <v>0</v>
      </c>
      <c r="J1312" s="707">
        <f t="shared" si="41"/>
        <v>0</v>
      </c>
      <c r="K1312" s="70"/>
    </row>
    <row r="1313" spans="1:11" ht="24" customHeight="1">
      <c r="A1313" s="33" t="s">
        <v>2194</v>
      </c>
      <c r="B1313" s="33" t="s">
        <v>2195</v>
      </c>
      <c r="C1313" s="33">
        <v>1</v>
      </c>
      <c r="D1313" s="33" t="s">
        <v>2191</v>
      </c>
      <c r="E1313" s="33">
        <v>3</v>
      </c>
      <c r="F1313" s="33"/>
      <c r="G1313" s="522"/>
      <c r="H1313" s="707">
        <v>60</v>
      </c>
      <c r="I1313" s="707">
        <f t="shared" si="40"/>
        <v>69</v>
      </c>
      <c r="J1313" s="707">
        <f t="shared" si="41"/>
        <v>78</v>
      </c>
      <c r="K1313" s="70"/>
    </row>
    <row r="1314" spans="1:11" ht="24" customHeight="1">
      <c r="A1314" s="3" t="s">
        <v>2830</v>
      </c>
      <c r="B1314" s="3" t="s">
        <v>2831</v>
      </c>
      <c r="C1314" s="3">
        <v>1</v>
      </c>
      <c r="D1314" s="58" t="s">
        <v>2802</v>
      </c>
      <c r="E1314" s="33">
        <v>2</v>
      </c>
      <c r="F1314" s="33"/>
      <c r="G1314" s="522"/>
      <c r="H1314" s="707"/>
      <c r="I1314" s="707">
        <f t="shared" si="40"/>
        <v>0</v>
      </c>
      <c r="J1314" s="707">
        <f t="shared" si="41"/>
        <v>0</v>
      </c>
      <c r="K1314" s="70"/>
    </row>
    <row r="1315" spans="1:11" ht="24" customHeight="1">
      <c r="A1315" s="33" t="s">
        <v>617</v>
      </c>
      <c r="B1315" s="33" t="s">
        <v>474</v>
      </c>
      <c r="C1315" s="33">
        <v>1</v>
      </c>
      <c r="D1315" s="2" t="s">
        <v>593</v>
      </c>
      <c r="E1315" s="33">
        <v>1</v>
      </c>
      <c r="F1315" s="33"/>
      <c r="G1315" s="522"/>
      <c r="H1315" s="707"/>
      <c r="I1315" s="707">
        <f t="shared" si="40"/>
        <v>0</v>
      </c>
      <c r="J1315" s="707">
        <f t="shared" si="41"/>
        <v>0</v>
      </c>
      <c r="K1315" s="70"/>
    </row>
    <row r="1316" spans="1:11" ht="24" customHeight="1">
      <c r="A1316" s="33" t="s">
        <v>961</v>
      </c>
      <c r="B1316" s="33" t="s">
        <v>962</v>
      </c>
      <c r="C1316" s="33">
        <v>1</v>
      </c>
      <c r="D1316" s="33" t="s">
        <v>910</v>
      </c>
      <c r="E1316" s="33">
        <v>2</v>
      </c>
      <c r="F1316" s="33"/>
      <c r="G1316" s="522"/>
      <c r="H1316" s="707">
        <v>200</v>
      </c>
      <c r="I1316" s="707">
        <f t="shared" si="40"/>
        <v>229.99999999999997</v>
      </c>
      <c r="J1316" s="707">
        <f t="shared" si="41"/>
        <v>260</v>
      </c>
      <c r="K1316" s="70"/>
    </row>
    <row r="1317" spans="1:11" ht="24" customHeight="1">
      <c r="A1317" s="2" t="s">
        <v>3634</v>
      </c>
      <c r="B1317" s="2" t="s">
        <v>207</v>
      </c>
      <c r="C1317" s="2">
        <v>1</v>
      </c>
      <c r="D1317" s="2" t="s">
        <v>3618</v>
      </c>
      <c r="E1317" s="33">
        <v>5</v>
      </c>
      <c r="F1317" s="33"/>
      <c r="G1317" s="522"/>
      <c r="H1317" s="707"/>
      <c r="I1317" s="707">
        <f t="shared" si="40"/>
        <v>0</v>
      </c>
      <c r="J1317" s="707">
        <f t="shared" si="41"/>
        <v>0</v>
      </c>
      <c r="K1317" s="55"/>
    </row>
    <row r="1318" spans="1:11" ht="24" customHeight="1">
      <c r="A1318" s="74" t="s">
        <v>2506</v>
      </c>
      <c r="B1318" s="74" t="s">
        <v>2507</v>
      </c>
      <c r="C1318" s="74">
        <v>2</v>
      </c>
      <c r="D1318" s="33" t="s">
        <v>2504</v>
      </c>
      <c r="E1318" s="33">
        <v>5</v>
      </c>
      <c r="F1318" s="33"/>
      <c r="G1318" s="522"/>
      <c r="H1318" s="707">
        <v>200</v>
      </c>
      <c r="I1318" s="707">
        <f t="shared" si="40"/>
        <v>229.99999999999997</v>
      </c>
      <c r="J1318" s="707">
        <f t="shared" si="41"/>
        <v>260</v>
      </c>
      <c r="K1318" s="70"/>
    </row>
    <row r="1319" spans="1:11" ht="24" customHeight="1">
      <c r="A1319" s="74" t="s">
        <v>2429</v>
      </c>
      <c r="B1319" s="74" t="s">
        <v>41</v>
      </c>
      <c r="C1319" s="74">
        <v>12</v>
      </c>
      <c r="D1319" s="33" t="s">
        <v>2363</v>
      </c>
      <c r="E1319" s="33">
        <v>5</v>
      </c>
      <c r="F1319" s="33"/>
      <c r="G1319" s="522"/>
      <c r="H1319" s="707"/>
      <c r="I1319" s="707">
        <f t="shared" si="40"/>
        <v>0</v>
      </c>
      <c r="J1319" s="707">
        <f t="shared" si="41"/>
        <v>0</v>
      </c>
      <c r="K1319" s="70"/>
    </row>
    <row r="1320" spans="1:11" ht="24" customHeight="1">
      <c r="A1320" s="33" t="s">
        <v>422</v>
      </c>
      <c r="B1320" s="33" t="s">
        <v>423</v>
      </c>
      <c r="C1320" s="33">
        <v>10</v>
      </c>
      <c r="D1320" s="2" t="s">
        <v>274</v>
      </c>
      <c r="E1320" s="33">
        <v>2</v>
      </c>
      <c r="F1320" s="33"/>
      <c r="G1320" s="522"/>
      <c r="H1320" s="707"/>
      <c r="I1320" s="707">
        <f t="shared" si="40"/>
        <v>0</v>
      </c>
      <c r="J1320" s="707">
        <f t="shared" si="41"/>
        <v>0</v>
      </c>
      <c r="K1320" s="70"/>
    </row>
    <row r="1321" spans="1:11" ht="24" customHeight="1">
      <c r="A1321" s="33" t="s">
        <v>2653</v>
      </c>
      <c r="B1321" s="33" t="s">
        <v>83</v>
      </c>
      <c r="C1321" s="33">
        <v>4</v>
      </c>
      <c r="D1321" s="33" t="s">
        <v>2624</v>
      </c>
      <c r="E1321" s="33">
        <v>4</v>
      </c>
      <c r="F1321" s="33"/>
      <c r="G1321" s="522"/>
      <c r="H1321" s="707"/>
      <c r="I1321" s="707">
        <f t="shared" si="40"/>
        <v>0</v>
      </c>
      <c r="J1321" s="707">
        <f t="shared" si="41"/>
        <v>0</v>
      </c>
      <c r="K1321" s="70"/>
    </row>
    <row r="1322" spans="1:11" ht="24" customHeight="1">
      <c r="A1322" s="33" t="s">
        <v>3415</v>
      </c>
      <c r="B1322" s="33" t="s">
        <v>19</v>
      </c>
      <c r="C1322" s="33">
        <v>70</v>
      </c>
      <c r="D1322" s="33" t="s">
        <v>3348</v>
      </c>
      <c r="E1322" s="33">
        <v>4</v>
      </c>
      <c r="F1322" s="33"/>
      <c r="G1322" s="522"/>
      <c r="H1322" s="707"/>
      <c r="I1322" s="707">
        <f t="shared" si="40"/>
        <v>0</v>
      </c>
      <c r="J1322" s="707">
        <f t="shared" si="41"/>
        <v>0</v>
      </c>
      <c r="K1322" s="70"/>
    </row>
    <row r="1323" spans="1:11" ht="24" customHeight="1">
      <c r="A1323" s="33" t="s">
        <v>3418</v>
      </c>
      <c r="B1323" s="33" t="s">
        <v>23</v>
      </c>
      <c r="C1323" s="33">
        <v>2</v>
      </c>
      <c r="D1323" s="33" t="s">
        <v>3348</v>
      </c>
      <c r="E1323" s="33">
        <v>4</v>
      </c>
      <c r="F1323" s="33"/>
      <c r="G1323" s="522"/>
      <c r="H1323" s="707"/>
      <c r="I1323" s="707">
        <f t="shared" si="40"/>
        <v>0</v>
      </c>
      <c r="J1323" s="707">
        <f t="shared" si="41"/>
        <v>0</v>
      </c>
      <c r="K1323" s="70"/>
    </row>
    <row r="1324" spans="1:11" ht="24" customHeight="1">
      <c r="A1324" s="74" t="s">
        <v>2532</v>
      </c>
      <c r="B1324" s="74" t="s">
        <v>2507</v>
      </c>
      <c r="C1324" s="74">
        <v>1</v>
      </c>
      <c r="D1324" s="33" t="s">
        <v>2504</v>
      </c>
      <c r="E1324" s="33">
        <v>5</v>
      </c>
      <c r="F1324" s="33"/>
      <c r="G1324" s="522"/>
      <c r="H1324" s="707"/>
      <c r="I1324" s="707">
        <f t="shared" si="40"/>
        <v>0</v>
      </c>
      <c r="J1324" s="707">
        <f t="shared" si="41"/>
        <v>0</v>
      </c>
      <c r="K1324" s="70"/>
    </row>
    <row r="1325" spans="1:11" ht="24" customHeight="1">
      <c r="A1325" s="11" t="s">
        <v>3161</v>
      </c>
      <c r="B1325" s="34" t="s">
        <v>3162</v>
      </c>
      <c r="C1325" s="11">
        <v>6</v>
      </c>
      <c r="D1325" s="33" t="s">
        <v>3053</v>
      </c>
      <c r="E1325" s="33">
        <v>3</v>
      </c>
      <c r="F1325" s="33"/>
      <c r="G1325" s="522"/>
      <c r="H1325" s="707"/>
      <c r="I1325" s="707">
        <f t="shared" si="40"/>
        <v>0</v>
      </c>
      <c r="J1325" s="707">
        <f t="shared" si="41"/>
        <v>0</v>
      </c>
      <c r="K1325" s="70"/>
    </row>
    <row r="1326" spans="1:11" ht="24" customHeight="1">
      <c r="A1326" s="11" t="s">
        <v>3490</v>
      </c>
      <c r="B1326" s="11" t="s">
        <v>3491</v>
      </c>
      <c r="C1326" s="11">
        <v>6</v>
      </c>
      <c r="D1326" s="131" t="s">
        <v>3451</v>
      </c>
      <c r="E1326" s="15">
        <v>3</v>
      </c>
      <c r="F1326" s="15"/>
      <c r="G1326" s="684"/>
      <c r="H1326" s="707"/>
      <c r="I1326" s="707">
        <f t="shared" si="40"/>
        <v>0</v>
      </c>
      <c r="J1326" s="707">
        <f t="shared" si="41"/>
        <v>0</v>
      </c>
      <c r="K1326" s="70"/>
    </row>
    <row r="1327" spans="1:11" ht="24" customHeight="1">
      <c r="A1327" s="11" t="s">
        <v>2927</v>
      </c>
      <c r="B1327" s="34" t="s">
        <v>2165</v>
      </c>
      <c r="C1327" s="11">
        <v>3</v>
      </c>
      <c r="D1327" s="15" t="s">
        <v>2918</v>
      </c>
      <c r="E1327" s="15">
        <v>1</v>
      </c>
      <c r="F1327" s="15"/>
      <c r="G1327" s="684"/>
      <c r="H1327" s="707"/>
      <c r="I1327" s="707">
        <f t="shared" si="40"/>
        <v>0</v>
      </c>
      <c r="J1327" s="707">
        <f t="shared" si="41"/>
        <v>0</v>
      </c>
      <c r="K1327" s="70"/>
    </row>
    <row r="1328" spans="1:11" ht="24" customHeight="1">
      <c r="A1328" s="11" t="s">
        <v>2927</v>
      </c>
      <c r="B1328" s="11" t="s">
        <v>2165</v>
      </c>
      <c r="C1328" s="11">
        <v>3</v>
      </c>
      <c r="D1328" s="131" t="s">
        <v>3451</v>
      </c>
      <c r="E1328" s="15">
        <v>2</v>
      </c>
      <c r="F1328" s="15"/>
      <c r="G1328" s="684"/>
      <c r="H1328" s="707"/>
      <c r="I1328" s="707">
        <f t="shared" si="40"/>
        <v>0</v>
      </c>
      <c r="J1328" s="707">
        <f t="shared" si="41"/>
        <v>0</v>
      </c>
      <c r="K1328" s="70"/>
    </row>
    <row r="1329" spans="1:11" ht="24" customHeight="1">
      <c r="A1329" s="33" t="s">
        <v>2039</v>
      </c>
      <c r="B1329" s="33" t="s">
        <v>27</v>
      </c>
      <c r="C1329" s="33">
        <v>2</v>
      </c>
      <c r="D1329" s="33" t="s">
        <v>2026</v>
      </c>
      <c r="E1329" s="33">
        <v>3</v>
      </c>
      <c r="F1329" s="33"/>
      <c r="G1329" s="522"/>
      <c r="H1329" s="707"/>
      <c r="I1329" s="707">
        <f t="shared" si="40"/>
        <v>0</v>
      </c>
      <c r="J1329" s="707">
        <f t="shared" si="41"/>
        <v>0</v>
      </c>
      <c r="K1329" s="70"/>
    </row>
    <row r="1330" spans="1:11" ht="24" customHeight="1">
      <c r="A1330" s="33" t="s">
        <v>3317</v>
      </c>
      <c r="B1330" s="33" t="s">
        <v>83</v>
      </c>
      <c r="C1330" s="33">
        <v>1</v>
      </c>
      <c r="D1330" s="33" t="s">
        <v>3279</v>
      </c>
      <c r="E1330" s="33">
        <v>4</v>
      </c>
      <c r="F1330" s="33"/>
      <c r="G1330" s="522"/>
      <c r="H1330" s="707"/>
      <c r="I1330" s="707">
        <f t="shared" si="40"/>
        <v>0</v>
      </c>
      <c r="J1330" s="707">
        <f t="shared" si="41"/>
        <v>0</v>
      </c>
      <c r="K1330" s="70"/>
    </row>
    <row r="1331" spans="1:11" ht="24" customHeight="1">
      <c r="A1331" s="33" t="s">
        <v>2368</v>
      </c>
      <c r="B1331" s="33" t="s">
        <v>2369</v>
      </c>
      <c r="C1331" s="33">
        <v>1</v>
      </c>
      <c r="D1331" s="33" t="s">
        <v>2363</v>
      </c>
      <c r="E1331" s="33">
        <v>3</v>
      </c>
      <c r="F1331" s="33"/>
      <c r="G1331" s="522"/>
      <c r="H1331" s="707"/>
      <c r="I1331" s="707">
        <f t="shared" si="40"/>
        <v>0</v>
      </c>
      <c r="J1331" s="707">
        <f t="shared" si="41"/>
        <v>0</v>
      </c>
      <c r="K1331" s="70"/>
    </row>
    <row r="1332" spans="1:11" ht="24" customHeight="1">
      <c r="A1332" s="33" t="s">
        <v>2059</v>
      </c>
      <c r="B1332" s="33" t="s">
        <v>474</v>
      </c>
      <c r="C1332" s="33">
        <v>12</v>
      </c>
      <c r="D1332" s="33" t="s">
        <v>2026</v>
      </c>
      <c r="E1332" s="33">
        <v>4</v>
      </c>
      <c r="F1332" s="33"/>
      <c r="G1332" s="522"/>
      <c r="H1332" s="707"/>
      <c r="I1332" s="707">
        <f t="shared" si="40"/>
        <v>0</v>
      </c>
      <c r="J1332" s="707">
        <f t="shared" si="41"/>
        <v>0</v>
      </c>
      <c r="K1332" s="70"/>
    </row>
    <row r="1333" spans="1:11" ht="24" customHeight="1">
      <c r="A1333" s="17" t="s">
        <v>2850</v>
      </c>
      <c r="B1333" s="17" t="s">
        <v>2851</v>
      </c>
      <c r="C1333" s="17">
        <v>1</v>
      </c>
      <c r="D1333" s="131" t="s">
        <v>2802</v>
      </c>
      <c r="E1333" s="15">
        <v>3</v>
      </c>
      <c r="F1333" s="15"/>
      <c r="G1333" s="684"/>
      <c r="H1333" s="707"/>
      <c r="I1333" s="707">
        <f t="shared" si="40"/>
        <v>0</v>
      </c>
      <c r="J1333" s="707">
        <f t="shared" si="41"/>
        <v>0</v>
      </c>
      <c r="K1333" s="70"/>
    </row>
    <row r="1334" spans="1:11" ht="24" customHeight="1">
      <c r="A1334" s="33" t="s">
        <v>2057</v>
      </c>
      <c r="B1334" s="33" t="s">
        <v>2058</v>
      </c>
      <c r="C1334" s="33">
        <v>16</v>
      </c>
      <c r="D1334" s="33" t="s">
        <v>2026</v>
      </c>
      <c r="E1334" s="33">
        <v>4</v>
      </c>
      <c r="F1334" s="33"/>
      <c r="G1334" s="522"/>
      <c r="H1334" s="707"/>
      <c r="I1334" s="707">
        <f t="shared" si="40"/>
        <v>0</v>
      </c>
      <c r="J1334" s="707">
        <f t="shared" si="41"/>
        <v>0</v>
      </c>
      <c r="K1334" s="70"/>
    </row>
    <row r="1335" spans="1:11" ht="24" customHeight="1">
      <c r="A1335" s="17" t="s">
        <v>2847</v>
      </c>
      <c r="B1335" s="17" t="s">
        <v>2848</v>
      </c>
      <c r="C1335" s="17">
        <v>12</v>
      </c>
      <c r="D1335" s="131" t="s">
        <v>2802</v>
      </c>
      <c r="E1335" s="15">
        <v>3</v>
      </c>
      <c r="F1335" s="15"/>
      <c r="G1335" s="684"/>
      <c r="H1335" s="707"/>
      <c r="I1335" s="707">
        <f t="shared" si="40"/>
        <v>0</v>
      </c>
      <c r="J1335" s="707">
        <f t="shared" si="41"/>
        <v>0</v>
      </c>
      <c r="K1335" s="70"/>
    </row>
    <row r="1336" spans="1:11" ht="24" customHeight="1">
      <c r="A1336" s="11" t="s">
        <v>2924</v>
      </c>
      <c r="B1336" s="34" t="s">
        <v>2511</v>
      </c>
      <c r="C1336" s="11">
        <v>2</v>
      </c>
      <c r="D1336" s="15" t="s">
        <v>2918</v>
      </c>
      <c r="E1336" s="15">
        <v>1</v>
      </c>
      <c r="F1336" s="15"/>
      <c r="G1336" s="684"/>
      <c r="H1336" s="707"/>
      <c r="I1336" s="707">
        <f t="shared" si="40"/>
        <v>0</v>
      </c>
      <c r="J1336" s="707">
        <f t="shared" si="41"/>
        <v>0</v>
      </c>
      <c r="K1336" s="70"/>
    </row>
    <row r="1337" spans="1:11" ht="24" customHeight="1">
      <c r="A1337" s="33" t="s">
        <v>2924</v>
      </c>
      <c r="B1337" s="33" t="s">
        <v>2511</v>
      </c>
      <c r="C1337" s="33">
        <v>2</v>
      </c>
      <c r="D1337" s="33" t="s">
        <v>3279</v>
      </c>
      <c r="E1337" s="33">
        <v>4</v>
      </c>
      <c r="F1337" s="33"/>
      <c r="G1337" s="522"/>
      <c r="H1337" s="707"/>
      <c r="I1337" s="707">
        <f t="shared" si="40"/>
        <v>0</v>
      </c>
      <c r="J1337" s="707">
        <f t="shared" si="41"/>
        <v>0</v>
      </c>
      <c r="K1337" s="70"/>
    </row>
    <row r="1338" spans="1:11" ht="24" customHeight="1">
      <c r="A1338" s="33" t="s">
        <v>1995</v>
      </c>
      <c r="B1338" s="33" t="s">
        <v>1996</v>
      </c>
      <c r="C1338" s="33">
        <v>2</v>
      </c>
      <c r="D1338" s="33" t="s">
        <v>1938</v>
      </c>
      <c r="E1338" s="33">
        <v>2</v>
      </c>
      <c r="F1338" s="33"/>
      <c r="G1338" s="522"/>
      <c r="H1338" s="707"/>
      <c r="I1338" s="707">
        <f t="shared" si="40"/>
        <v>0</v>
      </c>
      <c r="J1338" s="707">
        <f t="shared" si="41"/>
        <v>0</v>
      </c>
      <c r="K1338" s="70"/>
    </row>
    <row r="1339" spans="1:11" ht="24" customHeight="1">
      <c r="A1339" s="33" t="s">
        <v>1504</v>
      </c>
      <c r="B1339" s="33" t="s">
        <v>27</v>
      </c>
      <c r="C1339" s="33">
        <v>3</v>
      </c>
      <c r="D1339" s="33" t="s">
        <v>1494</v>
      </c>
      <c r="E1339" s="33">
        <v>1</v>
      </c>
      <c r="F1339" s="33"/>
      <c r="G1339" s="522"/>
      <c r="H1339" s="707"/>
      <c r="I1339" s="707">
        <f t="shared" si="40"/>
        <v>0</v>
      </c>
      <c r="J1339" s="707">
        <f t="shared" si="41"/>
        <v>0</v>
      </c>
      <c r="K1339" s="70"/>
    </row>
    <row r="1340" spans="1:11" ht="24" customHeight="1">
      <c r="A1340" s="33" t="s">
        <v>1975</v>
      </c>
      <c r="B1340" s="66" t="s">
        <v>1976</v>
      </c>
      <c r="C1340" s="66">
        <v>7</v>
      </c>
      <c r="D1340" s="66" t="s">
        <v>1938</v>
      </c>
      <c r="E1340" s="66">
        <v>1</v>
      </c>
      <c r="F1340" s="66"/>
      <c r="G1340" s="689"/>
      <c r="H1340" s="707"/>
      <c r="I1340" s="707">
        <f t="shared" si="40"/>
        <v>0</v>
      </c>
      <c r="J1340" s="707">
        <f t="shared" si="41"/>
        <v>0</v>
      </c>
      <c r="K1340" s="70"/>
    </row>
    <row r="1341" spans="1:11" ht="24" customHeight="1">
      <c r="A1341" s="59" t="s">
        <v>3240</v>
      </c>
      <c r="B1341" s="59" t="s">
        <v>3241</v>
      </c>
      <c r="C1341" s="59">
        <v>2</v>
      </c>
      <c r="D1341" s="33" t="s">
        <v>3053</v>
      </c>
      <c r="E1341" s="354">
        <v>5</v>
      </c>
      <c r="F1341" s="354"/>
      <c r="G1341" s="688"/>
      <c r="H1341" s="707"/>
      <c r="I1341" s="707">
        <f t="shared" si="40"/>
        <v>0</v>
      </c>
      <c r="J1341" s="707">
        <f t="shared" si="41"/>
        <v>0</v>
      </c>
      <c r="K1341" s="70"/>
    </row>
    <row r="1342" spans="1:11" ht="24" customHeight="1">
      <c r="A1342" s="33" t="s">
        <v>985</v>
      </c>
      <c r="B1342" s="33" t="s">
        <v>986</v>
      </c>
      <c r="C1342" s="33">
        <v>1</v>
      </c>
      <c r="D1342" s="33" t="s">
        <v>910</v>
      </c>
      <c r="E1342" s="33">
        <v>2</v>
      </c>
      <c r="F1342" s="33"/>
      <c r="G1342" s="522"/>
      <c r="H1342" s="707"/>
      <c r="I1342" s="707">
        <f t="shared" si="40"/>
        <v>0</v>
      </c>
      <c r="J1342" s="707">
        <f t="shared" si="41"/>
        <v>0</v>
      </c>
      <c r="K1342" s="70"/>
    </row>
    <row r="1343" spans="1:11" ht="24" customHeight="1">
      <c r="A1343" s="33" t="s">
        <v>1994</v>
      </c>
      <c r="B1343" s="33" t="s">
        <v>19</v>
      </c>
      <c r="C1343" s="33">
        <v>13</v>
      </c>
      <c r="D1343" s="33" t="s">
        <v>1938</v>
      </c>
      <c r="E1343" s="33">
        <v>2</v>
      </c>
      <c r="F1343" s="33"/>
      <c r="G1343" s="522"/>
      <c r="H1343" s="707"/>
      <c r="I1343" s="707">
        <f t="shared" si="40"/>
        <v>0</v>
      </c>
      <c r="J1343" s="707">
        <f t="shared" si="41"/>
        <v>0</v>
      </c>
      <c r="K1343" s="70"/>
    </row>
    <row r="1344" spans="1:11" ht="24" customHeight="1">
      <c r="A1344" s="33" t="s">
        <v>2373</v>
      </c>
      <c r="B1344" s="33" t="s">
        <v>19</v>
      </c>
      <c r="C1344" s="33">
        <v>20</v>
      </c>
      <c r="D1344" s="33" t="s">
        <v>2363</v>
      </c>
      <c r="E1344" s="33">
        <v>3</v>
      </c>
      <c r="F1344" s="33"/>
      <c r="G1344" s="522"/>
      <c r="H1344" s="707"/>
      <c r="I1344" s="707">
        <f t="shared" si="40"/>
        <v>0</v>
      </c>
      <c r="J1344" s="707">
        <f t="shared" si="41"/>
        <v>0</v>
      </c>
      <c r="K1344" s="70"/>
    </row>
    <row r="1345" spans="1:11" ht="24" customHeight="1">
      <c r="A1345" s="33" t="s">
        <v>3355</v>
      </c>
      <c r="B1345" s="33" t="s">
        <v>3356</v>
      </c>
      <c r="C1345" s="33">
        <v>1</v>
      </c>
      <c r="D1345" s="33" t="s">
        <v>3348</v>
      </c>
      <c r="E1345" s="33">
        <v>3</v>
      </c>
      <c r="F1345" s="33"/>
      <c r="G1345" s="522"/>
      <c r="H1345" s="707"/>
      <c r="I1345" s="707">
        <f t="shared" si="40"/>
        <v>0</v>
      </c>
      <c r="J1345" s="707">
        <f t="shared" si="41"/>
        <v>0</v>
      </c>
      <c r="K1345" s="70"/>
    </row>
    <row r="1346" spans="1:11" ht="24" customHeight="1">
      <c r="A1346" s="33" t="s">
        <v>411</v>
      </c>
      <c r="B1346" s="33" t="s">
        <v>272</v>
      </c>
      <c r="C1346" s="33">
        <v>2</v>
      </c>
      <c r="D1346" s="2" t="s">
        <v>274</v>
      </c>
      <c r="E1346" s="33">
        <v>2</v>
      </c>
      <c r="F1346" s="33"/>
      <c r="G1346" s="522"/>
      <c r="H1346" s="707"/>
      <c r="I1346" s="707">
        <f t="shared" ref="I1346:I1409" si="42">H1346 * 1.15</f>
        <v>0</v>
      </c>
      <c r="J1346" s="707">
        <f t="shared" ref="J1346:J1409" si="43">H1346 * 1.3</f>
        <v>0</v>
      </c>
      <c r="K1346" s="70"/>
    </row>
    <row r="1347" spans="1:11" ht="24" customHeight="1">
      <c r="A1347" s="11" t="s">
        <v>3494</v>
      </c>
      <c r="B1347" s="11" t="s">
        <v>3495</v>
      </c>
      <c r="C1347" s="11">
        <v>7</v>
      </c>
      <c r="D1347" s="131" t="s">
        <v>3451</v>
      </c>
      <c r="E1347" s="15">
        <v>3</v>
      </c>
      <c r="F1347" s="15"/>
      <c r="G1347" s="684"/>
      <c r="H1347" s="707"/>
      <c r="I1347" s="707">
        <f t="shared" si="42"/>
        <v>0</v>
      </c>
      <c r="J1347" s="707">
        <f t="shared" si="43"/>
        <v>0</v>
      </c>
      <c r="K1347" s="70"/>
    </row>
    <row r="1348" spans="1:11" ht="24" customHeight="1">
      <c r="A1348" s="2" t="s">
        <v>1865</v>
      </c>
      <c r="B1348" s="2" t="s">
        <v>371</v>
      </c>
      <c r="C1348" s="2">
        <v>2</v>
      </c>
      <c r="D1348" s="2" t="s">
        <v>1785</v>
      </c>
      <c r="E1348" s="33">
        <v>3</v>
      </c>
      <c r="F1348" s="33"/>
      <c r="G1348" s="522"/>
      <c r="H1348" s="707">
        <v>4</v>
      </c>
      <c r="I1348" s="707">
        <f t="shared" si="42"/>
        <v>4.5999999999999996</v>
      </c>
      <c r="J1348" s="707">
        <f t="shared" si="43"/>
        <v>5.2</v>
      </c>
      <c r="K1348" s="70"/>
    </row>
    <row r="1349" spans="1:11" ht="24" customHeight="1">
      <c r="A1349" s="33" t="s">
        <v>1354</v>
      </c>
      <c r="B1349" s="33" t="s">
        <v>83</v>
      </c>
      <c r="C1349" s="33">
        <v>16</v>
      </c>
      <c r="D1349" s="33" t="s">
        <v>1325</v>
      </c>
      <c r="E1349" s="33">
        <v>2</v>
      </c>
      <c r="F1349" s="33"/>
      <c r="G1349" s="522"/>
      <c r="H1349" s="707"/>
      <c r="I1349" s="707">
        <f t="shared" si="42"/>
        <v>0</v>
      </c>
      <c r="J1349" s="707">
        <f t="shared" si="43"/>
        <v>0</v>
      </c>
      <c r="K1349" s="70"/>
    </row>
    <row r="1350" spans="1:11" ht="24" customHeight="1">
      <c r="A1350" s="78" t="s">
        <v>2472</v>
      </c>
      <c r="B1350" s="74" t="s">
        <v>2473</v>
      </c>
      <c r="C1350" s="74">
        <v>24</v>
      </c>
      <c r="D1350" s="33" t="s">
        <v>2363</v>
      </c>
      <c r="E1350" s="33">
        <v>5</v>
      </c>
      <c r="F1350" s="33"/>
      <c r="G1350" s="522"/>
      <c r="H1350" s="707"/>
      <c r="I1350" s="707">
        <f t="shared" si="42"/>
        <v>0</v>
      </c>
      <c r="J1350" s="707">
        <f t="shared" si="43"/>
        <v>0</v>
      </c>
      <c r="K1350" s="70"/>
    </row>
    <row r="1351" spans="1:11" ht="24" customHeight="1">
      <c r="A1351" s="96" t="s">
        <v>2793</v>
      </c>
      <c r="B1351" s="244" t="s">
        <v>2794</v>
      </c>
      <c r="C1351" s="17">
        <v>1</v>
      </c>
      <c r="D1351" s="131" t="s">
        <v>2772</v>
      </c>
      <c r="E1351" s="17">
        <v>4</v>
      </c>
      <c r="F1351" s="17"/>
      <c r="G1351" s="687"/>
      <c r="H1351" s="707"/>
      <c r="I1351" s="707">
        <f t="shared" si="42"/>
        <v>0</v>
      </c>
      <c r="J1351" s="707">
        <f t="shared" si="43"/>
        <v>0</v>
      </c>
      <c r="K1351" s="70"/>
    </row>
    <row r="1352" spans="1:11" ht="24" customHeight="1">
      <c r="A1352" s="17" t="s">
        <v>2788</v>
      </c>
      <c r="B1352" s="244" t="s">
        <v>2789</v>
      </c>
      <c r="C1352" s="17">
        <v>3</v>
      </c>
      <c r="D1352" s="131" t="s">
        <v>2772</v>
      </c>
      <c r="E1352" s="17">
        <v>4</v>
      </c>
      <c r="F1352" s="17"/>
      <c r="G1352" s="687"/>
      <c r="H1352" s="707"/>
      <c r="I1352" s="707">
        <f t="shared" si="42"/>
        <v>0</v>
      </c>
      <c r="J1352" s="707">
        <f t="shared" si="43"/>
        <v>0</v>
      </c>
      <c r="K1352" s="70"/>
    </row>
    <row r="1353" spans="1:11" ht="24" customHeight="1">
      <c r="A1353" s="17" t="s">
        <v>2790</v>
      </c>
      <c r="B1353" s="244" t="s">
        <v>2791</v>
      </c>
      <c r="C1353" s="17">
        <v>2</v>
      </c>
      <c r="D1353" s="131" t="s">
        <v>2772</v>
      </c>
      <c r="E1353" s="17">
        <v>4</v>
      </c>
      <c r="F1353" s="17"/>
      <c r="G1353" s="687"/>
      <c r="H1353" s="707"/>
      <c r="I1353" s="707">
        <f t="shared" si="42"/>
        <v>0</v>
      </c>
      <c r="J1353" s="707">
        <f t="shared" si="43"/>
        <v>0</v>
      </c>
      <c r="K1353" s="70"/>
    </row>
    <row r="1354" spans="1:11" ht="24" customHeight="1">
      <c r="A1354" s="17" t="s">
        <v>2792</v>
      </c>
      <c r="B1354" s="244" t="s">
        <v>2791</v>
      </c>
      <c r="C1354" s="17">
        <v>1</v>
      </c>
      <c r="D1354" s="131" t="s">
        <v>2772</v>
      </c>
      <c r="E1354" s="17">
        <v>4</v>
      </c>
      <c r="F1354" s="17"/>
      <c r="G1354" s="687"/>
      <c r="H1354" s="707"/>
      <c r="I1354" s="707">
        <f t="shared" si="42"/>
        <v>0</v>
      </c>
      <c r="J1354" s="707">
        <f t="shared" si="43"/>
        <v>0</v>
      </c>
      <c r="K1354" s="70"/>
    </row>
    <row r="1355" spans="1:11" ht="24" customHeight="1">
      <c r="A1355" s="74" t="s">
        <v>2460</v>
      </c>
      <c r="B1355" s="74" t="s">
        <v>1030</v>
      </c>
      <c r="C1355" s="74">
        <v>5</v>
      </c>
      <c r="D1355" s="33" t="s">
        <v>2363</v>
      </c>
      <c r="E1355" s="33">
        <v>5</v>
      </c>
      <c r="F1355" s="33"/>
      <c r="G1355" s="522"/>
      <c r="H1355" s="707">
        <v>5</v>
      </c>
      <c r="I1355" s="707">
        <f t="shared" si="42"/>
        <v>5.75</v>
      </c>
      <c r="J1355" s="707">
        <f t="shared" si="43"/>
        <v>6.5</v>
      </c>
      <c r="K1355" s="70"/>
    </row>
    <row r="1356" spans="1:11" ht="24" customHeight="1">
      <c r="A1356" s="2" t="s">
        <v>3665</v>
      </c>
      <c r="B1356" s="2" t="s">
        <v>3666</v>
      </c>
      <c r="C1356" s="2">
        <v>5</v>
      </c>
      <c r="D1356" s="2" t="s">
        <v>3636</v>
      </c>
      <c r="E1356" s="33">
        <v>2</v>
      </c>
      <c r="F1356" s="33"/>
      <c r="G1356" s="522"/>
      <c r="H1356" s="707"/>
      <c r="I1356" s="707">
        <f t="shared" si="42"/>
        <v>0</v>
      </c>
      <c r="J1356" s="707">
        <f t="shared" si="43"/>
        <v>0</v>
      </c>
      <c r="K1356" s="2"/>
    </row>
    <row r="1357" spans="1:11" ht="24" customHeight="1">
      <c r="A1357" s="74" t="s">
        <v>2463</v>
      </c>
      <c r="B1357" s="74" t="s">
        <v>305</v>
      </c>
      <c r="C1357" s="74">
        <v>17</v>
      </c>
      <c r="D1357" s="33" t="s">
        <v>2363</v>
      </c>
      <c r="E1357" s="33">
        <v>5</v>
      </c>
      <c r="F1357" s="33"/>
      <c r="G1357" s="522"/>
      <c r="H1357" s="707">
        <v>20</v>
      </c>
      <c r="I1357" s="707">
        <f t="shared" si="42"/>
        <v>23</v>
      </c>
      <c r="J1357" s="707">
        <f t="shared" si="43"/>
        <v>26</v>
      </c>
      <c r="K1357" s="70"/>
    </row>
    <row r="1358" spans="1:11" ht="24" customHeight="1">
      <c r="A1358" s="2" t="s">
        <v>515</v>
      </c>
      <c r="B1358" s="2" t="s">
        <v>56</v>
      </c>
      <c r="C1358" s="2">
        <v>88</v>
      </c>
      <c r="D1358" s="2" t="s">
        <v>274</v>
      </c>
      <c r="E1358" s="33">
        <v>3</v>
      </c>
      <c r="F1358" s="33"/>
      <c r="G1358" s="522"/>
      <c r="H1358" s="707">
        <v>1</v>
      </c>
      <c r="I1358" s="707">
        <f t="shared" si="42"/>
        <v>1.1499999999999999</v>
      </c>
      <c r="J1358" s="707">
        <f t="shared" si="43"/>
        <v>1.3</v>
      </c>
      <c r="K1358" s="70"/>
    </row>
    <row r="1359" spans="1:11" ht="24" customHeight="1">
      <c r="A1359" s="11" t="s">
        <v>1933</v>
      </c>
      <c r="B1359" s="11" t="s">
        <v>371</v>
      </c>
      <c r="C1359" s="11">
        <v>54</v>
      </c>
      <c r="D1359" s="131" t="s">
        <v>1898</v>
      </c>
      <c r="E1359" s="15">
        <v>5</v>
      </c>
      <c r="F1359" s="15"/>
      <c r="G1359" s="684"/>
      <c r="H1359" s="707">
        <v>4</v>
      </c>
      <c r="I1359" s="707">
        <f t="shared" si="42"/>
        <v>4.5999999999999996</v>
      </c>
      <c r="J1359" s="707">
        <f t="shared" si="43"/>
        <v>5.2</v>
      </c>
      <c r="K1359" s="70"/>
    </row>
    <row r="1360" spans="1:11" ht="24" customHeight="1">
      <c r="A1360" s="2" t="s">
        <v>1933</v>
      </c>
      <c r="B1360" s="2" t="s">
        <v>371</v>
      </c>
      <c r="C1360" s="2">
        <v>50</v>
      </c>
      <c r="D1360" s="2" t="s">
        <v>3553</v>
      </c>
      <c r="E1360" s="33">
        <v>3</v>
      </c>
      <c r="F1360" s="33"/>
      <c r="G1360" s="522"/>
      <c r="H1360" s="707"/>
      <c r="I1360" s="707">
        <f t="shared" si="42"/>
        <v>0</v>
      </c>
      <c r="J1360" s="707">
        <f t="shared" si="43"/>
        <v>0</v>
      </c>
      <c r="K1360" s="55"/>
    </row>
    <row r="1361" spans="1:11" ht="24" customHeight="1">
      <c r="A1361" s="11" t="s">
        <v>2857</v>
      </c>
      <c r="B1361" s="11" t="s">
        <v>371</v>
      </c>
      <c r="C1361" s="11">
        <v>1</v>
      </c>
      <c r="D1361" s="131" t="s">
        <v>2802</v>
      </c>
      <c r="E1361" s="15">
        <v>3</v>
      </c>
      <c r="F1361" s="15"/>
      <c r="G1361" s="684"/>
      <c r="H1361" s="707">
        <v>30</v>
      </c>
      <c r="I1361" s="707">
        <f t="shared" si="42"/>
        <v>34.5</v>
      </c>
      <c r="J1361" s="707">
        <f t="shared" si="43"/>
        <v>39</v>
      </c>
      <c r="K1361" s="70"/>
    </row>
    <row r="1362" spans="1:11" ht="24" customHeight="1">
      <c r="A1362" s="74" t="s">
        <v>2418</v>
      </c>
      <c r="B1362" s="74" t="s">
        <v>19</v>
      </c>
      <c r="C1362" s="74">
        <v>2</v>
      </c>
      <c r="D1362" s="33" t="s">
        <v>2363</v>
      </c>
      <c r="E1362" s="33">
        <v>5</v>
      </c>
      <c r="F1362" s="33"/>
      <c r="G1362" s="522"/>
      <c r="H1362" s="707"/>
      <c r="I1362" s="707">
        <f t="shared" si="42"/>
        <v>0</v>
      </c>
      <c r="J1362" s="707">
        <f t="shared" si="43"/>
        <v>0</v>
      </c>
      <c r="K1362" s="70"/>
    </row>
    <row r="1363" spans="1:11" ht="24" customHeight="1">
      <c r="A1363" s="33" t="s">
        <v>2418</v>
      </c>
      <c r="B1363" s="33" t="s">
        <v>19</v>
      </c>
      <c r="C1363" s="33">
        <v>24</v>
      </c>
      <c r="D1363" s="33" t="s">
        <v>3279</v>
      </c>
      <c r="E1363" s="33">
        <v>4</v>
      </c>
      <c r="F1363" s="33"/>
      <c r="G1363" s="522"/>
      <c r="H1363" s="707"/>
      <c r="I1363" s="707">
        <f t="shared" si="42"/>
        <v>0</v>
      </c>
      <c r="J1363" s="707">
        <f t="shared" si="43"/>
        <v>0</v>
      </c>
      <c r="K1363" s="70"/>
    </row>
    <row r="1364" spans="1:11" ht="24" customHeight="1">
      <c r="A1364" s="33" t="s">
        <v>1620</v>
      </c>
      <c r="B1364" s="33" t="s">
        <v>1621</v>
      </c>
      <c r="C1364" s="33">
        <v>1</v>
      </c>
      <c r="D1364" s="33" t="s">
        <v>1548</v>
      </c>
      <c r="E1364" s="33">
        <v>3</v>
      </c>
      <c r="F1364" s="33"/>
      <c r="G1364" s="522"/>
      <c r="H1364" s="707"/>
      <c r="I1364" s="707">
        <f t="shared" si="42"/>
        <v>0</v>
      </c>
      <c r="J1364" s="707">
        <f t="shared" si="43"/>
        <v>0</v>
      </c>
      <c r="K1364" s="70"/>
    </row>
    <row r="1365" spans="1:11" ht="24" customHeight="1">
      <c r="A1365" s="388" t="s">
        <v>2143</v>
      </c>
      <c r="B1365" s="388" t="s">
        <v>213</v>
      </c>
      <c r="C1365" s="388">
        <v>1</v>
      </c>
      <c r="D1365" s="388" t="s">
        <v>2111</v>
      </c>
      <c r="E1365" s="388">
        <v>2</v>
      </c>
      <c r="F1365" s="388"/>
      <c r="G1365" s="692"/>
      <c r="H1365" s="715"/>
      <c r="I1365" s="715">
        <f t="shared" si="42"/>
        <v>0</v>
      </c>
      <c r="J1365" s="715">
        <f t="shared" si="43"/>
        <v>0</v>
      </c>
      <c r="K1365" s="389" t="s">
        <v>2144</v>
      </c>
    </row>
    <row r="1366" spans="1:11" ht="24" customHeight="1">
      <c r="A1366" s="33" t="s">
        <v>2760</v>
      </c>
      <c r="B1366" s="33" t="s">
        <v>2761</v>
      </c>
      <c r="C1366" s="33">
        <v>19</v>
      </c>
      <c r="D1366" s="33" t="s">
        <v>2716</v>
      </c>
      <c r="E1366" s="354">
        <v>3</v>
      </c>
      <c r="F1366" s="354"/>
      <c r="G1366" s="688"/>
      <c r="H1366" s="708"/>
      <c r="I1366" s="707">
        <f t="shared" si="42"/>
        <v>0</v>
      </c>
      <c r="J1366" s="708">
        <f t="shared" si="43"/>
        <v>0</v>
      </c>
      <c r="K1366" s="70" t="s">
        <v>99</v>
      </c>
    </row>
    <row r="1367" spans="1:11" ht="24" customHeight="1">
      <c r="A1367" s="33" t="s">
        <v>2063</v>
      </c>
      <c r="B1367" s="33" t="s">
        <v>21</v>
      </c>
      <c r="C1367" s="33">
        <v>1</v>
      </c>
      <c r="D1367" s="33" t="s">
        <v>2026</v>
      </c>
      <c r="E1367" s="33">
        <v>4</v>
      </c>
      <c r="F1367" s="33"/>
      <c r="G1367" s="522"/>
      <c r="H1367" s="707"/>
      <c r="I1367" s="707">
        <f t="shared" si="42"/>
        <v>0</v>
      </c>
      <c r="J1367" s="707">
        <f t="shared" si="43"/>
        <v>0</v>
      </c>
      <c r="K1367" s="70"/>
    </row>
    <row r="1368" spans="1:11" ht="24" customHeight="1">
      <c r="A1368" s="33" t="s">
        <v>1135</v>
      </c>
      <c r="B1368" s="33" t="s">
        <v>23</v>
      </c>
      <c r="C1368" s="33">
        <v>1</v>
      </c>
      <c r="D1368" s="33" t="s">
        <v>992</v>
      </c>
      <c r="E1368" s="33">
        <v>5</v>
      </c>
      <c r="F1368" s="33"/>
      <c r="G1368" s="522"/>
      <c r="H1368" s="707"/>
      <c r="I1368" s="707">
        <f t="shared" si="42"/>
        <v>0</v>
      </c>
      <c r="J1368" s="707">
        <f t="shared" si="43"/>
        <v>0</v>
      </c>
      <c r="K1368" s="70"/>
    </row>
    <row r="1369" spans="1:11" ht="24" customHeight="1">
      <c r="A1369" s="74" t="s">
        <v>2231</v>
      </c>
      <c r="B1369" s="74" t="s">
        <v>389</v>
      </c>
      <c r="C1369" s="74">
        <v>92</v>
      </c>
      <c r="D1369" s="33" t="s">
        <v>2191</v>
      </c>
      <c r="E1369" s="33">
        <v>5</v>
      </c>
      <c r="F1369" s="33"/>
      <c r="G1369" s="522"/>
      <c r="H1369" s="707">
        <v>12</v>
      </c>
      <c r="I1369" s="707">
        <f t="shared" si="42"/>
        <v>13.799999999999999</v>
      </c>
      <c r="J1369" s="707">
        <f t="shared" si="43"/>
        <v>15.600000000000001</v>
      </c>
      <c r="K1369" s="70"/>
    </row>
    <row r="1370" spans="1:11" ht="24" customHeight="1">
      <c r="A1370" s="74" t="s">
        <v>2415</v>
      </c>
      <c r="B1370" s="74" t="s">
        <v>389</v>
      </c>
      <c r="C1370" s="74">
        <v>15</v>
      </c>
      <c r="D1370" s="33" t="s">
        <v>2363</v>
      </c>
      <c r="E1370" s="33">
        <v>5</v>
      </c>
      <c r="F1370" s="33"/>
      <c r="G1370" s="522"/>
      <c r="H1370" s="707"/>
      <c r="I1370" s="707">
        <f t="shared" si="42"/>
        <v>0</v>
      </c>
      <c r="J1370" s="707">
        <f t="shared" si="43"/>
        <v>0</v>
      </c>
      <c r="K1370" s="70"/>
    </row>
    <row r="1371" spans="1:11" ht="24" customHeight="1">
      <c r="A1371" s="33" t="s">
        <v>1546</v>
      </c>
      <c r="B1371" s="33" t="s">
        <v>1547</v>
      </c>
      <c r="C1371" s="33">
        <v>2</v>
      </c>
      <c r="D1371" s="33" t="s">
        <v>1494</v>
      </c>
      <c r="E1371" s="33">
        <v>2</v>
      </c>
      <c r="F1371" s="33"/>
      <c r="G1371" s="522"/>
      <c r="H1371" s="707"/>
      <c r="I1371" s="707">
        <f t="shared" si="42"/>
        <v>0</v>
      </c>
      <c r="J1371" s="707">
        <f t="shared" si="43"/>
        <v>0</v>
      </c>
      <c r="K1371" s="70"/>
    </row>
    <row r="1372" spans="1:11" ht="24" customHeight="1">
      <c r="A1372" s="431" t="s">
        <v>1441</v>
      </c>
      <c r="B1372" s="74" t="s">
        <v>1442</v>
      </c>
      <c r="C1372" s="74">
        <v>1</v>
      </c>
      <c r="D1372" s="33" t="s">
        <v>1372</v>
      </c>
      <c r="E1372" s="33">
        <v>5</v>
      </c>
      <c r="F1372" s="33"/>
      <c r="G1372" s="522"/>
      <c r="H1372" s="707"/>
      <c r="I1372" s="707">
        <f t="shared" si="42"/>
        <v>0</v>
      </c>
      <c r="J1372" s="707">
        <f t="shared" si="43"/>
        <v>0</v>
      </c>
      <c r="K1372" s="70"/>
    </row>
    <row r="1373" spans="1:11" ht="24" customHeight="1">
      <c r="A1373" s="33" t="s">
        <v>285</v>
      </c>
      <c r="B1373" s="33" t="s">
        <v>286</v>
      </c>
      <c r="C1373" s="33">
        <v>1</v>
      </c>
      <c r="D1373" s="2" t="s">
        <v>188</v>
      </c>
      <c r="E1373" s="33">
        <v>5</v>
      </c>
      <c r="F1373" s="33"/>
      <c r="G1373" s="522"/>
      <c r="H1373" s="707"/>
      <c r="I1373" s="707">
        <f t="shared" si="42"/>
        <v>0</v>
      </c>
      <c r="J1373" s="707">
        <f t="shared" si="43"/>
        <v>0</v>
      </c>
      <c r="K1373" s="70"/>
    </row>
    <row r="1374" spans="1:11" ht="24" customHeight="1">
      <c r="A1374" s="59" t="s">
        <v>3010</v>
      </c>
      <c r="B1374" s="59" t="s">
        <v>596</v>
      </c>
      <c r="C1374" s="59">
        <v>2</v>
      </c>
      <c r="D1374" s="71" t="s">
        <v>2947</v>
      </c>
      <c r="E1374" s="354">
        <v>5</v>
      </c>
      <c r="F1374" s="354"/>
      <c r="G1374" s="688"/>
      <c r="H1374" s="707"/>
      <c r="I1374" s="707">
        <f t="shared" si="42"/>
        <v>0</v>
      </c>
      <c r="J1374" s="707">
        <f t="shared" si="43"/>
        <v>0</v>
      </c>
      <c r="K1374" s="70"/>
    </row>
    <row r="1375" spans="1:11" ht="24" customHeight="1">
      <c r="A1375" s="2" t="s">
        <v>8023</v>
      </c>
      <c r="B1375" s="33" t="s">
        <v>10</v>
      </c>
      <c r="C1375" s="33">
        <v>4</v>
      </c>
      <c r="D1375" s="2" t="s">
        <v>188</v>
      </c>
      <c r="E1375" s="33">
        <v>4</v>
      </c>
      <c r="F1375" s="33"/>
      <c r="G1375" s="522"/>
      <c r="H1375" s="707"/>
      <c r="I1375" s="707">
        <f t="shared" si="42"/>
        <v>0</v>
      </c>
      <c r="J1375" s="707">
        <f t="shared" si="43"/>
        <v>0</v>
      </c>
      <c r="K1375" s="70"/>
    </row>
    <row r="1376" spans="1:11" ht="24" customHeight="1">
      <c r="A1376" s="59" t="s">
        <v>3005</v>
      </c>
      <c r="B1376" s="59" t="s">
        <v>3006</v>
      </c>
      <c r="C1376" s="59">
        <v>1</v>
      </c>
      <c r="D1376" s="71" t="s">
        <v>2947</v>
      </c>
      <c r="E1376" s="354">
        <v>5</v>
      </c>
      <c r="F1376" s="354"/>
      <c r="G1376" s="688"/>
      <c r="H1376" s="707"/>
      <c r="I1376" s="707">
        <f t="shared" si="42"/>
        <v>0</v>
      </c>
      <c r="J1376" s="707">
        <f t="shared" si="43"/>
        <v>0</v>
      </c>
      <c r="K1376" s="70"/>
    </row>
    <row r="1377" spans="1:11" ht="24" customHeight="1">
      <c r="A1377" s="33" t="s">
        <v>1527</v>
      </c>
      <c r="B1377" s="33" t="s">
        <v>1528</v>
      </c>
      <c r="C1377" s="33">
        <v>2</v>
      </c>
      <c r="D1377" s="33" t="s">
        <v>1494</v>
      </c>
      <c r="E1377" s="33">
        <v>2</v>
      </c>
      <c r="F1377" s="33"/>
      <c r="G1377" s="522"/>
      <c r="H1377" s="707"/>
      <c r="I1377" s="707">
        <f t="shared" si="42"/>
        <v>0</v>
      </c>
      <c r="J1377" s="707">
        <f t="shared" si="43"/>
        <v>0</v>
      </c>
      <c r="K1377" s="70"/>
    </row>
    <row r="1378" spans="1:11" ht="24" customHeight="1">
      <c r="A1378" s="33" t="s">
        <v>1046</v>
      </c>
      <c r="B1378" s="33"/>
      <c r="C1378" s="33">
        <v>2</v>
      </c>
      <c r="D1378" s="33" t="s">
        <v>992</v>
      </c>
      <c r="E1378" s="33">
        <v>4</v>
      </c>
      <c r="F1378" s="33"/>
      <c r="G1378" s="522"/>
      <c r="H1378" s="707"/>
      <c r="I1378" s="707">
        <f t="shared" si="42"/>
        <v>0</v>
      </c>
      <c r="J1378" s="707">
        <f t="shared" si="43"/>
        <v>0</v>
      </c>
      <c r="K1378" s="70"/>
    </row>
    <row r="1379" spans="1:11" ht="24" customHeight="1">
      <c r="A1379" s="3" t="s">
        <v>3233</v>
      </c>
      <c r="B1379" s="59" t="s">
        <v>707</v>
      </c>
      <c r="C1379" s="59">
        <v>1</v>
      </c>
      <c r="D1379" s="33" t="s">
        <v>3053</v>
      </c>
      <c r="E1379" s="354">
        <v>5</v>
      </c>
      <c r="F1379" s="354"/>
      <c r="G1379" s="688"/>
      <c r="H1379" s="707"/>
      <c r="I1379" s="707">
        <f t="shared" si="42"/>
        <v>0</v>
      </c>
      <c r="J1379" s="707">
        <f t="shared" si="43"/>
        <v>0</v>
      </c>
      <c r="K1379" s="70"/>
    </row>
    <row r="1380" spans="1:11" ht="24" customHeight="1">
      <c r="A1380" s="3" t="s">
        <v>3236</v>
      </c>
      <c r="B1380" s="59" t="s">
        <v>707</v>
      </c>
      <c r="C1380" s="59">
        <v>1</v>
      </c>
      <c r="D1380" s="33" t="s">
        <v>3053</v>
      </c>
      <c r="E1380" s="354">
        <v>5</v>
      </c>
      <c r="F1380" s="354"/>
      <c r="G1380" s="688"/>
      <c r="H1380" s="707"/>
      <c r="I1380" s="707">
        <f t="shared" si="42"/>
        <v>0</v>
      </c>
      <c r="J1380" s="707">
        <f t="shared" si="43"/>
        <v>0</v>
      </c>
      <c r="K1380" s="70"/>
    </row>
    <row r="1381" spans="1:11" ht="24" customHeight="1">
      <c r="A1381" s="33" t="s">
        <v>2010</v>
      </c>
      <c r="B1381" s="33" t="s">
        <v>529</v>
      </c>
      <c r="C1381" s="33">
        <v>4</v>
      </c>
      <c r="D1381" s="33" t="s">
        <v>1938</v>
      </c>
      <c r="E1381" s="33">
        <v>2</v>
      </c>
      <c r="F1381" s="33"/>
      <c r="G1381" s="522"/>
      <c r="H1381" s="707"/>
      <c r="I1381" s="707">
        <f t="shared" si="42"/>
        <v>0</v>
      </c>
      <c r="J1381" s="707">
        <f t="shared" si="43"/>
        <v>0</v>
      </c>
      <c r="K1381" s="70"/>
    </row>
    <row r="1382" spans="1:11" ht="24" customHeight="1">
      <c r="A1382" s="33" t="s">
        <v>2173</v>
      </c>
      <c r="B1382" s="33" t="s">
        <v>2174</v>
      </c>
      <c r="C1382" s="33">
        <v>1</v>
      </c>
      <c r="D1382" s="33" t="s">
        <v>2111</v>
      </c>
      <c r="E1382" s="33">
        <v>2</v>
      </c>
      <c r="F1382" s="33"/>
      <c r="G1382" s="522"/>
      <c r="H1382" s="707"/>
      <c r="I1382" s="707">
        <f t="shared" si="42"/>
        <v>0</v>
      </c>
      <c r="J1382" s="707">
        <f t="shared" si="43"/>
        <v>0</v>
      </c>
      <c r="K1382" s="70"/>
    </row>
    <row r="1383" spans="1:11" ht="24" customHeight="1">
      <c r="A1383" s="222" t="s">
        <v>987</v>
      </c>
      <c r="B1383" s="33" t="s">
        <v>43</v>
      </c>
      <c r="C1383" s="33">
        <v>1</v>
      </c>
      <c r="D1383" s="33" t="s">
        <v>910</v>
      </c>
      <c r="E1383" s="33">
        <v>2</v>
      </c>
      <c r="F1383" s="33"/>
      <c r="G1383" s="522"/>
      <c r="H1383" s="707"/>
      <c r="I1383" s="707">
        <f t="shared" si="42"/>
        <v>0</v>
      </c>
      <c r="J1383" s="707">
        <f t="shared" si="43"/>
        <v>0</v>
      </c>
      <c r="K1383" s="70"/>
    </row>
    <row r="1384" spans="1:11" ht="24" customHeight="1">
      <c r="A1384" s="33" t="s">
        <v>922</v>
      </c>
      <c r="B1384" s="33" t="s">
        <v>923</v>
      </c>
      <c r="C1384" s="33">
        <v>50</v>
      </c>
      <c r="D1384" s="33" t="s">
        <v>910</v>
      </c>
      <c r="E1384" s="33">
        <v>1</v>
      </c>
      <c r="F1384" s="33"/>
      <c r="G1384" s="522"/>
      <c r="H1384" s="711">
        <v>40</v>
      </c>
      <c r="I1384" s="711">
        <f t="shared" si="42"/>
        <v>46</v>
      </c>
      <c r="J1384" s="711">
        <f t="shared" si="43"/>
        <v>52</v>
      </c>
      <c r="K1384" s="70"/>
    </row>
    <row r="1385" spans="1:11" ht="24" customHeight="1">
      <c r="A1385" s="33" t="s">
        <v>922</v>
      </c>
      <c r="B1385" s="33" t="s">
        <v>1030</v>
      </c>
      <c r="C1385" s="33">
        <v>127</v>
      </c>
      <c r="D1385" s="33" t="s">
        <v>2191</v>
      </c>
      <c r="E1385" s="33">
        <v>3</v>
      </c>
      <c r="F1385" s="33"/>
      <c r="G1385" s="522"/>
      <c r="H1385" s="707"/>
      <c r="I1385" s="707">
        <f t="shared" si="42"/>
        <v>0</v>
      </c>
      <c r="J1385" s="707">
        <f t="shared" si="43"/>
        <v>0</v>
      </c>
      <c r="K1385" s="70"/>
    </row>
    <row r="1386" spans="1:11" ht="24" customHeight="1">
      <c r="A1386" s="33" t="s">
        <v>2343</v>
      </c>
      <c r="B1386" s="33" t="s">
        <v>43</v>
      </c>
      <c r="C1386" s="33">
        <v>1</v>
      </c>
      <c r="D1386" s="33" t="s">
        <v>2276</v>
      </c>
      <c r="E1386" s="33">
        <v>1</v>
      </c>
      <c r="F1386" s="33"/>
      <c r="G1386" s="522"/>
      <c r="H1386" s="707"/>
      <c r="I1386" s="707">
        <f t="shared" si="42"/>
        <v>0</v>
      </c>
      <c r="J1386" s="707">
        <f t="shared" si="43"/>
        <v>0</v>
      </c>
      <c r="K1386" s="70"/>
    </row>
    <row r="1387" spans="1:11" ht="24" customHeight="1">
      <c r="A1387" s="11" t="s">
        <v>2925</v>
      </c>
      <c r="B1387" s="34" t="s">
        <v>2926</v>
      </c>
      <c r="C1387" s="11">
        <v>29</v>
      </c>
      <c r="D1387" s="15" t="s">
        <v>2918</v>
      </c>
      <c r="E1387" s="15">
        <v>1</v>
      </c>
      <c r="F1387" s="15"/>
      <c r="G1387" s="684"/>
      <c r="H1387" s="707"/>
      <c r="I1387" s="707">
        <f t="shared" si="42"/>
        <v>0</v>
      </c>
      <c r="J1387" s="707">
        <f t="shared" si="43"/>
        <v>0</v>
      </c>
      <c r="K1387" s="70" t="s">
        <v>51</v>
      </c>
    </row>
    <row r="1388" spans="1:11" ht="24" customHeight="1">
      <c r="A1388" s="33" t="s">
        <v>3294</v>
      </c>
      <c r="B1388" s="33" t="s">
        <v>83</v>
      </c>
      <c r="C1388" s="33">
        <v>8</v>
      </c>
      <c r="D1388" s="33" t="s">
        <v>3279</v>
      </c>
      <c r="E1388" s="33">
        <v>3</v>
      </c>
      <c r="F1388" s="33"/>
      <c r="G1388" s="522"/>
      <c r="H1388" s="707"/>
      <c r="I1388" s="707">
        <f t="shared" si="42"/>
        <v>0</v>
      </c>
      <c r="J1388" s="707">
        <f t="shared" si="43"/>
        <v>0</v>
      </c>
      <c r="K1388" s="70"/>
    </row>
    <row r="1389" spans="1:11" ht="24" customHeight="1">
      <c r="A1389" s="33" t="s">
        <v>1526</v>
      </c>
      <c r="B1389" s="33" t="s">
        <v>83</v>
      </c>
      <c r="C1389" s="33">
        <v>1</v>
      </c>
      <c r="D1389" s="33" t="s">
        <v>1494</v>
      </c>
      <c r="E1389" s="33">
        <v>2</v>
      </c>
      <c r="F1389" s="33"/>
      <c r="G1389" s="522"/>
      <c r="H1389" s="707"/>
      <c r="I1389" s="707">
        <f t="shared" si="42"/>
        <v>0</v>
      </c>
      <c r="J1389" s="707">
        <f t="shared" si="43"/>
        <v>0</v>
      </c>
      <c r="K1389" s="70"/>
    </row>
    <row r="1390" spans="1:11" ht="24" customHeight="1">
      <c r="A1390" s="33" t="s">
        <v>2332</v>
      </c>
      <c r="B1390" s="33" t="s">
        <v>83</v>
      </c>
      <c r="C1390" s="33">
        <v>1</v>
      </c>
      <c r="D1390" s="33" t="s">
        <v>2276</v>
      </c>
      <c r="E1390" s="33">
        <v>1</v>
      </c>
      <c r="F1390" s="33"/>
      <c r="G1390" s="522"/>
      <c r="H1390" s="707"/>
      <c r="I1390" s="707">
        <f t="shared" si="42"/>
        <v>0</v>
      </c>
      <c r="J1390" s="707">
        <f t="shared" si="43"/>
        <v>0</v>
      </c>
      <c r="K1390" s="70"/>
    </row>
    <row r="1391" spans="1:11" ht="24" customHeight="1">
      <c r="A1391" s="235" t="s">
        <v>2984</v>
      </c>
      <c r="B1391" s="59" t="s">
        <v>83</v>
      </c>
      <c r="C1391" s="59">
        <v>2</v>
      </c>
      <c r="D1391" s="71" t="s">
        <v>2947</v>
      </c>
      <c r="E1391" s="354">
        <v>5</v>
      </c>
      <c r="F1391" s="354"/>
      <c r="G1391" s="688"/>
      <c r="H1391" s="707"/>
      <c r="I1391" s="707">
        <f t="shared" si="42"/>
        <v>0</v>
      </c>
      <c r="J1391" s="707">
        <f t="shared" si="43"/>
        <v>0</v>
      </c>
      <c r="K1391" s="70"/>
    </row>
    <row r="1392" spans="1:11" ht="24" customHeight="1">
      <c r="A1392" s="11" t="s">
        <v>2877</v>
      </c>
      <c r="B1392" s="11" t="s">
        <v>272</v>
      </c>
      <c r="C1392" s="11">
        <v>3</v>
      </c>
      <c r="D1392" s="131" t="s">
        <v>2772</v>
      </c>
      <c r="E1392" s="15">
        <v>5</v>
      </c>
      <c r="F1392" s="15"/>
      <c r="G1392" s="684"/>
      <c r="H1392" s="707">
        <v>200</v>
      </c>
      <c r="I1392" s="707">
        <f t="shared" si="42"/>
        <v>229.99999999999997</v>
      </c>
      <c r="J1392" s="707">
        <f t="shared" si="43"/>
        <v>260</v>
      </c>
      <c r="K1392" s="70"/>
    </row>
    <row r="1393" spans="1:11" ht="24" customHeight="1">
      <c r="A1393" s="33" t="s">
        <v>2661</v>
      </c>
      <c r="B1393" s="33" t="s">
        <v>1197</v>
      </c>
      <c r="C1393" s="33">
        <v>1</v>
      </c>
      <c r="D1393" s="33" t="s">
        <v>2624</v>
      </c>
      <c r="E1393" s="33">
        <v>4</v>
      </c>
      <c r="F1393" s="33"/>
      <c r="G1393" s="522"/>
      <c r="H1393" s="707"/>
      <c r="I1393" s="707">
        <f t="shared" si="42"/>
        <v>0</v>
      </c>
      <c r="J1393" s="707">
        <f t="shared" si="43"/>
        <v>0</v>
      </c>
      <c r="K1393" s="70"/>
    </row>
    <row r="1394" spans="1:11" ht="24" customHeight="1">
      <c r="A1394" s="33" t="s">
        <v>1204</v>
      </c>
      <c r="B1394" s="33" t="s">
        <v>1039</v>
      </c>
      <c r="C1394" s="33">
        <v>2</v>
      </c>
      <c r="D1394" s="33" t="s">
        <v>1201</v>
      </c>
      <c r="E1394" s="33">
        <v>3</v>
      </c>
      <c r="F1394" s="33"/>
      <c r="G1394" s="522"/>
      <c r="H1394" s="707"/>
      <c r="I1394" s="707">
        <f t="shared" si="42"/>
        <v>0</v>
      </c>
      <c r="J1394" s="707">
        <f t="shared" si="43"/>
        <v>0</v>
      </c>
      <c r="K1394" s="70"/>
    </row>
    <row r="1395" spans="1:11" ht="24" customHeight="1">
      <c r="A1395" s="33" t="s">
        <v>1204</v>
      </c>
      <c r="B1395" s="33" t="s">
        <v>1039</v>
      </c>
      <c r="C1395" s="33">
        <v>2</v>
      </c>
      <c r="D1395" s="33" t="s">
        <v>3348</v>
      </c>
      <c r="E1395" s="33">
        <v>3</v>
      </c>
      <c r="F1395" s="33"/>
      <c r="G1395" s="522"/>
      <c r="H1395" s="707"/>
      <c r="I1395" s="707">
        <f t="shared" si="42"/>
        <v>0</v>
      </c>
      <c r="J1395" s="707">
        <f t="shared" si="43"/>
        <v>0</v>
      </c>
      <c r="K1395" s="70"/>
    </row>
    <row r="1396" spans="1:11" ht="24" customHeight="1">
      <c r="A1396" s="384" t="s">
        <v>798</v>
      </c>
      <c r="B1396" s="2" t="s">
        <v>56</v>
      </c>
      <c r="C1396" s="2">
        <v>1</v>
      </c>
      <c r="D1396" s="2" t="s">
        <v>593</v>
      </c>
      <c r="E1396" s="33">
        <v>3</v>
      </c>
      <c r="F1396" s="33"/>
      <c r="G1396" s="522"/>
      <c r="H1396" s="707"/>
      <c r="I1396" s="707">
        <f t="shared" si="42"/>
        <v>0</v>
      </c>
      <c r="J1396" s="707">
        <f t="shared" si="43"/>
        <v>0</v>
      </c>
      <c r="K1396" s="70"/>
    </row>
    <row r="1397" spans="1:11" ht="24" customHeight="1">
      <c r="A1397" s="33" t="s">
        <v>1037</v>
      </c>
      <c r="B1397" s="33" t="s">
        <v>83</v>
      </c>
      <c r="C1397" s="33">
        <v>1</v>
      </c>
      <c r="D1397" s="33" t="s">
        <v>992</v>
      </c>
      <c r="E1397" s="33">
        <v>4</v>
      </c>
      <c r="F1397" s="33"/>
      <c r="G1397" s="522"/>
      <c r="H1397" s="707"/>
      <c r="I1397" s="707">
        <f t="shared" si="42"/>
        <v>0</v>
      </c>
      <c r="J1397" s="707">
        <f t="shared" si="43"/>
        <v>0</v>
      </c>
      <c r="K1397" s="70"/>
    </row>
    <row r="1398" spans="1:11" ht="24" customHeight="1">
      <c r="A1398" s="33" t="s">
        <v>639</v>
      </c>
      <c r="B1398" s="33" t="s">
        <v>640</v>
      </c>
      <c r="C1398" s="33">
        <v>2</v>
      </c>
      <c r="D1398" s="2" t="s">
        <v>593</v>
      </c>
      <c r="E1398" s="33">
        <v>1</v>
      </c>
      <c r="F1398" s="33"/>
      <c r="G1398" s="522"/>
      <c r="H1398" s="707"/>
      <c r="I1398" s="707">
        <f t="shared" si="42"/>
        <v>0</v>
      </c>
      <c r="J1398" s="707">
        <f t="shared" si="43"/>
        <v>0</v>
      </c>
      <c r="K1398" s="70"/>
    </row>
    <row r="1399" spans="1:11" ht="24" customHeight="1">
      <c r="A1399" s="33" t="s">
        <v>933</v>
      </c>
      <c r="B1399" s="33" t="s">
        <v>934</v>
      </c>
      <c r="C1399" s="33">
        <v>4</v>
      </c>
      <c r="D1399" s="33" t="s">
        <v>910</v>
      </c>
      <c r="E1399" s="33">
        <v>1</v>
      </c>
      <c r="F1399" s="33"/>
      <c r="G1399" s="522"/>
      <c r="H1399" s="711">
        <v>400</v>
      </c>
      <c r="I1399" s="711">
        <f t="shared" si="42"/>
        <v>459.99999999999994</v>
      </c>
      <c r="J1399" s="711">
        <f t="shared" si="43"/>
        <v>520</v>
      </c>
      <c r="K1399" s="70"/>
    </row>
    <row r="1400" spans="1:11" ht="24" customHeight="1">
      <c r="A1400" s="33" t="s">
        <v>1043</v>
      </c>
      <c r="B1400" s="33" t="s">
        <v>83</v>
      </c>
      <c r="C1400" s="33">
        <v>1</v>
      </c>
      <c r="D1400" s="33" t="s">
        <v>992</v>
      </c>
      <c r="E1400" s="33">
        <v>4</v>
      </c>
      <c r="F1400" s="33"/>
      <c r="G1400" s="522"/>
      <c r="H1400" s="707"/>
      <c r="I1400" s="707">
        <f t="shared" si="42"/>
        <v>0</v>
      </c>
      <c r="J1400" s="707">
        <f t="shared" si="43"/>
        <v>0</v>
      </c>
      <c r="K1400" s="70"/>
    </row>
    <row r="1401" spans="1:11" ht="24" customHeight="1">
      <c r="A1401" s="33" t="s">
        <v>410</v>
      </c>
      <c r="B1401" s="33" t="s">
        <v>389</v>
      </c>
      <c r="C1401" s="33">
        <v>1</v>
      </c>
      <c r="D1401" s="2" t="s">
        <v>274</v>
      </c>
      <c r="E1401" s="33">
        <v>2</v>
      </c>
      <c r="F1401" s="33"/>
      <c r="G1401" s="522"/>
      <c r="H1401" s="707"/>
      <c r="I1401" s="707">
        <f t="shared" si="42"/>
        <v>0</v>
      </c>
      <c r="J1401" s="707">
        <f t="shared" si="43"/>
        <v>0</v>
      </c>
      <c r="K1401" s="70"/>
    </row>
    <row r="1402" spans="1:11" ht="24" customHeight="1">
      <c r="A1402" s="59" t="s">
        <v>3052</v>
      </c>
      <c r="B1402" s="59" t="s">
        <v>43</v>
      </c>
      <c r="C1402" s="59">
        <v>1</v>
      </c>
      <c r="D1402" s="33" t="s">
        <v>3027</v>
      </c>
      <c r="E1402" s="33">
        <v>1</v>
      </c>
      <c r="F1402" s="33"/>
      <c r="G1402" s="522"/>
      <c r="H1402" s="707"/>
      <c r="I1402" s="707">
        <f t="shared" si="42"/>
        <v>0</v>
      </c>
      <c r="J1402" s="707">
        <f t="shared" si="43"/>
        <v>0</v>
      </c>
      <c r="K1402" s="70"/>
    </row>
    <row r="1403" spans="1:11" ht="24" hidden="1" customHeight="1">
      <c r="A1403" s="31" t="s">
        <v>2990</v>
      </c>
      <c r="B1403" s="268" t="s">
        <v>2178</v>
      </c>
      <c r="C1403" s="268">
        <v>1</v>
      </c>
      <c r="D1403" s="268" t="s">
        <v>2947</v>
      </c>
      <c r="E1403" s="268">
        <v>5</v>
      </c>
      <c r="F1403" s="268"/>
      <c r="G1403" s="693"/>
      <c r="H1403" s="267">
        <v>3000</v>
      </c>
      <c r="I1403" s="267">
        <f t="shared" si="42"/>
        <v>3449.9999999999995</v>
      </c>
      <c r="J1403" s="267">
        <f t="shared" si="43"/>
        <v>3900</v>
      </c>
      <c r="K1403" s="70" t="s">
        <v>2991</v>
      </c>
    </row>
    <row r="1404" spans="1:11" ht="24" customHeight="1">
      <c r="A1404" s="74" t="s">
        <v>1437</v>
      </c>
      <c r="B1404" s="74" t="s">
        <v>1438</v>
      </c>
      <c r="C1404" s="74">
        <v>2</v>
      </c>
      <c r="D1404" s="33" t="s">
        <v>1372</v>
      </c>
      <c r="E1404" s="33">
        <v>5</v>
      </c>
      <c r="F1404" s="33"/>
      <c r="G1404" s="522"/>
      <c r="H1404" s="707"/>
      <c r="I1404" s="707">
        <f t="shared" si="42"/>
        <v>0</v>
      </c>
      <c r="J1404" s="707">
        <f t="shared" si="43"/>
        <v>0</v>
      </c>
      <c r="K1404" s="70"/>
    </row>
    <row r="1405" spans="1:11" ht="24" customHeight="1">
      <c r="A1405" s="11" t="s">
        <v>3501</v>
      </c>
      <c r="B1405" s="11" t="s">
        <v>83</v>
      </c>
      <c r="C1405" s="11">
        <v>1</v>
      </c>
      <c r="D1405" s="131" t="s">
        <v>3451</v>
      </c>
      <c r="E1405" s="15">
        <v>3</v>
      </c>
      <c r="F1405" s="15"/>
      <c r="G1405" s="684"/>
      <c r="H1405" s="707"/>
      <c r="I1405" s="707">
        <f t="shared" si="42"/>
        <v>0</v>
      </c>
      <c r="J1405" s="707">
        <f t="shared" si="43"/>
        <v>0</v>
      </c>
      <c r="K1405" s="70"/>
    </row>
    <row r="1406" spans="1:11" ht="24" customHeight="1">
      <c r="A1406" s="11" t="s">
        <v>3503</v>
      </c>
      <c r="B1406" s="11" t="s">
        <v>83</v>
      </c>
      <c r="C1406" s="11">
        <v>1</v>
      </c>
      <c r="D1406" s="131" t="s">
        <v>3451</v>
      </c>
      <c r="E1406" s="15">
        <v>3</v>
      </c>
      <c r="F1406" s="15"/>
      <c r="G1406" s="684"/>
      <c r="H1406" s="707"/>
      <c r="I1406" s="707">
        <f t="shared" si="42"/>
        <v>0</v>
      </c>
      <c r="J1406" s="707">
        <f t="shared" si="43"/>
        <v>0</v>
      </c>
      <c r="K1406" s="70"/>
    </row>
    <row r="1407" spans="1:11" ht="24" customHeight="1">
      <c r="A1407" s="33" t="s">
        <v>2291</v>
      </c>
      <c r="B1407" s="33" t="s">
        <v>2290</v>
      </c>
      <c r="C1407" s="33">
        <v>1</v>
      </c>
      <c r="D1407" s="33" t="s">
        <v>2276</v>
      </c>
      <c r="E1407" s="33">
        <v>1</v>
      </c>
      <c r="F1407" s="33"/>
      <c r="G1407" s="522"/>
      <c r="H1407" s="707"/>
      <c r="I1407" s="707">
        <f t="shared" si="42"/>
        <v>0</v>
      </c>
      <c r="J1407" s="707">
        <f t="shared" si="43"/>
        <v>0</v>
      </c>
      <c r="K1407" s="70"/>
    </row>
    <row r="1408" spans="1:11" ht="24" customHeight="1">
      <c r="A1408" s="33" t="s">
        <v>2289</v>
      </c>
      <c r="B1408" s="33" t="s">
        <v>2290</v>
      </c>
      <c r="C1408" s="33">
        <v>1</v>
      </c>
      <c r="D1408" s="33" t="s">
        <v>2276</v>
      </c>
      <c r="E1408" s="33">
        <v>1</v>
      </c>
      <c r="F1408" s="33"/>
      <c r="G1408" s="522"/>
      <c r="H1408" s="707"/>
      <c r="I1408" s="707">
        <f t="shared" si="42"/>
        <v>0</v>
      </c>
      <c r="J1408" s="707">
        <f t="shared" si="43"/>
        <v>0</v>
      </c>
      <c r="K1408" s="70"/>
    </row>
    <row r="1409" spans="1:11" ht="24" customHeight="1">
      <c r="A1409" s="33" t="s">
        <v>2293</v>
      </c>
      <c r="B1409" s="33" t="s">
        <v>2290</v>
      </c>
      <c r="C1409" s="33">
        <v>1</v>
      </c>
      <c r="D1409" s="33" t="s">
        <v>2276</v>
      </c>
      <c r="E1409" s="33">
        <v>1</v>
      </c>
      <c r="F1409" s="33"/>
      <c r="G1409" s="522"/>
      <c r="H1409" s="707"/>
      <c r="I1409" s="707">
        <f t="shared" si="42"/>
        <v>0</v>
      </c>
      <c r="J1409" s="707">
        <f t="shared" si="43"/>
        <v>0</v>
      </c>
      <c r="K1409" s="70"/>
    </row>
    <row r="1410" spans="1:11" ht="24" customHeight="1">
      <c r="A1410" s="33" t="s">
        <v>2292</v>
      </c>
      <c r="B1410" s="33" t="s">
        <v>2290</v>
      </c>
      <c r="C1410" s="33">
        <v>1</v>
      </c>
      <c r="D1410" s="33" t="s">
        <v>2276</v>
      </c>
      <c r="E1410" s="33">
        <v>1</v>
      </c>
      <c r="F1410" s="33"/>
      <c r="G1410" s="522"/>
      <c r="H1410" s="707"/>
      <c r="I1410" s="707">
        <f t="shared" ref="I1410:I1473" si="44">H1410 * 1.15</f>
        <v>0</v>
      </c>
      <c r="J1410" s="707">
        <f t="shared" ref="J1410:J1473" si="45">H1410 * 1.3</f>
        <v>0</v>
      </c>
      <c r="K1410" s="70"/>
    </row>
    <row r="1411" spans="1:11" ht="24" customHeight="1">
      <c r="A1411" s="33" t="s">
        <v>2294</v>
      </c>
      <c r="B1411" s="33" t="s">
        <v>110</v>
      </c>
      <c r="C1411" s="33">
        <v>1</v>
      </c>
      <c r="D1411" s="33" t="s">
        <v>2276</v>
      </c>
      <c r="E1411" s="33">
        <v>1</v>
      </c>
      <c r="F1411" s="33"/>
      <c r="G1411" s="522"/>
      <c r="H1411" s="707"/>
      <c r="I1411" s="707">
        <f t="shared" si="44"/>
        <v>0</v>
      </c>
      <c r="J1411" s="707">
        <f t="shared" si="45"/>
        <v>0</v>
      </c>
      <c r="K1411" s="70"/>
    </row>
    <row r="1412" spans="1:11" ht="24" customHeight="1">
      <c r="A1412" s="33" t="s">
        <v>2313</v>
      </c>
      <c r="B1412" s="33" t="s">
        <v>110</v>
      </c>
      <c r="C1412" s="33">
        <v>1</v>
      </c>
      <c r="D1412" s="33" t="s">
        <v>2276</v>
      </c>
      <c r="E1412" s="33">
        <v>1</v>
      </c>
      <c r="F1412" s="33"/>
      <c r="G1412" s="522"/>
      <c r="H1412" s="707"/>
      <c r="I1412" s="707">
        <f t="shared" si="44"/>
        <v>0</v>
      </c>
      <c r="J1412" s="707">
        <f t="shared" si="45"/>
        <v>0</v>
      </c>
      <c r="K1412" s="70"/>
    </row>
    <row r="1413" spans="1:11" ht="24" customHeight="1">
      <c r="A1413" s="33" t="s">
        <v>2300</v>
      </c>
      <c r="B1413" s="33" t="s">
        <v>2290</v>
      </c>
      <c r="C1413" s="33">
        <v>1</v>
      </c>
      <c r="D1413" s="33" t="s">
        <v>2276</v>
      </c>
      <c r="E1413" s="33">
        <v>1</v>
      </c>
      <c r="F1413" s="33"/>
      <c r="G1413" s="522"/>
      <c r="H1413" s="707"/>
      <c r="I1413" s="707">
        <f t="shared" si="44"/>
        <v>0</v>
      </c>
      <c r="J1413" s="707">
        <f t="shared" si="45"/>
        <v>0</v>
      </c>
      <c r="K1413" s="70"/>
    </row>
    <row r="1414" spans="1:11" ht="24" customHeight="1">
      <c r="A1414" s="33" t="s">
        <v>2301</v>
      </c>
      <c r="B1414" s="33" t="s">
        <v>2290</v>
      </c>
      <c r="C1414" s="33">
        <v>1</v>
      </c>
      <c r="D1414" s="33" t="s">
        <v>2276</v>
      </c>
      <c r="E1414" s="33">
        <v>1</v>
      </c>
      <c r="F1414" s="33"/>
      <c r="G1414" s="522"/>
      <c r="H1414" s="707"/>
      <c r="I1414" s="707">
        <f t="shared" si="44"/>
        <v>0</v>
      </c>
      <c r="J1414" s="707">
        <f t="shared" si="45"/>
        <v>0</v>
      </c>
      <c r="K1414" s="70"/>
    </row>
    <row r="1415" spans="1:11" ht="24" customHeight="1">
      <c r="A1415" s="33" t="s">
        <v>2308</v>
      </c>
      <c r="B1415" s="33" t="s">
        <v>2290</v>
      </c>
      <c r="C1415" s="33">
        <v>1</v>
      </c>
      <c r="D1415" s="33" t="s">
        <v>2276</v>
      </c>
      <c r="E1415" s="33">
        <v>1</v>
      </c>
      <c r="F1415" s="33"/>
      <c r="G1415" s="522"/>
      <c r="H1415" s="707"/>
      <c r="I1415" s="707">
        <f t="shared" si="44"/>
        <v>0</v>
      </c>
      <c r="J1415" s="707">
        <f t="shared" si="45"/>
        <v>0</v>
      </c>
      <c r="K1415" s="70"/>
    </row>
    <row r="1416" spans="1:11" ht="24" customHeight="1">
      <c r="A1416" s="33" t="s">
        <v>2309</v>
      </c>
      <c r="B1416" s="33" t="s">
        <v>2290</v>
      </c>
      <c r="C1416" s="33">
        <v>1</v>
      </c>
      <c r="D1416" s="33" t="s">
        <v>2276</v>
      </c>
      <c r="E1416" s="33">
        <v>1</v>
      </c>
      <c r="F1416" s="33"/>
      <c r="G1416" s="522"/>
      <c r="H1416" s="707"/>
      <c r="I1416" s="707">
        <f t="shared" si="44"/>
        <v>0</v>
      </c>
      <c r="J1416" s="707">
        <f t="shared" si="45"/>
        <v>0</v>
      </c>
      <c r="K1416" s="70"/>
    </row>
    <row r="1417" spans="1:11" ht="24" customHeight="1">
      <c r="A1417" s="33" t="s">
        <v>2310</v>
      </c>
      <c r="B1417" s="33" t="s">
        <v>2290</v>
      </c>
      <c r="C1417" s="33">
        <v>1</v>
      </c>
      <c r="D1417" s="33" t="s">
        <v>2276</v>
      </c>
      <c r="E1417" s="33">
        <v>1</v>
      </c>
      <c r="F1417" s="33"/>
      <c r="G1417" s="522"/>
      <c r="H1417" s="707"/>
      <c r="I1417" s="707">
        <f t="shared" si="44"/>
        <v>0</v>
      </c>
      <c r="J1417" s="707">
        <f t="shared" si="45"/>
        <v>0</v>
      </c>
      <c r="K1417" s="70"/>
    </row>
    <row r="1418" spans="1:11" ht="24" customHeight="1">
      <c r="A1418" s="33" t="s">
        <v>2311</v>
      </c>
      <c r="B1418" s="33" t="s">
        <v>2290</v>
      </c>
      <c r="C1418" s="33">
        <v>1</v>
      </c>
      <c r="D1418" s="33" t="s">
        <v>2276</v>
      </c>
      <c r="E1418" s="33">
        <v>1</v>
      </c>
      <c r="F1418" s="33"/>
      <c r="G1418" s="522"/>
      <c r="H1418" s="707"/>
      <c r="I1418" s="707">
        <f t="shared" si="44"/>
        <v>0</v>
      </c>
      <c r="J1418" s="707">
        <f t="shared" si="45"/>
        <v>0</v>
      </c>
      <c r="K1418" s="70"/>
    </row>
    <row r="1419" spans="1:11" ht="24" customHeight="1">
      <c r="A1419" s="33" t="s">
        <v>2312</v>
      </c>
      <c r="B1419" s="33" t="s">
        <v>2290</v>
      </c>
      <c r="C1419" s="33">
        <v>1</v>
      </c>
      <c r="D1419" s="33" t="s">
        <v>2276</v>
      </c>
      <c r="E1419" s="33">
        <v>1</v>
      </c>
      <c r="F1419" s="33"/>
      <c r="G1419" s="522"/>
      <c r="H1419" s="707"/>
      <c r="I1419" s="707">
        <f t="shared" si="44"/>
        <v>0</v>
      </c>
      <c r="J1419" s="707">
        <f t="shared" si="45"/>
        <v>0</v>
      </c>
      <c r="K1419" s="70"/>
    </row>
    <row r="1420" spans="1:11" ht="24" customHeight="1">
      <c r="A1420" s="33" t="s">
        <v>2305</v>
      </c>
      <c r="B1420" s="33" t="s">
        <v>845</v>
      </c>
      <c r="C1420" s="33">
        <v>1</v>
      </c>
      <c r="D1420" s="33" t="s">
        <v>2276</v>
      </c>
      <c r="E1420" s="33">
        <v>1</v>
      </c>
      <c r="F1420" s="33"/>
      <c r="G1420" s="522"/>
      <c r="H1420" s="707"/>
      <c r="I1420" s="707">
        <f t="shared" si="44"/>
        <v>0</v>
      </c>
      <c r="J1420" s="707">
        <f t="shared" si="45"/>
        <v>0</v>
      </c>
      <c r="K1420" s="70"/>
    </row>
    <row r="1421" spans="1:11" ht="24" customHeight="1">
      <c r="A1421" s="33" t="s">
        <v>2282</v>
      </c>
      <c r="B1421" s="33" t="s">
        <v>110</v>
      </c>
      <c r="C1421" s="33">
        <v>2</v>
      </c>
      <c r="D1421" s="33" t="s">
        <v>2276</v>
      </c>
      <c r="E1421" s="33">
        <v>1</v>
      </c>
      <c r="F1421" s="33"/>
      <c r="G1421" s="522"/>
      <c r="H1421" s="707"/>
      <c r="I1421" s="707">
        <f t="shared" si="44"/>
        <v>0</v>
      </c>
      <c r="J1421" s="707">
        <f t="shared" si="45"/>
        <v>0</v>
      </c>
      <c r="K1421" s="70"/>
    </row>
    <row r="1422" spans="1:11" ht="24" customHeight="1">
      <c r="A1422" s="33" t="s">
        <v>2283</v>
      </c>
      <c r="B1422" s="33" t="s">
        <v>2284</v>
      </c>
      <c r="C1422" s="33">
        <v>1</v>
      </c>
      <c r="D1422" s="33" t="s">
        <v>2276</v>
      </c>
      <c r="E1422" s="33">
        <v>1</v>
      </c>
      <c r="F1422" s="33"/>
      <c r="G1422" s="522"/>
      <c r="H1422" s="707"/>
      <c r="I1422" s="707">
        <f t="shared" si="44"/>
        <v>0</v>
      </c>
      <c r="J1422" s="707">
        <f t="shared" si="45"/>
        <v>0</v>
      </c>
      <c r="K1422" s="70"/>
    </row>
    <row r="1423" spans="1:11" ht="24" customHeight="1">
      <c r="A1423" s="33" t="s">
        <v>2315</v>
      </c>
      <c r="B1423" s="33" t="s">
        <v>110</v>
      </c>
      <c r="C1423" s="33">
        <v>1</v>
      </c>
      <c r="D1423" s="33" t="s">
        <v>2276</v>
      </c>
      <c r="E1423" s="33">
        <v>1</v>
      </c>
      <c r="F1423" s="33"/>
      <c r="G1423" s="522"/>
      <c r="H1423" s="707"/>
      <c r="I1423" s="707">
        <f t="shared" si="44"/>
        <v>0</v>
      </c>
      <c r="J1423" s="707">
        <f t="shared" si="45"/>
        <v>0</v>
      </c>
      <c r="K1423" s="70"/>
    </row>
    <row r="1424" spans="1:11" ht="24" customHeight="1">
      <c r="A1424" s="33" t="s">
        <v>2314</v>
      </c>
      <c r="B1424" s="33" t="s">
        <v>110</v>
      </c>
      <c r="C1424" s="33">
        <v>1</v>
      </c>
      <c r="D1424" s="33" t="s">
        <v>2276</v>
      </c>
      <c r="E1424" s="33">
        <v>1</v>
      </c>
      <c r="F1424" s="33"/>
      <c r="G1424" s="522"/>
      <c r="H1424" s="707"/>
      <c r="I1424" s="707">
        <f t="shared" si="44"/>
        <v>0</v>
      </c>
      <c r="J1424" s="707">
        <f t="shared" si="45"/>
        <v>0</v>
      </c>
      <c r="K1424" s="70"/>
    </row>
    <row r="1425" spans="1:11" ht="24" customHeight="1">
      <c r="A1425" s="33" t="s">
        <v>1050</v>
      </c>
      <c r="B1425" s="33" t="s">
        <v>83</v>
      </c>
      <c r="C1425" s="33">
        <v>6</v>
      </c>
      <c r="D1425" s="33" t="s">
        <v>992</v>
      </c>
      <c r="E1425" s="33">
        <v>4</v>
      </c>
      <c r="F1425" s="33"/>
      <c r="G1425" s="522"/>
      <c r="H1425" s="707"/>
      <c r="I1425" s="707">
        <f t="shared" si="44"/>
        <v>0</v>
      </c>
      <c r="J1425" s="707">
        <f t="shared" si="45"/>
        <v>0</v>
      </c>
      <c r="K1425" s="70"/>
    </row>
    <row r="1426" spans="1:11" ht="24" customHeight="1">
      <c r="A1426" s="33" t="s">
        <v>1050</v>
      </c>
      <c r="B1426" s="33" t="s">
        <v>83</v>
      </c>
      <c r="C1426" s="33">
        <v>21</v>
      </c>
      <c r="D1426" s="33" t="s">
        <v>1325</v>
      </c>
      <c r="E1426" s="33">
        <v>2</v>
      </c>
      <c r="F1426" s="33"/>
      <c r="G1426" s="522"/>
      <c r="H1426" s="707"/>
      <c r="I1426" s="707">
        <f t="shared" si="44"/>
        <v>0</v>
      </c>
      <c r="J1426" s="707">
        <f t="shared" si="45"/>
        <v>0</v>
      </c>
      <c r="K1426" s="70"/>
    </row>
    <row r="1427" spans="1:11" ht="24" customHeight="1">
      <c r="A1427" s="33" t="s">
        <v>1050</v>
      </c>
      <c r="B1427" s="33" t="s">
        <v>83</v>
      </c>
      <c r="C1427" s="33">
        <v>18</v>
      </c>
      <c r="D1427" s="33" t="s">
        <v>1494</v>
      </c>
      <c r="E1427" s="33">
        <v>2</v>
      </c>
      <c r="F1427" s="33"/>
      <c r="G1427" s="522"/>
      <c r="H1427" s="707"/>
      <c r="I1427" s="707">
        <f t="shared" si="44"/>
        <v>0</v>
      </c>
      <c r="J1427" s="707">
        <f t="shared" si="45"/>
        <v>0</v>
      </c>
      <c r="K1427" s="70"/>
    </row>
    <row r="1428" spans="1:11" ht="24" customHeight="1">
      <c r="A1428" s="33" t="s">
        <v>1050</v>
      </c>
      <c r="B1428" s="33" t="s">
        <v>83</v>
      </c>
      <c r="C1428" s="33">
        <v>19</v>
      </c>
      <c r="D1428" s="33" t="s">
        <v>1548</v>
      </c>
      <c r="E1428" s="33">
        <v>3</v>
      </c>
      <c r="F1428" s="33"/>
      <c r="G1428" s="522"/>
      <c r="H1428" s="707"/>
      <c r="I1428" s="707">
        <f t="shared" si="44"/>
        <v>0</v>
      </c>
      <c r="J1428" s="707">
        <f t="shared" si="45"/>
        <v>0</v>
      </c>
      <c r="K1428" s="70"/>
    </row>
    <row r="1429" spans="1:11" ht="24" customHeight="1">
      <c r="A1429" s="33" t="s">
        <v>1050</v>
      </c>
      <c r="B1429" s="33" t="s">
        <v>83</v>
      </c>
      <c r="C1429" s="33">
        <v>1</v>
      </c>
      <c r="D1429" s="33" t="s">
        <v>1548</v>
      </c>
      <c r="E1429" s="33">
        <v>4</v>
      </c>
      <c r="F1429" s="33"/>
      <c r="G1429" s="522"/>
      <c r="H1429" s="707"/>
      <c r="I1429" s="707">
        <f t="shared" si="44"/>
        <v>0</v>
      </c>
      <c r="J1429" s="707">
        <f t="shared" si="45"/>
        <v>0</v>
      </c>
      <c r="K1429" s="70"/>
    </row>
    <row r="1430" spans="1:11" ht="24" customHeight="1">
      <c r="A1430" s="33" t="s">
        <v>1370</v>
      </c>
      <c r="B1430" s="33" t="s">
        <v>1371</v>
      </c>
      <c r="C1430" s="33">
        <v>8</v>
      </c>
      <c r="D1430" s="33" t="s">
        <v>1325</v>
      </c>
      <c r="E1430" s="33">
        <v>2</v>
      </c>
      <c r="F1430" s="33"/>
      <c r="G1430" s="522"/>
      <c r="H1430" s="707"/>
      <c r="I1430" s="707">
        <f t="shared" si="44"/>
        <v>0</v>
      </c>
      <c r="J1430" s="707">
        <f t="shared" si="45"/>
        <v>0</v>
      </c>
      <c r="K1430" s="70"/>
    </row>
    <row r="1431" spans="1:11" ht="24" customHeight="1">
      <c r="A1431" s="33" t="s">
        <v>2067</v>
      </c>
      <c r="B1431" s="33" t="s">
        <v>83</v>
      </c>
      <c r="C1431" s="33">
        <v>2</v>
      </c>
      <c r="D1431" s="33" t="s">
        <v>2026</v>
      </c>
      <c r="E1431" s="33">
        <v>4</v>
      </c>
      <c r="F1431" s="33"/>
      <c r="G1431" s="522"/>
      <c r="H1431" s="707"/>
      <c r="I1431" s="707">
        <f t="shared" si="44"/>
        <v>0</v>
      </c>
      <c r="J1431" s="707">
        <f t="shared" si="45"/>
        <v>0</v>
      </c>
      <c r="K1431" s="70"/>
    </row>
    <row r="1432" spans="1:11" ht="24" customHeight="1">
      <c r="A1432" s="33" t="s">
        <v>2209</v>
      </c>
      <c r="B1432" s="33" t="s">
        <v>83</v>
      </c>
      <c r="C1432" s="33">
        <v>2</v>
      </c>
      <c r="D1432" s="33" t="s">
        <v>2191</v>
      </c>
      <c r="E1432" s="33">
        <v>4</v>
      </c>
      <c r="F1432" s="33"/>
      <c r="G1432" s="522"/>
      <c r="H1432" s="707"/>
      <c r="I1432" s="707">
        <f t="shared" si="44"/>
        <v>0</v>
      </c>
      <c r="J1432" s="707">
        <f t="shared" si="45"/>
        <v>0</v>
      </c>
      <c r="K1432" s="70"/>
    </row>
    <row r="1433" spans="1:11" ht="24" customHeight="1">
      <c r="A1433" s="2" t="s">
        <v>539</v>
      </c>
      <c r="B1433" s="2" t="s">
        <v>83</v>
      </c>
      <c r="C1433" s="2">
        <v>3</v>
      </c>
      <c r="D1433" s="2" t="s">
        <v>536</v>
      </c>
      <c r="E1433" s="33">
        <v>4</v>
      </c>
      <c r="F1433" s="33"/>
      <c r="G1433" s="522"/>
      <c r="H1433" s="707"/>
      <c r="I1433" s="707">
        <f t="shared" si="44"/>
        <v>0</v>
      </c>
      <c r="J1433" s="707">
        <f t="shared" si="45"/>
        <v>0</v>
      </c>
      <c r="K1433" s="70"/>
    </row>
    <row r="1434" spans="1:11" ht="24" customHeight="1">
      <c r="A1434" s="2" t="s">
        <v>3630</v>
      </c>
      <c r="B1434" s="2" t="s">
        <v>2507</v>
      </c>
      <c r="C1434" s="2">
        <v>2</v>
      </c>
      <c r="D1434" s="2" t="s">
        <v>3618</v>
      </c>
      <c r="E1434" s="33">
        <v>5</v>
      </c>
      <c r="F1434" s="33"/>
      <c r="G1434" s="522"/>
      <c r="H1434" s="707"/>
      <c r="I1434" s="707">
        <f t="shared" si="44"/>
        <v>0</v>
      </c>
      <c r="J1434" s="707">
        <f t="shared" si="45"/>
        <v>0</v>
      </c>
      <c r="K1434" s="55"/>
    </row>
    <row r="1435" spans="1:11" ht="24" customHeight="1">
      <c r="A1435" s="74" t="s">
        <v>2082</v>
      </c>
      <c r="B1435" s="74" t="s">
        <v>83</v>
      </c>
      <c r="C1435" s="74">
        <v>1</v>
      </c>
      <c r="D1435" s="33" t="s">
        <v>2026</v>
      </c>
      <c r="E1435" s="33">
        <v>5</v>
      </c>
      <c r="F1435" s="33"/>
      <c r="G1435" s="522"/>
      <c r="H1435" s="707"/>
      <c r="I1435" s="707">
        <f t="shared" si="44"/>
        <v>0</v>
      </c>
      <c r="J1435" s="707">
        <f t="shared" si="45"/>
        <v>0</v>
      </c>
      <c r="K1435" s="70"/>
    </row>
    <row r="1436" spans="1:11" ht="24" customHeight="1">
      <c r="A1436" s="33" t="s">
        <v>3342</v>
      </c>
      <c r="B1436" s="66" t="s">
        <v>10</v>
      </c>
      <c r="C1436" s="66">
        <v>1</v>
      </c>
      <c r="D1436" s="67" t="s">
        <v>3348</v>
      </c>
      <c r="E1436" s="66">
        <v>5</v>
      </c>
      <c r="F1436" s="66"/>
      <c r="G1436" s="689"/>
      <c r="H1436" s="707"/>
      <c r="I1436" s="707">
        <f t="shared" si="44"/>
        <v>0</v>
      </c>
      <c r="J1436" s="707">
        <f t="shared" si="45"/>
        <v>0</v>
      </c>
      <c r="K1436" s="70"/>
    </row>
    <row r="1437" spans="1:11" ht="24" customHeight="1">
      <c r="A1437" s="33" t="s">
        <v>417</v>
      </c>
      <c r="B1437" s="33" t="s">
        <v>418</v>
      </c>
      <c r="C1437" s="33">
        <v>1</v>
      </c>
      <c r="D1437" s="2" t="s">
        <v>274</v>
      </c>
      <c r="E1437" s="33">
        <v>2</v>
      </c>
      <c r="F1437" s="33"/>
      <c r="G1437" s="522"/>
      <c r="H1437" s="707"/>
      <c r="I1437" s="707">
        <f t="shared" si="44"/>
        <v>0</v>
      </c>
      <c r="J1437" s="707">
        <f t="shared" si="45"/>
        <v>0</v>
      </c>
      <c r="K1437" s="70"/>
    </row>
    <row r="1438" spans="1:11" ht="24" customHeight="1">
      <c r="A1438" s="2" t="s">
        <v>736</v>
      </c>
      <c r="B1438" s="2" t="s">
        <v>350</v>
      </c>
      <c r="C1438" s="2">
        <v>7</v>
      </c>
      <c r="D1438" s="2" t="s">
        <v>593</v>
      </c>
      <c r="E1438" s="33">
        <v>3</v>
      </c>
      <c r="F1438" s="33"/>
      <c r="G1438" s="522"/>
      <c r="H1438" s="707"/>
      <c r="I1438" s="707">
        <f t="shared" si="44"/>
        <v>0</v>
      </c>
      <c r="J1438" s="707">
        <f t="shared" si="45"/>
        <v>0</v>
      </c>
      <c r="K1438" s="70"/>
    </row>
    <row r="1439" spans="1:11" ht="24" customHeight="1">
      <c r="A1439" s="2" t="s">
        <v>3669</v>
      </c>
      <c r="B1439" s="2" t="s">
        <v>10</v>
      </c>
      <c r="C1439" s="2">
        <v>3</v>
      </c>
      <c r="D1439" s="2" t="s">
        <v>3668</v>
      </c>
      <c r="E1439" s="2">
        <v>4</v>
      </c>
      <c r="F1439" s="2"/>
      <c r="G1439" s="634"/>
      <c r="H1439" s="707"/>
      <c r="I1439" s="707">
        <f t="shared" si="44"/>
        <v>0</v>
      </c>
      <c r="J1439" s="707">
        <f t="shared" si="45"/>
        <v>0</v>
      </c>
      <c r="K1439" s="55"/>
    </row>
    <row r="1440" spans="1:11" ht="24" customHeight="1">
      <c r="A1440" s="33" t="s">
        <v>1991</v>
      </c>
      <c r="B1440" s="33" t="s">
        <v>845</v>
      </c>
      <c r="C1440" s="33">
        <v>1</v>
      </c>
      <c r="D1440" s="33" t="s">
        <v>1938</v>
      </c>
      <c r="E1440" s="33">
        <v>2</v>
      </c>
      <c r="F1440" s="33"/>
      <c r="G1440" s="522"/>
      <c r="H1440" s="707"/>
      <c r="I1440" s="707">
        <f t="shared" si="44"/>
        <v>0</v>
      </c>
      <c r="J1440" s="707">
        <f t="shared" si="45"/>
        <v>0</v>
      </c>
      <c r="K1440" s="70"/>
    </row>
    <row r="1441" spans="1:11" ht="24" customHeight="1">
      <c r="A1441" s="11" t="s">
        <v>3462</v>
      </c>
      <c r="B1441" s="11" t="s">
        <v>3463</v>
      </c>
      <c r="C1441" s="11">
        <v>2</v>
      </c>
      <c r="D1441" s="131" t="s">
        <v>3451</v>
      </c>
      <c r="E1441" s="15">
        <v>2</v>
      </c>
      <c r="F1441" s="15"/>
      <c r="G1441" s="684"/>
      <c r="H1441" s="707"/>
      <c r="I1441" s="707">
        <f t="shared" si="44"/>
        <v>0</v>
      </c>
      <c r="J1441" s="707">
        <f t="shared" si="45"/>
        <v>0</v>
      </c>
      <c r="K1441" s="70"/>
    </row>
    <row r="1442" spans="1:11" ht="24" customHeight="1">
      <c r="A1442" s="33" t="s">
        <v>928</v>
      </c>
      <c r="B1442" s="33" t="s">
        <v>929</v>
      </c>
      <c r="C1442" s="33">
        <v>60</v>
      </c>
      <c r="D1442" s="33" t="s">
        <v>910</v>
      </c>
      <c r="E1442" s="33">
        <v>1</v>
      </c>
      <c r="F1442" s="33"/>
      <c r="G1442" s="522"/>
      <c r="H1442" s="711">
        <v>0.5</v>
      </c>
      <c r="I1442" s="711">
        <f t="shared" si="44"/>
        <v>0.57499999999999996</v>
      </c>
      <c r="J1442" s="711">
        <f t="shared" si="45"/>
        <v>0.65</v>
      </c>
      <c r="K1442" s="70"/>
    </row>
    <row r="1443" spans="1:11" ht="24" customHeight="1">
      <c r="A1443" s="33" t="s">
        <v>2203</v>
      </c>
      <c r="B1443" s="33" t="s">
        <v>83</v>
      </c>
      <c r="C1443" s="33">
        <v>1</v>
      </c>
      <c r="D1443" s="33" t="s">
        <v>2191</v>
      </c>
      <c r="E1443" s="33">
        <v>4</v>
      </c>
      <c r="F1443" s="33"/>
      <c r="G1443" s="522"/>
      <c r="H1443" s="707"/>
      <c r="I1443" s="707">
        <f t="shared" si="44"/>
        <v>0</v>
      </c>
      <c r="J1443" s="707">
        <f t="shared" si="45"/>
        <v>0</v>
      </c>
      <c r="K1443" s="70"/>
    </row>
    <row r="1444" spans="1:11" ht="24" customHeight="1">
      <c r="A1444" s="33" t="s">
        <v>2620</v>
      </c>
      <c r="B1444" s="33" t="s">
        <v>19</v>
      </c>
      <c r="C1444" s="33">
        <v>20</v>
      </c>
      <c r="D1444" s="33" t="s">
        <v>2540</v>
      </c>
      <c r="E1444" s="33">
        <v>2</v>
      </c>
      <c r="F1444" s="33"/>
      <c r="G1444" s="522"/>
      <c r="H1444" s="707"/>
      <c r="I1444" s="707">
        <f t="shared" si="44"/>
        <v>0</v>
      </c>
      <c r="J1444" s="707">
        <f t="shared" si="45"/>
        <v>0</v>
      </c>
      <c r="K1444" s="70"/>
    </row>
    <row r="1445" spans="1:11" ht="24" customHeight="1">
      <c r="A1445" s="3" t="s">
        <v>2944</v>
      </c>
      <c r="B1445" s="3" t="s">
        <v>1030</v>
      </c>
      <c r="C1445" s="3">
        <v>6</v>
      </c>
      <c r="D1445" s="15" t="s">
        <v>2918</v>
      </c>
      <c r="E1445" s="15">
        <v>1</v>
      </c>
      <c r="F1445" s="15"/>
      <c r="G1445" s="684"/>
      <c r="H1445" s="707"/>
      <c r="I1445" s="707">
        <f t="shared" si="44"/>
        <v>0</v>
      </c>
      <c r="J1445" s="707">
        <f t="shared" si="45"/>
        <v>0</v>
      </c>
      <c r="K1445" s="70"/>
    </row>
    <row r="1446" spans="1:11" ht="24" customHeight="1">
      <c r="A1446" s="33" t="s">
        <v>1635</v>
      </c>
      <c r="B1446" s="33" t="s">
        <v>83</v>
      </c>
      <c r="C1446" s="33">
        <v>1</v>
      </c>
      <c r="D1446" s="33" t="s">
        <v>1548</v>
      </c>
      <c r="E1446" s="33">
        <v>4</v>
      </c>
      <c r="F1446" s="33"/>
      <c r="G1446" s="522"/>
      <c r="H1446" s="707"/>
      <c r="I1446" s="707">
        <f t="shared" si="44"/>
        <v>0</v>
      </c>
      <c r="J1446" s="707">
        <f t="shared" si="45"/>
        <v>0</v>
      </c>
      <c r="K1446" s="70"/>
    </row>
    <row r="1447" spans="1:11" ht="24" customHeight="1">
      <c r="A1447" s="33" t="s">
        <v>978</v>
      </c>
      <c r="B1447" s="33" t="s">
        <v>83</v>
      </c>
      <c r="C1447" s="33">
        <v>3</v>
      </c>
      <c r="D1447" s="33" t="s">
        <v>910</v>
      </c>
      <c r="E1447" s="33">
        <v>2</v>
      </c>
      <c r="F1447" s="33"/>
      <c r="G1447" s="522"/>
      <c r="H1447" s="707"/>
      <c r="I1447" s="707">
        <f t="shared" si="44"/>
        <v>0</v>
      </c>
      <c r="J1447" s="707">
        <f t="shared" si="45"/>
        <v>0</v>
      </c>
      <c r="K1447" s="70"/>
    </row>
    <row r="1448" spans="1:11" ht="24" customHeight="1">
      <c r="A1448" s="33" t="s">
        <v>1041</v>
      </c>
      <c r="B1448" s="33" t="s">
        <v>83</v>
      </c>
      <c r="C1448" s="33">
        <v>2</v>
      </c>
      <c r="D1448" s="33" t="s">
        <v>992</v>
      </c>
      <c r="E1448" s="33">
        <v>4</v>
      </c>
      <c r="F1448" s="33"/>
      <c r="G1448" s="522"/>
      <c r="H1448" s="707"/>
      <c r="I1448" s="707">
        <f t="shared" si="44"/>
        <v>0</v>
      </c>
      <c r="J1448" s="707">
        <f t="shared" si="45"/>
        <v>0</v>
      </c>
      <c r="K1448" s="70"/>
    </row>
    <row r="1449" spans="1:11" ht="24" customHeight="1">
      <c r="A1449" s="33" t="s">
        <v>2215</v>
      </c>
      <c r="B1449" s="33" t="s">
        <v>83</v>
      </c>
      <c r="C1449" s="33">
        <v>1</v>
      </c>
      <c r="D1449" s="33" t="s">
        <v>2191</v>
      </c>
      <c r="E1449" s="33">
        <v>4</v>
      </c>
      <c r="F1449" s="33"/>
      <c r="G1449" s="522"/>
      <c r="H1449" s="707"/>
      <c r="I1449" s="707">
        <f t="shared" si="44"/>
        <v>0</v>
      </c>
      <c r="J1449" s="707">
        <f t="shared" si="45"/>
        <v>0</v>
      </c>
      <c r="K1449" s="70"/>
    </row>
    <row r="1450" spans="1:11" ht="24" customHeight="1">
      <c r="A1450" s="3" t="s">
        <v>2936</v>
      </c>
      <c r="B1450" s="3" t="s">
        <v>83</v>
      </c>
      <c r="C1450" s="3">
        <v>2</v>
      </c>
      <c r="D1450" s="15" t="s">
        <v>2918</v>
      </c>
      <c r="E1450" s="15">
        <v>1</v>
      </c>
      <c r="F1450" s="15"/>
      <c r="G1450" s="684"/>
      <c r="H1450" s="707"/>
      <c r="I1450" s="707">
        <f t="shared" si="44"/>
        <v>0</v>
      </c>
      <c r="J1450" s="707">
        <f t="shared" si="45"/>
        <v>0</v>
      </c>
      <c r="K1450" s="70"/>
    </row>
    <row r="1451" spans="1:11" ht="24" customHeight="1">
      <c r="A1451" s="33" t="s">
        <v>1637</v>
      </c>
      <c r="B1451" s="33" t="s">
        <v>83</v>
      </c>
      <c r="C1451" s="33">
        <v>2</v>
      </c>
      <c r="D1451" s="33" t="s">
        <v>1548</v>
      </c>
      <c r="E1451" s="33">
        <v>4</v>
      </c>
      <c r="F1451" s="33"/>
      <c r="G1451" s="522"/>
      <c r="H1451" s="707"/>
      <c r="I1451" s="707">
        <f t="shared" si="44"/>
        <v>0</v>
      </c>
      <c r="J1451" s="707">
        <f t="shared" si="45"/>
        <v>0</v>
      </c>
      <c r="K1451" s="70"/>
    </row>
    <row r="1452" spans="1:11" ht="24" customHeight="1">
      <c r="A1452" s="74" t="s">
        <v>2131</v>
      </c>
      <c r="B1452" s="74" t="s">
        <v>2132</v>
      </c>
      <c r="C1452" s="74">
        <v>2</v>
      </c>
      <c r="D1452" s="33" t="s">
        <v>2111</v>
      </c>
      <c r="E1452" s="33">
        <v>2</v>
      </c>
      <c r="F1452" s="33"/>
      <c r="G1452" s="522"/>
      <c r="H1452" s="707"/>
      <c r="I1452" s="707">
        <f t="shared" si="44"/>
        <v>0</v>
      </c>
      <c r="J1452" s="707">
        <f t="shared" si="45"/>
        <v>0</v>
      </c>
      <c r="K1452" s="70"/>
    </row>
    <row r="1453" spans="1:11" ht="24" customHeight="1">
      <c r="A1453" s="11" t="s">
        <v>3142</v>
      </c>
      <c r="B1453" s="34" t="s">
        <v>3143</v>
      </c>
      <c r="C1453" s="11">
        <v>10</v>
      </c>
      <c r="D1453" s="33" t="s">
        <v>3053</v>
      </c>
      <c r="E1453" s="33">
        <v>3</v>
      </c>
      <c r="F1453" s="33"/>
      <c r="G1453" s="522"/>
      <c r="H1453" s="707"/>
      <c r="I1453" s="707">
        <f t="shared" si="44"/>
        <v>0</v>
      </c>
      <c r="J1453" s="707">
        <f t="shared" si="45"/>
        <v>0</v>
      </c>
      <c r="K1453" s="70"/>
    </row>
    <row r="1454" spans="1:11" ht="24" customHeight="1">
      <c r="A1454" s="33" t="s">
        <v>1161</v>
      </c>
      <c r="B1454" s="33" t="s">
        <v>83</v>
      </c>
      <c r="C1454" s="33">
        <v>1</v>
      </c>
      <c r="D1454" s="33" t="s">
        <v>1141</v>
      </c>
      <c r="E1454" s="33">
        <v>1</v>
      </c>
      <c r="F1454" s="33"/>
      <c r="G1454" s="522"/>
      <c r="H1454" s="707"/>
      <c r="I1454" s="707">
        <f t="shared" si="44"/>
        <v>0</v>
      </c>
      <c r="J1454" s="707">
        <f t="shared" si="45"/>
        <v>0</v>
      </c>
      <c r="K1454" s="70"/>
    </row>
    <row r="1455" spans="1:11" ht="24" customHeight="1">
      <c r="A1455" s="33" t="s">
        <v>2660</v>
      </c>
      <c r="B1455" s="33" t="s">
        <v>150</v>
      </c>
      <c r="C1455" s="33">
        <v>4</v>
      </c>
      <c r="D1455" s="33" t="s">
        <v>2624</v>
      </c>
      <c r="E1455" s="33">
        <v>4</v>
      </c>
      <c r="F1455" s="33"/>
      <c r="G1455" s="522"/>
      <c r="H1455" s="707"/>
      <c r="I1455" s="707">
        <f t="shared" si="44"/>
        <v>0</v>
      </c>
      <c r="J1455" s="707">
        <f t="shared" si="45"/>
        <v>0</v>
      </c>
      <c r="K1455" s="70"/>
    </row>
    <row r="1456" spans="1:11" ht="24" customHeight="1">
      <c r="A1456" s="33" t="s">
        <v>3344</v>
      </c>
      <c r="B1456" s="33" t="s">
        <v>3345</v>
      </c>
      <c r="C1456" s="33">
        <v>2</v>
      </c>
      <c r="D1456" s="33" t="s">
        <v>3338</v>
      </c>
      <c r="E1456" s="33">
        <v>2</v>
      </c>
      <c r="F1456" s="33"/>
      <c r="G1456" s="522"/>
      <c r="H1456" s="707"/>
      <c r="I1456" s="707">
        <f t="shared" si="44"/>
        <v>0</v>
      </c>
      <c r="J1456" s="707">
        <f t="shared" si="45"/>
        <v>0</v>
      </c>
      <c r="K1456" s="70"/>
    </row>
    <row r="1457" spans="1:11" ht="24" customHeight="1">
      <c r="A1457" s="33" t="s">
        <v>2066</v>
      </c>
      <c r="B1457" s="33" t="s">
        <v>1197</v>
      </c>
      <c r="C1457" s="33">
        <v>4</v>
      </c>
      <c r="D1457" s="33" t="s">
        <v>2026</v>
      </c>
      <c r="E1457" s="33">
        <v>4</v>
      </c>
      <c r="F1457" s="33"/>
      <c r="G1457" s="522"/>
      <c r="H1457" s="707"/>
      <c r="I1457" s="707">
        <f t="shared" si="44"/>
        <v>0</v>
      </c>
      <c r="J1457" s="707">
        <f t="shared" si="45"/>
        <v>0</v>
      </c>
      <c r="K1457" s="70"/>
    </row>
    <row r="1458" spans="1:11" ht="24" customHeight="1">
      <c r="A1458" s="33" t="s">
        <v>1633</v>
      </c>
      <c r="B1458" s="33" t="s">
        <v>1197</v>
      </c>
      <c r="C1458" s="33">
        <v>4</v>
      </c>
      <c r="D1458" s="33" t="s">
        <v>1548</v>
      </c>
      <c r="E1458" s="33">
        <v>4</v>
      </c>
      <c r="F1458" s="33"/>
      <c r="G1458" s="522"/>
      <c r="H1458" s="707"/>
      <c r="I1458" s="707">
        <f t="shared" si="44"/>
        <v>0</v>
      </c>
      <c r="J1458" s="707">
        <f t="shared" si="45"/>
        <v>0</v>
      </c>
      <c r="K1458" s="70"/>
    </row>
    <row r="1459" spans="1:11" ht="24" customHeight="1">
      <c r="A1459" s="59" t="s">
        <v>3013</v>
      </c>
      <c r="B1459" s="59" t="s">
        <v>147</v>
      </c>
      <c r="C1459" s="59">
        <v>1</v>
      </c>
      <c r="D1459" s="71" t="s">
        <v>2947</v>
      </c>
      <c r="E1459" s="354">
        <v>5</v>
      </c>
      <c r="F1459" s="354"/>
      <c r="G1459" s="688"/>
      <c r="H1459" s="707"/>
      <c r="I1459" s="707">
        <f t="shared" si="44"/>
        <v>0</v>
      </c>
      <c r="J1459" s="707">
        <f t="shared" si="45"/>
        <v>0</v>
      </c>
      <c r="K1459" s="70"/>
    </row>
    <row r="1460" spans="1:11" ht="24" customHeight="1">
      <c r="A1460" s="33" t="s">
        <v>2065</v>
      </c>
      <c r="B1460" s="33" t="s">
        <v>1197</v>
      </c>
      <c r="C1460" s="33">
        <v>3</v>
      </c>
      <c r="D1460" s="33" t="s">
        <v>2026</v>
      </c>
      <c r="E1460" s="33">
        <v>4</v>
      </c>
      <c r="F1460" s="33"/>
      <c r="G1460" s="522"/>
      <c r="H1460" s="707"/>
      <c r="I1460" s="707">
        <f t="shared" si="44"/>
        <v>0</v>
      </c>
      <c r="J1460" s="707">
        <f t="shared" si="45"/>
        <v>0</v>
      </c>
      <c r="K1460" s="70"/>
    </row>
    <row r="1461" spans="1:11" ht="24" customHeight="1">
      <c r="A1461" s="2" t="s">
        <v>3640</v>
      </c>
      <c r="B1461" s="2" t="s">
        <v>227</v>
      </c>
      <c r="C1461" s="2">
        <v>1</v>
      </c>
      <c r="D1461" s="2" t="s">
        <v>3636</v>
      </c>
      <c r="E1461" s="2">
        <v>1</v>
      </c>
      <c r="F1461" s="2"/>
      <c r="G1461" s="634"/>
      <c r="H1461" s="707"/>
      <c r="I1461" s="707">
        <f t="shared" si="44"/>
        <v>0</v>
      </c>
      <c r="J1461" s="707">
        <f t="shared" si="45"/>
        <v>0</v>
      </c>
      <c r="K1461" s="55"/>
    </row>
    <row r="1462" spans="1:11" ht="24" customHeight="1">
      <c r="A1462" s="58" t="s">
        <v>561</v>
      </c>
      <c r="B1462" s="17" t="s">
        <v>245</v>
      </c>
      <c r="C1462" s="17">
        <v>7</v>
      </c>
      <c r="D1462" s="131" t="s">
        <v>2868</v>
      </c>
      <c r="E1462" s="15">
        <v>4</v>
      </c>
      <c r="F1462" s="15"/>
      <c r="G1462" s="684"/>
      <c r="H1462" s="707"/>
      <c r="I1462" s="707">
        <f t="shared" si="44"/>
        <v>0</v>
      </c>
      <c r="J1462" s="707">
        <f t="shared" si="45"/>
        <v>0</v>
      </c>
      <c r="K1462" s="70"/>
    </row>
    <row r="1463" spans="1:11" ht="24" customHeight="1">
      <c r="A1463" s="2" t="s">
        <v>544</v>
      </c>
      <c r="B1463" s="2" t="s">
        <v>245</v>
      </c>
      <c r="C1463" s="2">
        <v>2</v>
      </c>
      <c r="D1463" s="2" t="s">
        <v>536</v>
      </c>
      <c r="E1463" s="33">
        <v>4</v>
      </c>
      <c r="F1463" s="33"/>
      <c r="G1463" s="522"/>
      <c r="H1463" s="707"/>
      <c r="I1463" s="707">
        <f t="shared" si="44"/>
        <v>0</v>
      </c>
      <c r="J1463" s="707">
        <f t="shared" si="45"/>
        <v>0</v>
      </c>
      <c r="K1463" s="70"/>
    </row>
    <row r="1464" spans="1:11" ht="24" customHeight="1">
      <c r="A1464" s="2" t="s">
        <v>545</v>
      </c>
      <c r="B1464" s="2" t="s">
        <v>245</v>
      </c>
      <c r="C1464" s="2">
        <v>1</v>
      </c>
      <c r="D1464" s="2" t="s">
        <v>536</v>
      </c>
      <c r="E1464" s="33">
        <v>4</v>
      </c>
      <c r="F1464" s="33"/>
      <c r="G1464" s="522"/>
      <c r="H1464" s="707"/>
      <c r="I1464" s="707">
        <f t="shared" si="44"/>
        <v>0</v>
      </c>
      <c r="J1464" s="707">
        <f t="shared" si="45"/>
        <v>0</v>
      </c>
      <c r="K1464" s="70"/>
    </row>
    <row r="1465" spans="1:11" ht="24" customHeight="1">
      <c r="A1465" s="58" t="s">
        <v>560</v>
      </c>
      <c r="B1465" s="17" t="s">
        <v>245</v>
      </c>
      <c r="C1465" s="17">
        <v>5</v>
      </c>
      <c r="D1465" s="131" t="s">
        <v>2868</v>
      </c>
      <c r="E1465" s="15">
        <v>4</v>
      </c>
      <c r="F1465" s="15"/>
      <c r="G1465" s="684"/>
      <c r="H1465" s="707"/>
      <c r="I1465" s="707">
        <f t="shared" si="44"/>
        <v>0</v>
      </c>
      <c r="J1465" s="707">
        <f t="shared" si="45"/>
        <v>0</v>
      </c>
      <c r="K1465" s="70"/>
    </row>
    <row r="1466" spans="1:11" ht="24" customHeight="1">
      <c r="A1466" s="17" t="s">
        <v>562</v>
      </c>
      <c r="B1466" s="17" t="s">
        <v>245</v>
      </c>
      <c r="C1466" s="17">
        <v>5</v>
      </c>
      <c r="D1466" s="131" t="s">
        <v>2868</v>
      </c>
      <c r="E1466" s="15">
        <v>4</v>
      </c>
      <c r="F1466" s="15"/>
      <c r="G1466" s="684"/>
      <c r="H1466" s="707"/>
      <c r="I1466" s="707">
        <f t="shared" si="44"/>
        <v>0</v>
      </c>
      <c r="J1466" s="707">
        <f t="shared" si="45"/>
        <v>0</v>
      </c>
      <c r="K1466" s="70"/>
    </row>
    <row r="1467" spans="1:11" ht="24" customHeight="1">
      <c r="A1467" s="2" t="s">
        <v>3609</v>
      </c>
      <c r="B1467" s="2" t="s">
        <v>245</v>
      </c>
      <c r="C1467" s="2">
        <v>1</v>
      </c>
      <c r="D1467" s="2" t="s">
        <v>3568</v>
      </c>
      <c r="E1467" s="33">
        <v>3</v>
      </c>
      <c r="F1467" s="33"/>
      <c r="G1467" s="522"/>
      <c r="H1467" s="707"/>
      <c r="I1467" s="707">
        <f t="shared" si="44"/>
        <v>0</v>
      </c>
      <c r="J1467" s="707">
        <f t="shared" si="45"/>
        <v>0</v>
      </c>
      <c r="K1467" s="70"/>
    </row>
    <row r="1468" spans="1:11" ht="24" customHeight="1">
      <c r="A1468" s="2" t="s">
        <v>3335</v>
      </c>
      <c r="B1468" s="2" t="s">
        <v>53</v>
      </c>
      <c r="C1468" s="2">
        <v>3</v>
      </c>
      <c r="D1468" s="2" t="s">
        <v>3279</v>
      </c>
      <c r="E1468" s="33">
        <v>5</v>
      </c>
      <c r="F1468" s="33"/>
      <c r="G1468" s="522"/>
      <c r="H1468" s="707"/>
      <c r="I1468" s="707">
        <f t="shared" si="44"/>
        <v>0</v>
      </c>
      <c r="J1468" s="707">
        <f t="shared" si="45"/>
        <v>0</v>
      </c>
      <c r="K1468" s="70"/>
    </row>
    <row r="1469" spans="1:11" ht="24" customHeight="1">
      <c r="A1469" s="2" t="s">
        <v>3261</v>
      </c>
      <c r="B1469" s="2" t="s">
        <v>53</v>
      </c>
      <c r="C1469" s="2">
        <v>4</v>
      </c>
      <c r="D1469" s="2" t="s">
        <v>3256</v>
      </c>
      <c r="E1469" s="33">
        <v>1</v>
      </c>
      <c r="F1469" s="33"/>
      <c r="G1469" s="522"/>
      <c r="H1469" s="707"/>
      <c r="I1469" s="707">
        <f t="shared" si="44"/>
        <v>0</v>
      </c>
      <c r="J1469" s="707">
        <f t="shared" si="45"/>
        <v>0</v>
      </c>
      <c r="K1469" s="70"/>
    </row>
    <row r="1470" spans="1:11" ht="24" customHeight="1">
      <c r="A1470" s="17" t="s">
        <v>2873</v>
      </c>
      <c r="B1470" s="17" t="s">
        <v>245</v>
      </c>
      <c r="C1470" s="17">
        <v>5</v>
      </c>
      <c r="D1470" s="131" t="s">
        <v>2868</v>
      </c>
      <c r="E1470" s="15">
        <v>4</v>
      </c>
      <c r="F1470" s="15"/>
      <c r="G1470" s="684"/>
      <c r="H1470" s="707"/>
      <c r="I1470" s="707">
        <f t="shared" si="44"/>
        <v>0</v>
      </c>
      <c r="J1470" s="707">
        <f t="shared" si="45"/>
        <v>0</v>
      </c>
      <c r="K1470" s="70"/>
    </row>
    <row r="1471" spans="1:11" ht="24" customHeight="1">
      <c r="A1471" s="58" t="s">
        <v>2869</v>
      </c>
      <c r="B1471" s="17" t="s">
        <v>245</v>
      </c>
      <c r="C1471" s="17">
        <v>5</v>
      </c>
      <c r="D1471" s="131" t="s">
        <v>2868</v>
      </c>
      <c r="E1471" s="15">
        <v>4</v>
      </c>
      <c r="F1471" s="15"/>
      <c r="G1471" s="684"/>
      <c r="H1471" s="707"/>
      <c r="I1471" s="707">
        <f t="shared" si="44"/>
        <v>0</v>
      </c>
      <c r="J1471" s="707">
        <f t="shared" si="45"/>
        <v>0</v>
      </c>
      <c r="K1471" s="70" t="s">
        <v>2870</v>
      </c>
    </row>
    <row r="1472" spans="1:11" ht="24" customHeight="1">
      <c r="A1472" s="2" t="s">
        <v>3597</v>
      </c>
      <c r="B1472" s="2" t="s">
        <v>81</v>
      </c>
      <c r="C1472" s="2">
        <v>1</v>
      </c>
      <c r="D1472" s="33" t="s">
        <v>3568</v>
      </c>
      <c r="E1472" s="33">
        <v>2</v>
      </c>
      <c r="F1472" s="33"/>
      <c r="G1472" s="522"/>
      <c r="H1472" s="707"/>
      <c r="I1472" s="707">
        <f t="shared" si="44"/>
        <v>0</v>
      </c>
      <c r="J1472" s="707">
        <f t="shared" si="45"/>
        <v>0</v>
      </c>
      <c r="K1472" s="55"/>
    </row>
    <row r="1473" spans="1:11" ht="24" customHeight="1">
      <c r="A1473" s="2" t="s">
        <v>3597</v>
      </c>
      <c r="B1473" s="2" t="s">
        <v>10</v>
      </c>
      <c r="C1473" s="2">
        <v>16</v>
      </c>
      <c r="D1473" s="2" t="s">
        <v>3636</v>
      </c>
      <c r="E1473" s="2">
        <v>1</v>
      </c>
      <c r="F1473" s="2"/>
      <c r="G1473" s="634"/>
      <c r="H1473" s="707"/>
      <c r="I1473" s="707">
        <f t="shared" si="44"/>
        <v>0</v>
      </c>
      <c r="J1473" s="707">
        <f t="shared" si="45"/>
        <v>0</v>
      </c>
      <c r="K1473" s="55"/>
    </row>
    <row r="1474" spans="1:11" ht="24" customHeight="1">
      <c r="A1474" s="2" t="s">
        <v>3597</v>
      </c>
      <c r="B1474" s="2" t="s">
        <v>10</v>
      </c>
      <c r="C1474" s="2">
        <v>4</v>
      </c>
      <c r="D1474" s="2" t="s">
        <v>3668</v>
      </c>
      <c r="E1474" s="2">
        <v>4</v>
      </c>
      <c r="F1474" s="2"/>
      <c r="G1474" s="634"/>
      <c r="H1474" s="707"/>
      <c r="I1474" s="707">
        <f t="shared" ref="I1474:I1537" si="46">H1474 * 1.15</f>
        <v>0</v>
      </c>
      <c r="J1474" s="707">
        <f t="shared" ref="J1474:J1537" si="47">H1474 * 1.3</f>
        <v>0</v>
      </c>
      <c r="K1474" s="55"/>
    </row>
    <row r="1475" spans="1:11" ht="24" customHeight="1">
      <c r="A1475" s="2" t="s">
        <v>3597</v>
      </c>
      <c r="B1475" s="2" t="s">
        <v>10</v>
      </c>
      <c r="C1475" s="2">
        <v>1</v>
      </c>
      <c r="D1475" s="2" t="s">
        <v>3671</v>
      </c>
      <c r="E1475" s="33">
        <v>2</v>
      </c>
      <c r="F1475" s="33"/>
      <c r="G1475" s="522"/>
      <c r="H1475" s="707"/>
      <c r="I1475" s="707">
        <f t="shared" si="46"/>
        <v>0</v>
      </c>
      <c r="J1475" s="707">
        <f t="shared" si="47"/>
        <v>0</v>
      </c>
      <c r="K1475" s="70"/>
    </row>
    <row r="1476" spans="1:11" ht="24" customHeight="1">
      <c r="A1476" s="2" t="s">
        <v>3597</v>
      </c>
      <c r="B1476" s="2" t="s">
        <v>81</v>
      </c>
      <c r="C1476" s="2">
        <v>15</v>
      </c>
      <c r="D1476" s="2" t="s">
        <v>3705</v>
      </c>
      <c r="E1476" s="33">
        <v>3</v>
      </c>
      <c r="F1476" s="33"/>
      <c r="G1476" s="522"/>
      <c r="H1476" s="707"/>
      <c r="I1476" s="707">
        <f t="shared" si="46"/>
        <v>0</v>
      </c>
      <c r="J1476" s="707">
        <f t="shared" si="47"/>
        <v>0</v>
      </c>
      <c r="K1476" s="55"/>
    </row>
    <row r="1477" spans="1:11" ht="24" customHeight="1">
      <c r="A1477" s="33" t="s">
        <v>2069</v>
      </c>
      <c r="B1477" s="33" t="s">
        <v>83</v>
      </c>
      <c r="C1477" s="33">
        <v>3</v>
      </c>
      <c r="D1477" s="33" t="s">
        <v>2026</v>
      </c>
      <c r="E1477" s="33">
        <v>4</v>
      </c>
      <c r="F1477" s="33"/>
      <c r="G1477" s="522"/>
      <c r="H1477" s="707"/>
      <c r="I1477" s="707">
        <f t="shared" si="46"/>
        <v>0</v>
      </c>
      <c r="J1477" s="707">
        <f t="shared" si="47"/>
        <v>0</v>
      </c>
      <c r="K1477" s="70"/>
    </row>
    <row r="1478" spans="1:11" ht="24" customHeight="1">
      <c r="A1478" s="33" t="s">
        <v>2069</v>
      </c>
      <c r="B1478" s="33" t="s">
        <v>83</v>
      </c>
      <c r="C1478" s="33">
        <v>1</v>
      </c>
      <c r="D1478" s="33" t="s">
        <v>2191</v>
      </c>
      <c r="E1478" s="33">
        <v>4</v>
      </c>
      <c r="F1478" s="33"/>
      <c r="G1478" s="522"/>
      <c r="H1478" s="707"/>
      <c r="I1478" s="707">
        <f t="shared" si="46"/>
        <v>0</v>
      </c>
      <c r="J1478" s="707">
        <f t="shared" si="47"/>
        <v>0</v>
      </c>
      <c r="K1478" s="70"/>
    </row>
    <row r="1479" spans="1:11" ht="24" customHeight="1">
      <c r="A1479" s="2" t="s">
        <v>2069</v>
      </c>
      <c r="B1479" s="2" t="s">
        <v>83</v>
      </c>
      <c r="C1479" s="2">
        <v>3</v>
      </c>
      <c r="D1479" s="2" t="s">
        <v>3705</v>
      </c>
      <c r="E1479" s="33">
        <v>2</v>
      </c>
      <c r="F1479" s="33"/>
      <c r="G1479" s="522"/>
      <c r="H1479" s="707"/>
      <c r="I1479" s="707">
        <f t="shared" si="46"/>
        <v>0</v>
      </c>
      <c r="J1479" s="707">
        <f t="shared" si="47"/>
        <v>0</v>
      </c>
      <c r="K1479" s="55"/>
    </row>
    <row r="1480" spans="1:11" ht="24" customHeight="1">
      <c r="A1480" s="33" t="s">
        <v>2328</v>
      </c>
      <c r="B1480" s="33" t="s">
        <v>83</v>
      </c>
      <c r="C1480" s="33">
        <v>4</v>
      </c>
      <c r="D1480" s="33" t="s">
        <v>2276</v>
      </c>
      <c r="E1480" s="33">
        <v>1</v>
      </c>
      <c r="F1480" s="33"/>
      <c r="G1480" s="522"/>
      <c r="H1480" s="707"/>
      <c r="I1480" s="707">
        <f t="shared" si="46"/>
        <v>0</v>
      </c>
      <c r="J1480" s="707">
        <f t="shared" si="47"/>
        <v>0</v>
      </c>
      <c r="K1480" s="70"/>
    </row>
    <row r="1481" spans="1:11" ht="24" customHeight="1">
      <c r="A1481" s="33" t="s">
        <v>2961</v>
      </c>
      <c r="B1481" s="33" t="s">
        <v>83</v>
      </c>
      <c r="C1481" s="33">
        <v>6</v>
      </c>
      <c r="D1481" s="71" t="s">
        <v>2947</v>
      </c>
      <c r="E1481" s="33">
        <v>4</v>
      </c>
      <c r="F1481" s="33"/>
      <c r="G1481" s="522"/>
      <c r="H1481" s="707"/>
      <c r="I1481" s="707">
        <f t="shared" si="46"/>
        <v>0</v>
      </c>
      <c r="J1481" s="707">
        <f t="shared" si="47"/>
        <v>0</v>
      </c>
      <c r="K1481" s="70"/>
    </row>
    <row r="1482" spans="1:11" ht="24" customHeight="1">
      <c r="A1482" s="74" t="s">
        <v>2249</v>
      </c>
      <c r="B1482" s="74" t="s">
        <v>83</v>
      </c>
      <c r="C1482" s="74">
        <v>1</v>
      </c>
      <c r="D1482" s="33" t="s">
        <v>2191</v>
      </c>
      <c r="E1482" s="33">
        <v>5</v>
      </c>
      <c r="F1482" s="33"/>
      <c r="G1482" s="522"/>
      <c r="H1482" s="707"/>
      <c r="I1482" s="707">
        <f t="shared" si="46"/>
        <v>0</v>
      </c>
      <c r="J1482" s="707">
        <f t="shared" si="47"/>
        <v>0</v>
      </c>
      <c r="K1482" s="70"/>
    </row>
    <row r="1483" spans="1:11" ht="24" customHeight="1">
      <c r="A1483" s="2" t="s">
        <v>3621</v>
      </c>
      <c r="B1483" s="2" t="s">
        <v>245</v>
      </c>
      <c r="C1483" s="2">
        <v>1</v>
      </c>
      <c r="D1483" s="2" t="s">
        <v>3618</v>
      </c>
      <c r="E1483" s="33">
        <v>5</v>
      </c>
      <c r="F1483" s="33"/>
      <c r="G1483" s="522"/>
      <c r="H1483" s="707"/>
      <c r="I1483" s="707">
        <f t="shared" si="46"/>
        <v>0</v>
      </c>
      <c r="J1483" s="707">
        <f t="shared" si="47"/>
        <v>0</v>
      </c>
      <c r="K1483" s="55"/>
    </row>
    <row r="1484" spans="1:11" ht="24" customHeight="1">
      <c r="A1484" s="2" t="s">
        <v>52</v>
      </c>
      <c r="B1484" s="2" t="s">
        <v>53</v>
      </c>
      <c r="C1484" s="2">
        <v>6</v>
      </c>
      <c r="D1484" s="2" t="s">
        <v>11</v>
      </c>
      <c r="E1484" s="33">
        <v>1</v>
      </c>
      <c r="F1484" s="33"/>
      <c r="G1484" s="522"/>
      <c r="H1484" s="707">
        <v>8</v>
      </c>
      <c r="I1484" s="707">
        <f t="shared" si="46"/>
        <v>9.1999999999999993</v>
      </c>
      <c r="J1484" s="707">
        <f t="shared" si="47"/>
        <v>10.4</v>
      </c>
      <c r="K1484" s="70" t="s">
        <v>51</v>
      </c>
    </row>
    <row r="1485" spans="1:11" ht="24" customHeight="1">
      <c r="A1485" s="2" t="s">
        <v>52</v>
      </c>
      <c r="B1485" s="2" t="s">
        <v>227</v>
      </c>
      <c r="C1485" s="2">
        <v>1</v>
      </c>
      <c r="D1485" s="2" t="s">
        <v>3671</v>
      </c>
      <c r="E1485" s="33">
        <v>2</v>
      </c>
      <c r="F1485" s="33"/>
      <c r="G1485" s="522"/>
      <c r="H1485" s="707">
        <v>8</v>
      </c>
      <c r="I1485" s="707">
        <f t="shared" si="46"/>
        <v>9.1999999999999993</v>
      </c>
      <c r="J1485" s="707">
        <f t="shared" si="47"/>
        <v>10.4</v>
      </c>
      <c r="K1485" s="70"/>
    </row>
    <row r="1486" spans="1:11" ht="24" customHeight="1">
      <c r="A1486" s="2" t="s">
        <v>3619</v>
      </c>
      <c r="B1486" s="2" t="s">
        <v>245</v>
      </c>
      <c r="C1486" s="2">
        <v>5</v>
      </c>
      <c r="D1486" s="2" t="s">
        <v>3618</v>
      </c>
      <c r="E1486" s="33">
        <v>5</v>
      </c>
      <c r="F1486" s="33"/>
      <c r="G1486" s="522"/>
      <c r="H1486" s="707"/>
      <c r="I1486" s="707">
        <f t="shared" si="46"/>
        <v>0</v>
      </c>
      <c r="J1486" s="707">
        <f t="shared" si="47"/>
        <v>0</v>
      </c>
      <c r="K1486" s="55"/>
    </row>
    <row r="1487" spans="1:11" ht="24" customHeight="1">
      <c r="A1487" s="2" t="s">
        <v>3619</v>
      </c>
      <c r="B1487" s="2" t="s">
        <v>245</v>
      </c>
      <c r="C1487" s="2">
        <v>1</v>
      </c>
      <c r="D1487" s="2" t="s">
        <v>3636</v>
      </c>
      <c r="E1487" s="33">
        <v>2</v>
      </c>
      <c r="F1487" s="33"/>
      <c r="G1487" s="522"/>
      <c r="H1487" s="707"/>
      <c r="I1487" s="707">
        <f t="shared" si="46"/>
        <v>0</v>
      </c>
      <c r="J1487" s="707">
        <f t="shared" si="47"/>
        <v>0</v>
      </c>
      <c r="K1487" s="2"/>
    </row>
    <row r="1488" spans="1:11" ht="24" customHeight="1">
      <c r="A1488" s="2" t="s">
        <v>3619</v>
      </c>
      <c r="B1488" s="2" t="s">
        <v>227</v>
      </c>
      <c r="C1488" s="2">
        <v>1</v>
      </c>
      <c r="D1488" s="2" t="s">
        <v>3671</v>
      </c>
      <c r="E1488" s="33">
        <v>2</v>
      </c>
      <c r="F1488" s="33"/>
      <c r="G1488" s="522"/>
      <c r="H1488" s="707"/>
      <c r="I1488" s="707">
        <f t="shared" si="46"/>
        <v>0</v>
      </c>
      <c r="J1488" s="707">
        <f t="shared" si="47"/>
        <v>0</v>
      </c>
      <c r="K1488" s="70"/>
    </row>
    <row r="1489" spans="1:11" ht="24" customHeight="1">
      <c r="A1489" s="2" t="s">
        <v>3619</v>
      </c>
      <c r="B1489" s="2" t="s">
        <v>245</v>
      </c>
      <c r="C1489" s="2">
        <v>1</v>
      </c>
      <c r="D1489" s="2" t="s">
        <v>3705</v>
      </c>
      <c r="E1489" s="33">
        <v>3</v>
      </c>
      <c r="F1489" s="33"/>
      <c r="G1489" s="522"/>
      <c r="H1489" s="707"/>
      <c r="I1489" s="707">
        <f t="shared" si="46"/>
        <v>0</v>
      </c>
      <c r="J1489" s="707">
        <f t="shared" si="47"/>
        <v>0</v>
      </c>
      <c r="K1489" s="55"/>
    </row>
    <row r="1490" spans="1:11" ht="24" customHeight="1">
      <c r="A1490" s="2" t="s">
        <v>3604</v>
      </c>
      <c r="B1490" s="2" t="s">
        <v>245</v>
      </c>
      <c r="C1490" s="2">
        <v>6</v>
      </c>
      <c r="D1490" s="2" t="s">
        <v>3568</v>
      </c>
      <c r="E1490" s="33">
        <v>3</v>
      </c>
      <c r="F1490" s="33"/>
      <c r="G1490" s="522"/>
      <c r="H1490" s="707">
        <v>150</v>
      </c>
      <c r="I1490" s="707">
        <f t="shared" si="46"/>
        <v>172.5</v>
      </c>
      <c r="J1490" s="707">
        <f t="shared" si="47"/>
        <v>195</v>
      </c>
      <c r="K1490" s="70"/>
    </row>
    <row r="1491" spans="1:11" ht="24" customHeight="1">
      <c r="A1491" s="2" t="s">
        <v>3604</v>
      </c>
      <c r="B1491" s="2" t="s">
        <v>245</v>
      </c>
      <c r="C1491" s="2">
        <v>2</v>
      </c>
      <c r="D1491" s="2" t="s">
        <v>3618</v>
      </c>
      <c r="E1491" s="33">
        <v>5</v>
      </c>
      <c r="F1491" s="33"/>
      <c r="G1491" s="522"/>
      <c r="H1491" s="707">
        <v>150</v>
      </c>
      <c r="I1491" s="707">
        <f t="shared" si="46"/>
        <v>172.5</v>
      </c>
      <c r="J1491" s="707">
        <f t="shared" si="47"/>
        <v>195</v>
      </c>
      <c r="K1491" s="55"/>
    </row>
    <row r="1492" spans="1:11" ht="24" customHeight="1">
      <c r="A1492" s="2" t="s">
        <v>3604</v>
      </c>
      <c r="B1492" s="2" t="s">
        <v>245</v>
      </c>
      <c r="C1492" s="2">
        <v>1</v>
      </c>
      <c r="D1492" s="2" t="s">
        <v>3636</v>
      </c>
      <c r="E1492" s="33">
        <v>2</v>
      </c>
      <c r="F1492" s="33"/>
      <c r="G1492" s="522"/>
      <c r="H1492" s="707">
        <v>150</v>
      </c>
      <c r="I1492" s="707">
        <f t="shared" si="46"/>
        <v>172.5</v>
      </c>
      <c r="J1492" s="707">
        <f t="shared" si="47"/>
        <v>195</v>
      </c>
      <c r="K1492" s="2"/>
    </row>
    <row r="1493" spans="1:11" ht="24" customHeight="1">
      <c r="A1493" s="33" t="s">
        <v>2100</v>
      </c>
      <c r="B1493" s="33" t="s">
        <v>53</v>
      </c>
      <c r="C1493" s="33">
        <v>1</v>
      </c>
      <c r="D1493" s="33" t="s">
        <v>2094</v>
      </c>
      <c r="E1493" s="33">
        <v>5</v>
      </c>
      <c r="F1493" s="33"/>
      <c r="G1493" s="522"/>
      <c r="H1493" s="707">
        <v>85</v>
      </c>
      <c r="I1493" s="707">
        <f t="shared" si="46"/>
        <v>97.749999999999986</v>
      </c>
      <c r="J1493" s="707">
        <f t="shared" si="47"/>
        <v>110.5</v>
      </c>
      <c r="K1493" s="70"/>
    </row>
    <row r="1494" spans="1:11" ht="24" customHeight="1">
      <c r="A1494" s="2" t="s">
        <v>2100</v>
      </c>
      <c r="B1494" s="2" t="s">
        <v>245</v>
      </c>
      <c r="C1494" s="2">
        <v>1</v>
      </c>
      <c r="D1494" s="2" t="s">
        <v>3618</v>
      </c>
      <c r="E1494" s="33">
        <v>5</v>
      </c>
      <c r="F1494" s="33"/>
      <c r="G1494" s="522"/>
      <c r="H1494" s="707"/>
      <c r="I1494" s="707">
        <f t="shared" si="46"/>
        <v>0</v>
      </c>
      <c r="J1494" s="707">
        <f t="shared" si="47"/>
        <v>0</v>
      </c>
      <c r="K1494" s="55"/>
    </row>
    <row r="1495" spans="1:11" ht="24" customHeight="1">
      <c r="A1495" s="2" t="s">
        <v>3617</v>
      </c>
      <c r="B1495" s="2" t="s">
        <v>245</v>
      </c>
      <c r="C1495" s="2">
        <v>26</v>
      </c>
      <c r="D1495" s="2" t="s">
        <v>3618</v>
      </c>
      <c r="E1495" s="2">
        <v>4</v>
      </c>
      <c r="F1495" s="2"/>
      <c r="G1495" s="634"/>
      <c r="H1495" s="707"/>
      <c r="I1495" s="707">
        <f t="shared" si="46"/>
        <v>0</v>
      </c>
      <c r="J1495" s="707">
        <f t="shared" si="47"/>
        <v>0</v>
      </c>
      <c r="K1495" s="70"/>
    </row>
    <row r="1496" spans="1:11" ht="24" customHeight="1">
      <c r="A1496" s="2" t="s">
        <v>3617</v>
      </c>
      <c r="B1496" s="2" t="s">
        <v>245</v>
      </c>
      <c r="C1496" s="2">
        <v>6</v>
      </c>
      <c r="D1496" s="33" t="s">
        <v>3671</v>
      </c>
      <c r="E1496" s="33">
        <v>1</v>
      </c>
      <c r="F1496" s="33"/>
      <c r="G1496" s="522"/>
      <c r="H1496" s="707"/>
      <c r="I1496" s="707">
        <f t="shared" si="46"/>
        <v>0</v>
      </c>
      <c r="J1496" s="707">
        <f t="shared" si="47"/>
        <v>0</v>
      </c>
      <c r="K1496" s="70"/>
    </row>
    <row r="1497" spans="1:11" ht="24" customHeight="1">
      <c r="A1497" s="2" t="s">
        <v>3592</v>
      </c>
      <c r="B1497" s="2" t="s">
        <v>245</v>
      </c>
      <c r="C1497" s="2">
        <v>2</v>
      </c>
      <c r="D1497" s="33" t="s">
        <v>3568</v>
      </c>
      <c r="E1497" s="33">
        <v>2</v>
      </c>
      <c r="F1497" s="33"/>
      <c r="G1497" s="522"/>
      <c r="H1497" s="707"/>
      <c r="I1497" s="707">
        <f t="shared" si="46"/>
        <v>0</v>
      </c>
      <c r="J1497" s="707">
        <f t="shared" si="47"/>
        <v>0</v>
      </c>
      <c r="K1497" s="55"/>
    </row>
    <row r="1498" spans="1:11" ht="24" customHeight="1">
      <c r="A1498" s="2" t="s">
        <v>3592</v>
      </c>
      <c r="B1498" s="2" t="s">
        <v>245</v>
      </c>
      <c r="C1498" s="2">
        <v>1</v>
      </c>
      <c r="D1498" s="2" t="s">
        <v>3618</v>
      </c>
      <c r="E1498" s="33">
        <v>5</v>
      </c>
      <c r="F1498" s="33"/>
      <c r="G1498" s="522"/>
      <c r="H1498" s="707"/>
      <c r="I1498" s="707">
        <f t="shared" si="46"/>
        <v>0</v>
      </c>
      <c r="J1498" s="707">
        <f t="shared" si="47"/>
        <v>0</v>
      </c>
      <c r="K1498" s="55"/>
    </row>
    <row r="1499" spans="1:11" ht="24" customHeight="1">
      <c r="A1499" s="2" t="s">
        <v>3592</v>
      </c>
      <c r="B1499" s="2" t="s">
        <v>227</v>
      </c>
      <c r="C1499" s="2">
        <v>1</v>
      </c>
      <c r="D1499" s="2" t="s">
        <v>3618</v>
      </c>
      <c r="E1499" s="33">
        <v>5</v>
      </c>
      <c r="F1499" s="33"/>
      <c r="G1499" s="522"/>
      <c r="H1499" s="707"/>
      <c r="I1499" s="707">
        <f t="shared" si="46"/>
        <v>0</v>
      </c>
      <c r="J1499" s="707">
        <f t="shared" si="47"/>
        <v>0</v>
      </c>
      <c r="K1499" s="55"/>
    </row>
    <row r="1500" spans="1:11" ht="24" customHeight="1">
      <c r="A1500" s="2" t="s">
        <v>574</v>
      </c>
      <c r="B1500" s="2" t="s">
        <v>53</v>
      </c>
      <c r="C1500" s="2">
        <v>8</v>
      </c>
      <c r="D1500" s="2" t="s">
        <v>536</v>
      </c>
      <c r="E1500" s="33">
        <v>5</v>
      </c>
      <c r="F1500" s="33"/>
      <c r="G1500" s="522"/>
      <c r="H1500" s="707">
        <v>10</v>
      </c>
      <c r="I1500" s="707">
        <f t="shared" si="46"/>
        <v>11.5</v>
      </c>
      <c r="J1500" s="707">
        <f t="shared" si="47"/>
        <v>13</v>
      </c>
      <c r="K1500" s="70" t="s">
        <v>51</v>
      </c>
    </row>
    <row r="1501" spans="1:11" ht="24" customHeight="1">
      <c r="A1501" s="2" t="s">
        <v>3596</v>
      </c>
      <c r="B1501" s="2" t="s">
        <v>245</v>
      </c>
      <c r="C1501" s="2">
        <v>1</v>
      </c>
      <c r="D1501" s="33" t="s">
        <v>3568</v>
      </c>
      <c r="E1501" s="33">
        <v>2</v>
      </c>
      <c r="F1501" s="33"/>
      <c r="G1501" s="522"/>
      <c r="H1501" s="707"/>
      <c r="I1501" s="707">
        <f t="shared" si="46"/>
        <v>0</v>
      </c>
      <c r="J1501" s="707">
        <f t="shared" si="47"/>
        <v>0</v>
      </c>
      <c r="K1501" s="70"/>
    </row>
    <row r="1502" spans="1:11" ht="24" customHeight="1">
      <c r="A1502" s="2" t="s">
        <v>3596</v>
      </c>
      <c r="B1502" s="2" t="s">
        <v>245</v>
      </c>
      <c r="C1502" s="2">
        <v>1</v>
      </c>
      <c r="D1502" s="2" t="s">
        <v>3618</v>
      </c>
      <c r="E1502" s="33">
        <v>5</v>
      </c>
      <c r="F1502" s="33"/>
      <c r="G1502" s="522"/>
      <c r="H1502" s="707"/>
      <c r="I1502" s="707">
        <f t="shared" si="46"/>
        <v>0</v>
      </c>
      <c r="J1502" s="707">
        <f t="shared" si="47"/>
        <v>0</v>
      </c>
      <c r="K1502" s="55"/>
    </row>
    <row r="1503" spans="1:11" ht="24" customHeight="1">
      <c r="A1503" s="2" t="s">
        <v>3596</v>
      </c>
      <c r="B1503" s="2" t="s">
        <v>245</v>
      </c>
      <c r="C1503" s="2">
        <v>1</v>
      </c>
      <c r="D1503" s="2" t="s">
        <v>3636</v>
      </c>
      <c r="E1503" s="33">
        <v>2</v>
      </c>
      <c r="F1503" s="33"/>
      <c r="G1503" s="522"/>
      <c r="H1503" s="707"/>
      <c r="I1503" s="707">
        <f t="shared" si="46"/>
        <v>0</v>
      </c>
      <c r="J1503" s="707">
        <f t="shared" si="47"/>
        <v>0</v>
      </c>
      <c r="K1503" s="55"/>
    </row>
    <row r="1504" spans="1:11" ht="24" customHeight="1">
      <c r="A1504" s="2" t="s">
        <v>3596</v>
      </c>
      <c r="B1504" s="2" t="s">
        <v>245</v>
      </c>
      <c r="C1504" s="2">
        <v>18</v>
      </c>
      <c r="D1504" s="2" t="s">
        <v>3671</v>
      </c>
      <c r="E1504" s="2">
        <v>3</v>
      </c>
      <c r="F1504" s="2"/>
      <c r="G1504" s="634"/>
      <c r="H1504" s="707"/>
      <c r="I1504" s="707">
        <f t="shared" si="46"/>
        <v>0</v>
      </c>
      <c r="J1504" s="707">
        <f t="shared" si="47"/>
        <v>0</v>
      </c>
      <c r="K1504" s="55"/>
    </row>
    <row r="1505" spans="1:11" ht="24" customHeight="1">
      <c r="A1505" s="2" t="s">
        <v>1863</v>
      </c>
      <c r="B1505" s="2" t="s">
        <v>53</v>
      </c>
      <c r="C1505" s="2">
        <v>10</v>
      </c>
      <c r="D1505" s="2" t="s">
        <v>1785</v>
      </c>
      <c r="E1505" s="33">
        <v>3</v>
      </c>
      <c r="F1505" s="33"/>
      <c r="G1505" s="522"/>
      <c r="H1505" s="707">
        <v>20</v>
      </c>
      <c r="I1505" s="707">
        <f t="shared" si="46"/>
        <v>23</v>
      </c>
      <c r="J1505" s="707">
        <f t="shared" si="47"/>
        <v>26</v>
      </c>
      <c r="K1505" s="70"/>
    </row>
    <row r="1506" spans="1:11" ht="24" customHeight="1">
      <c r="A1506" s="2" t="s">
        <v>1863</v>
      </c>
      <c r="B1506" s="2" t="s">
        <v>245</v>
      </c>
      <c r="C1506" s="2">
        <v>1</v>
      </c>
      <c r="D1506" s="2" t="s">
        <v>3618</v>
      </c>
      <c r="E1506" s="33">
        <v>5</v>
      </c>
      <c r="F1506" s="33"/>
      <c r="G1506" s="522"/>
      <c r="H1506" s="707"/>
      <c r="I1506" s="707">
        <f t="shared" si="46"/>
        <v>0</v>
      </c>
      <c r="J1506" s="707">
        <f t="shared" si="47"/>
        <v>0</v>
      </c>
      <c r="K1506" s="55"/>
    </row>
    <row r="1507" spans="1:11" ht="24" customHeight="1">
      <c r="A1507" s="2" t="s">
        <v>3602</v>
      </c>
      <c r="B1507" s="2" t="s">
        <v>245</v>
      </c>
      <c r="C1507" s="2">
        <v>1</v>
      </c>
      <c r="D1507" s="2" t="s">
        <v>3568</v>
      </c>
      <c r="E1507" s="33">
        <v>3</v>
      </c>
      <c r="F1507" s="33"/>
      <c r="G1507" s="522"/>
      <c r="H1507" s="707"/>
      <c r="I1507" s="707">
        <f t="shared" si="46"/>
        <v>0</v>
      </c>
      <c r="J1507" s="707">
        <f t="shared" si="47"/>
        <v>0</v>
      </c>
      <c r="K1507" s="70"/>
    </row>
    <row r="1508" spans="1:11" ht="24" customHeight="1">
      <c r="A1508" s="2" t="s">
        <v>3602</v>
      </c>
      <c r="B1508" s="2" t="s">
        <v>245</v>
      </c>
      <c r="C1508" s="2">
        <v>1</v>
      </c>
      <c r="D1508" s="2" t="s">
        <v>3618</v>
      </c>
      <c r="E1508" s="33">
        <v>5</v>
      </c>
      <c r="F1508" s="33"/>
      <c r="G1508" s="522"/>
      <c r="H1508" s="707"/>
      <c r="I1508" s="707">
        <f t="shared" si="46"/>
        <v>0</v>
      </c>
      <c r="J1508" s="707">
        <f t="shared" si="47"/>
        <v>0</v>
      </c>
      <c r="K1508" s="55"/>
    </row>
    <row r="1509" spans="1:11" ht="24" customHeight="1">
      <c r="A1509" s="2" t="s">
        <v>3602</v>
      </c>
      <c r="B1509" s="2" t="s">
        <v>245</v>
      </c>
      <c r="C1509" s="2">
        <v>25</v>
      </c>
      <c r="D1509" s="2" t="s">
        <v>3668</v>
      </c>
      <c r="E1509" s="2">
        <v>4</v>
      </c>
      <c r="F1509" s="2"/>
      <c r="G1509" s="634"/>
      <c r="H1509" s="707"/>
      <c r="I1509" s="707">
        <f t="shared" si="46"/>
        <v>0</v>
      </c>
      <c r="J1509" s="707">
        <f t="shared" si="47"/>
        <v>0</v>
      </c>
      <c r="K1509" s="55"/>
    </row>
    <row r="1510" spans="1:11" ht="24" customHeight="1">
      <c r="A1510" s="2" t="s">
        <v>904</v>
      </c>
      <c r="B1510" s="2" t="s">
        <v>53</v>
      </c>
      <c r="C1510" s="2">
        <v>2</v>
      </c>
      <c r="D1510" s="2" t="s">
        <v>888</v>
      </c>
      <c r="E1510" s="33">
        <v>5</v>
      </c>
      <c r="F1510" s="33"/>
      <c r="G1510" s="522"/>
      <c r="H1510" s="707">
        <v>150</v>
      </c>
      <c r="I1510" s="707">
        <f t="shared" si="46"/>
        <v>172.5</v>
      </c>
      <c r="J1510" s="707">
        <f t="shared" si="47"/>
        <v>195</v>
      </c>
      <c r="K1510" s="55"/>
    </row>
    <row r="1511" spans="1:11" ht="24" customHeight="1">
      <c r="A1511" s="2" t="s">
        <v>904</v>
      </c>
      <c r="B1511" s="2" t="s">
        <v>245</v>
      </c>
      <c r="C1511" s="2">
        <v>1</v>
      </c>
      <c r="D1511" s="2" t="s">
        <v>3636</v>
      </c>
      <c r="E1511" s="33">
        <v>2</v>
      </c>
      <c r="F1511" s="33"/>
      <c r="G1511" s="522"/>
      <c r="H1511" s="707"/>
      <c r="I1511" s="707">
        <f t="shared" si="46"/>
        <v>0</v>
      </c>
      <c r="J1511" s="707">
        <f t="shared" si="47"/>
        <v>0</v>
      </c>
      <c r="K1511" s="55"/>
    </row>
    <row r="1512" spans="1:11" ht="24" customHeight="1">
      <c r="A1512" s="2" t="s">
        <v>904</v>
      </c>
      <c r="B1512" s="2" t="s">
        <v>3709</v>
      </c>
      <c r="C1512" s="2">
        <v>4</v>
      </c>
      <c r="D1512" s="2" t="s">
        <v>3705</v>
      </c>
      <c r="E1512" s="33">
        <v>2</v>
      </c>
      <c r="F1512" s="33"/>
      <c r="G1512" s="522"/>
      <c r="H1512" s="707"/>
      <c r="I1512" s="707">
        <f t="shared" si="46"/>
        <v>0</v>
      </c>
      <c r="J1512" s="707">
        <f t="shared" si="47"/>
        <v>0</v>
      </c>
      <c r="K1512" s="55"/>
    </row>
    <row r="1513" spans="1:11" ht="24" customHeight="1">
      <c r="A1513" s="2" t="s">
        <v>3594</v>
      </c>
      <c r="B1513" s="2" t="s">
        <v>245</v>
      </c>
      <c r="C1513" s="2">
        <v>2</v>
      </c>
      <c r="D1513" s="33" t="s">
        <v>3568</v>
      </c>
      <c r="E1513" s="33">
        <v>2</v>
      </c>
      <c r="F1513" s="33"/>
      <c r="G1513" s="522"/>
      <c r="H1513" s="707"/>
      <c r="I1513" s="707">
        <f t="shared" si="46"/>
        <v>0</v>
      </c>
      <c r="J1513" s="707">
        <f t="shared" si="47"/>
        <v>0</v>
      </c>
      <c r="K1513" s="70"/>
    </row>
    <row r="1514" spans="1:11" ht="24" customHeight="1">
      <c r="A1514" s="2" t="s">
        <v>3594</v>
      </c>
      <c r="B1514" s="2" t="s">
        <v>245</v>
      </c>
      <c r="C1514" s="2">
        <v>1</v>
      </c>
      <c r="D1514" s="2" t="s">
        <v>3568</v>
      </c>
      <c r="E1514" s="33">
        <v>3</v>
      </c>
      <c r="F1514" s="33"/>
      <c r="G1514" s="522"/>
      <c r="H1514" s="707"/>
      <c r="I1514" s="707">
        <f t="shared" si="46"/>
        <v>0</v>
      </c>
      <c r="J1514" s="707">
        <f t="shared" si="47"/>
        <v>0</v>
      </c>
      <c r="K1514" s="70"/>
    </row>
    <row r="1515" spans="1:11" ht="24" customHeight="1">
      <c r="A1515" s="2" t="s">
        <v>3594</v>
      </c>
      <c r="B1515" s="2" t="s">
        <v>245</v>
      </c>
      <c r="C1515" s="2">
        <v>1</v>
      </c>
      <c r="D1515" s="2" t="s">
        <v>3705</v>
      </c>
      <c r="E1515" s="33">
        <v>2</v>
      </c>
      <c r="F1515" s="33"/>
      <c r="G1515" s="522"/>
      <c r="H1515" s="707"/>
      <c r="I1515" s="707">
        <f t="shared" si="46"/>
        <v>0</v>
      </c>
      <c r="J1515" s="707">
        <f t="shared" si="47"/>
        <v>0</v>
      </c>
      <c r="K1515" s="55"/>
    </row>
    <row r="1516" spans="1:11" ht="24" customHeight="1">
      <c r="A1516" s="74" t="s">
        <v>1120</v>
      </c>
      <c r="B1516" s="74" t="s">
        <v>53</v>
      </c>
      <c r="C1516" s="74">
        <v>1</v>
      </c>
      <c r="D1516" s="33" t="s">
        <v>992</v>
      </c>
      <c r="E1516" s="33">
        <v>5</v>
      </c>
      <c r="F1516" s="33"/>
      <c r="G1516" s="522"/>
      <c r="H1516" s="707">
        <v>15</v>
      </c>
      <c r="I1516" s="707">
        <f t="shared" si="46"/>
        <v>17.25</v>
      </c>
      <c r="J1516" s="707">
        <f t="shared" si="47"/>
        <v>19.5</v>
      </c>
      <c r="K1516" s="70"/>
    </row>
    <row r="1517" spans="1:11" ht="24" customHeight="1">
      <c r="A1517" s="2" t="s">
        <v>205</v>
      </c>
      <c r="B1517" s="2" t="s">
        <v>53</v>
      </c>
      <c r="C1517" s="2">
        <v>1</v>
      </c>
      <c r="D1517" s="2" t="s">
        <v>188</v>
      </c>
      <c r="E1517" s="33">
        <v>4</v>
      </c>
      <c r="F1517" s="33"/>
      <c r="G1517" s="522"/>
      <c r="H1517" s="707"/>
      <c r="I1517" s="707">
        <f t="shared" si="46"/>
        <v>0</v>
      </c>
      <c r="J1517" s="707">
        <f t="shared" si="47"/>
        <v>0</v>
      </c>
      <c r="K1517" s="70" t="s">
        <v>51</v>
      </c>
    </row>
    <row r="1518" spans="1:11" ht="24" customHeight="1">
      <c r="A1518" s="2" t="s">
        <v>680</v>
      </c>
      <c r="B1518" s="2" t="s">
        <v>681</v>
      </c>
      <c r="C1518" s="2">
        <v>1</v>
      </c>
      <c r="D1518" s="2" t="s">
        <v>593</v>
      </c>
      <c r="E1518" s="33">
        <v>2</v>
      </c>
      <c r="F1518" s="33"/>
      <c r="G1518" s="522"/>
      <c r="H1518" s="708">
        <v>120</v>
      </c>
      <c r="I1518" s="707">
        <f t="shared" si="46"/>
        <v>138</v>
      </c>
      <c r="J1518" s="708">
        <f t="shared" si="47"/>
        <v>156</v>
      </c>
      <c r="K1518" s="55" t="s">
        <v>682</v>
      </c>
    </row>
    <row r="1519" spans="1:11" ht="24" customHeight="1">
      <c r="A1519" s="11" t="s">
        <v>1932</v>
      </c>
      <c r="B1519" s="11" t="s">
        <v>245</v>
      </c>
      <c r="C1519" s="11">
        <v>3</v>
      </c>
      <c r="D1519" s="131" t="s">
        <v>1898</v>
      </c>
      <c r="E1519" s="15">
        <v>5</v>
      </c>
      <c r="F1519" s="15"/>
      <c r="G1519" s="684"/>
      <c r="H1519" s="707"/>
      <c r="I1519" s="707">
        <f t="shared" si="46"/>
        <v>0</v>
      </c>
      <c r="J1519" s="707">
        <f t="shared" si="47"/>
        <v>0</v>
      </c>
      <c r="K1519" s="70"/>
    </row>
    <row r="1520" spans="1:11" ht="24" customHeight="1">
      <c r="A1520" s="2" t="s">
        <v>1932</v>
      </c>
      <c r="B1520" s="2" t="s">
        <v>245</v>
      </c>
      <c r="C1520" s="2">
        <v>4</v>
      </c>
      <c r="D1520" s="2" t="s">
        <v>3636</v>
      </c>
      <c r="E1520" s="33">
        <v>2</v>
      </c>
      <c r="F1520" s="33"/>
      <c r="G1520" s="522"/>
      <c r="H1520" s="707"/>
      <c r="I1520" s="707">
        <f t="shared" si="46"/>
        <v>0</v>
      </c>
      <c r="J1520" s="707">
        <f t="shared" si="47"/>
        <v>0</v>
      </c>
      <c r="K1520" s="55"/>
    </row>
    <row r="1521" spans="1:11" ht="24" customHeight="1">
      <c r="A1521" s="2" t="s">
        <v>1932</v>
      </c>
      <c r="B1521" s="2" t="s">
        <v>3730</v>
      </c>
      <c r="C1521" s="2">
        <v>5</v>
      </c>
      <c r="D1521" s="2" t="s">
        <v>3705</v>
      </c>
      <c r="E1521" s="33">
        <v>3</v>
      </c>
      <c r="F1521" s="33"/>
      <c r="G1521" s="522"/>
      <c r="H1521" s="707"/>
      <c r="I1521" s="707">
        <f t="shared" si="46"/>
        <v>0</v>
      </c>
      <c r="J1521" s="707">
        <f t="shared" si="47"/>
        <v>0</v>
      </c>
      <c r="K1521" s="55"/>
    </row>
    <row r="1522" spans="1:11" ht="24" customHeight="1">
      <c r="A1522" s="2" t="s">
        <v>3670</v>
      </c>
      <c r="B1522" s="2" t="s">
        <v>245</v>
      </c>
      <c r="C1522" s="2">
        <v>3</v>
      </c>
      <c r="D1522" s="2" t="s">
        <v>3668</v>
      </c>
      <c r="E1522" s="2">
        <v>5</v>
      </c>
      <c r="F1522" s="2"/>
      <c r="G1522" s="634"/>
      <c r="H1522" s="707"/>
      <c r="I1522" s="707">
        <f t="shared" si="46"/>
        <v>0</v>
      </c>
      <c r="J1522" s="707">
        <f t="shared" si="47"/>
        <v>0</v>
      </c>
      <c r="K1522" s="55"/>
    </row>
    <row r="1523" spans="1:11" ht="24" customHeight="1">
      <c r="A1523" s="2" t="s">
        <v>3670</v>
      </c>
      <c r="B1523" s="2" t="s">
        <v>245</v>
      </c>
      <c r="C1523" s="2">
        <v>3</v>
      </c>
      <c r="D1523" s="2" t="s">
        <v>3704</v>
      </c>
      <c r="E1523" s="2">
        <v>4</v>
      </c>
      <c r="F1523" s="2"/>
      <c r="G1523" s="634"/>
      <c r="H1523" s="707"/>
      <c r="I1523" s="707">
        <f t="shared" si="46"/>
        <v>0</v>
      </c>
      <c r="J1523" s="707">
        <f t="shared" si="47"/>
        <v>0</v>
      </c>
      <c r="K1523" s="70"/>
    </row>
    <row r="1524" spans="1:11" ht="24" customHeight="1">
      <c r="A1524" s="2" t="s">
        <v>3670</v>
      </c>
      <c r="B1524" s="2" t="s">
        <v>245</v>
      </c>
      <c r="C1524" s="2">
        <v>3</v>
      </c>
      <c r="D1524" s="2" t="s">
        <v>3704</v>
      </c>
      <c r="E1524" s="2">
        <v>5</v>
      </c>
      <c r="F1524" s="2"/>
      <c r="G1524" s="634"/>
      <c r="H1524" s="707"/>
      <c r="I1524" s="707">
        <f t="shared" si="46"/>
        <v>0</v>
      </c>
      <c r="J1524" s="707">
        <f t="shared" si="47"/>
        <v>0</v>
      </c>
      <c r="K1524" s="70"/>
    </row>
    <row r="1525" spans="1:11" ht="24" customHeight="1">
      <c r="A1525" s="59" t="s">
        <v>2982</v>
      </c>
      <c r="B1525" s="59" t="s">
        <v>2957</v>
      </c>
      <c r="C1525" s="59">
        <v>1</v>
      </c>
      <c r="D1525" s="71" t="s">
        <v>2947</v>
      </c>
      <c r="E1525" s="354">
        <v>5</v>
      </c>
      <c r="F1525" s="354"/>
      <c r="G1525" s="688"/>
      <c r="H1525" s="707"/>
      <c r="I1525" s="707">
        <f t="shared" si="46"/>
        <v>0</v>
      </c>
      <c r="J1525" s="707">
        <f t="shared" si="47"/>
        <v>0</v>
      </c>
      <c r="K1525" s="70"/>
    </row>
    <row r="1526" spans="1:11" ht="24" customHeight="1">
      <c r="A1526" s="33" t="s">
        <v>2956</v>
      </c>
      <c r="B1526" s="33" t="s">
        <v>2957</v>
      </c>
      <c r="C1526" s="33">
        <v>1</v>
      </c>
      <c r="D1526" s="71" t="s">
        <v>2947</v>
      </c>
      <c r="E1526" s="33">
        <v>4</v>
      </c>
      <c r="F1526" s="33"/>
      <c r="G1526" s="522"/>
      <c r="H1526" s="707"/>
      <c r="I1526" s="707">
        <f t="shared" si="46"/>
        <v>0</v>
      </c>
      <c r="J1526" s="707">
        <f t="shared" si="47"/>
        <v>0</v>
      </c>
      <c r="K1526" s="70"/>
    </row>
    <row r="1527" spans="1:11" ht="24" customHeight="1">
      <c r="A1527" s="2" t="s">
        <v>3667</v>
      </c>
      <c r="B1527" s="2" t="s">
        <v>485</v>
      </c>
      <c r="C1527" s="2">
        <v>2</v>
      </c>
      <c r="D1527" s="2" t="s">
        <v>3636</v>
      </c>
      <c r="E1527" s="33">
        <v>3</v>
      </c>
      <c r="F1527" s="33"/>
      <c r="G1527" s="522"/>
      <c r="H1527" s="707"/>
      <c r="I1527" s="707">
        <f t="shared" si="46"/>
        <v>0</v>
      </c>
      <c r="J1527" s="707">
        <f t="shared" si="47"/>
        <v>0</v>
      </c>
      <c r="K1527" s="55"/>
    </row>
    <row r="1528" spans="1:11" ht="24" customHeight="1">
      <c r="A1528" s="2" t="s">
        <v>1869</v>
      </c>
      <c r="B1528" s="2" t="s">
        <v>1870</v>
      </c>
      <c r="C1528" s="2">
        <v>1</v>
      </c>
      <c r="D1528" s="2" t="s">
        <v>1785</v>
      </c>
      <c r="E1528" s="33">
        <v>3</v>
      </c>
      <c r="F1528" s="33"/>
      <c r="G1528" s="522"/>
      <c r="H1528" s="707"/>
      <c r="I1528" s="707">
        <f t="shared" si="46"/>
        <v>0</v>
      </c>
      <c r="J1528" s="707">
        <f t="shared" si="47"/>
        <v>0</v>
      </c>
      <c r="K1528" s="70"/>
    </row>
    <row r="1529" spans="1:11" ht="24" customHeight="1">
      <c r="A1529" s="2" t="s">
        <v>492</v>
      </c>
      <c r="B1529" s="2" t="s">
        <v>474</v>
      </c>
      <c r="C1529" s="2">
        <v>29</v>
      </c>
      <c r="D1529" s="2" t="s">
        <v>274</v>
      </c>
      <c r="E1529" s="33">
        <v>3</v>
      </c>
      <c r="F1529" s="33"/>
      <c r="G1529" s="522"/>
      <c r="H1529" s="707">
        <v>20</v>
      </c>
      <c r="I1529" s="707">
        <f t="shared" si="46"/>
        <v>23</v>
      </c>
      <c r="J1529" s="707">
        <f t="shared" si="47"/>
        <v>26</v>
      </c>
      <c r="K1529" s="70"/>
    </row>
    <row r="1530" spans="1:11" ht="24" customHeight="1">
      <c r="A1530" s="33" t="s">
        <v>1615</v>
      </c>
      <c r="B1530" s="33" t="s">
        <v>1030</v>
      </c>
      <c r="C1530" s="33">
        <v>2</v>
      </c>
      <c r="D1530" s="33" t="s">
        <v>1548</v>
      </c>
      <c r="E1530" s="33">
        <v>3</v>
      </c>
      <c r="F1530" s="33"/>
      <c r="G1530" s="522"/>
      <c r="H1530" s="707"/>
      <c r="I1530" s="707">
        <f t="shared" si="46"/>
        <v>0</v>
      </c>
      <c r="J1530" s="707">
        <f t="shared" si="47"/>
        <v>0</v>
      </c>
      <c r="K1530" s="70"/>
    </row>
    <row r="1531" spans="1:11" ht="24" customHeight="1">
      <c r="A1531" s="2" t="s">
        <v>3711</v>
      </c>
      <c r="B1531" s="2" t="s">
        <v>485</v>
      </c>
      <c r="C1531" s="2">
        <v>4</v>
      </c>
      <c r="D1531" s="2" t="s">
        <v>3705</v>
      </c>
      <c r="E1531" s="33">
        <v>2</v>
      </c>
      <c r="F1531" s="33"/>
      <c r="G1531" s="522"/>
      <c r="H1531" s="707"/>
      <c r="I1531" s="707">
        <f t="shared" si="46"/>
        <v>0</v>
      </c>
      <c r="J1531" s="707">
        <f t="shared" si="47"/>
        <v>0</v>
      </c>
      <c r="K1531" s="55"/>
    </row>
    <row r="1532" spans="1:11" ht="24" customHeight="1">
      <c r="A1532" s="17" t="s">
        <v>8038</v>
      </c>
      <c r="B1532" s="17" t="s">
        <v>8037</v>
      </c>
      <c r="C1532" s="17">
        <v>16</v>
      </c>
      <c r="D1532" s="17" t="s">
        <v>1723</v>
      </c>
      <c r="E1532" s="17">
        <v>3</v>
      </c>
      <c r="F1532" s="17"/>
      <c r="G1532" s="687"/>
      <c r="H1532" s="707"/>
      <c r="I1532" s="707">
        <f t="shared" si="46"/>
        <v>0</v>
      </c>
      <c r="J1532" s="707">
        <f t="shared" si="47"/>
        <v>0</v>
      </c>
      <c r="K1532" s="70"/>
    </row>
    <row r="1533" spans="1:11" ht="24" customHeight="1">
      <c r="A1533" s="17" t="s">
        <v>8036</v>
      </c>
      <c r="B1533" s="17" t="s">
        <v>8037</v>
      </c>
      <c r="C1533" s="17">
        <v>15</v>
      </c>
      <c r="D1533" s="17" t="s">
        <v>1723</v>
      </c>
      <c r="E1533" s="17">
        <v>3</v>
      </c>
      <c r="F1533" s="17"/>
      <c r="G1533" s="687"/>
      <c r="H1533" s="707"/>
      <c r="I1533" s="707">
        <f t="shared" si="46"/>
        <v>0</v>
      </c>
      <c r="J1533" s="707">
        <f t="shared" si="47"/>
        <v>0</v>
      </c>
      <c r="K1533" s="70"/>
    </row>
    <row r="1534" spans="1:11" ht="24" customHeight="1">
      <c r="A1534" s="17" t="s">
        <v>8040</v>
      </c>
      <c r="B1534" s="17" t="s">
        <v>529</v>
      </c>
      <c r="C1534" s="17">
        <v>15</v>
      </c>
      <c r="D1534" s="17" t="s">
        <v>1723</v>
      </c>
      <c r="E1534" s="17">
        <v>3</v>
      </c>
      <c r="F1534" s="17"/>
      <c r="G1534" s="687"/>
      <c r="H1534" s="707"/>
      <c r="I1534" s="707">
        <f t="shared" si="46"/>
        <v>0</v>
      </c>
      <c r="J1534" s="707">
        <f t="shared" si="47"/>
        <v>0</v>
      </c>
      <c r="K1534" s="70"/>
    </row>
    <row r="1535" spans="1:11" ht="24" customHeight="1">
      <c r="A1535" s="17" t="s">
        <v>8039</v>
      </c>
      <c r="B1535" s="17" t="s">
        <v>529</v>
      </c>
      <c r="C1535" s="17">
        <v>14</v>
      </c>
      <c r="D1535" s="17" t="s">
        <v>1723</v>
      </c>
      <c r="E1535" s="17">
        <v>3</v>
      </c>
      <c r="F1535" s="17"/>
      <c r="G1535" s="687"/>
      <c r="H1535" s="707"/>
      <c r="I1535" s="707">
        <f t="shared" si="46"/>
        <v>0</v>
      </c>
      <c r="J1535" s="707">
        <f t="shared" si="47"/>
        <v>0</v>
      </c>
      <c r="K1535" s="70"/>
    </row>
    <row r="1536" spans="1:11" ht="24" customHeight="1">
      <c r="A1536" s="74" t="s">
        <v>2449</v>
      </c>
      <c r="B1536" s="74" t="s">
        <v>21</v>
      </c>
      <c r="C1536" s="74">
        <v>2</v>
      </c>
      <c r="D1536" s="33" t="s">
        <v>2363</v>
      </c>
      <c r="E1536" s="33">
        <v>5</v>
      </c>
      <c r="F1536" s="33"/>
      <c r="G1536" s="522"/>
      <c r="H1536" s="707"/>
      <c r="I1536" s="707">
        <f t="shared" si="46"/>
        <v>0</v>
      </c>
      <c r="J1536" s="707">
        <f t="shared" si="47"/>
        <v>0</v>
      </c>
      <c r="K1536" s="70"/>
    </row>
    <row r="1537" spans="1:11" ht="24" customHeight="1">
      <c r="A1537" s="33" t="s">
        <v>1320</v>
      </c>
      <c r="B1537" s="33" t="s">
        <v>19</v>
      </c>
      <c r="C1537" s="33">
        <v>30</v>
      </c>
      <c r="D1537" s="33" t="s">
        <v>1201</v>
      </c>
      <c r="E1537" s="33">
        <v>5</v>
      </c>
      <c r="F1537" s="33"/>
      <c r="G1537" s="522"/>
      <c r="H1537" s="707"/>
      <c r="I1537" s="707">
        <f t="shared" si="46"/>
        <v>0</v>
      </c>
      <c r="J1537" s="707">
        <f t="shared" si="47"/>
        <v>0</v>
      </c>
      <c r="K1537" s="70"/>
    </row>
    <row r="1538" spans="1:11" ht="24" customHeight="1">
      <c r="A1538" s="17" t="s">
        <v>3527</v>
      </c>
      <c r="B1538" s="17" t="s">
        <v>1649</v>
      </c>
      <c r="C1538" s="17">
        <v>1</v>
      </c>
      <c r="D1538" s="131" t="s">
        <v>3451</v>
      </c>
      <c r="E1538" s="15">
        <v>3</v>
      </c>
      <c r="F1538" s="15"/>
      <c r="G1538" s="684"/>
      <c r="H1538" s="707"/>
      <c r="I1538" s="707">
        <f t="shared" ref="I1538:I1601" si="48">H1538 * 1.15</f>
        <v>0</v>
      </c>
      <c r="J1538" s="707">
        <f t="shared" ref="J1538:J1601" si="49">H1538 * 1.3</f>
        <v>0</v>
      </c>
      <c r="K1538" s="70"/>
    </row>
    <row r="1539" spans="1:11" ht="24" customHeight="1">
      <c r="A1539" s="11" t="s">
        <v>2798</v>
      </c>
      <c r="B1539" s="11" t="s">
        <v>272</v>
      </c>
      <c r="C1539" s="11">
        <v>1</v>
      </c>
      <c r="D1539" s="131" t="s">
        <v>2772</v>
      </c>
      <c r="E1539" s="15">
        <v>5</v>
      </c>
      <c r="F1539" s="15"/>
      <c r="G1539" s="684"/>
      <c r="H1539" s="707"/>
      <c r="I1539" s="707">
        <f t="shared" si="48"/>
        <v>0</v>
      </c>
      <c r="J1539" s="707">
        <f t="shared" si="49"/>
        <v>0</v>
      </c>
      <c r="K1539" s="70"/>
    </row>
    <row r="1540" spans="1:11" ht="24" customHeight="1">
      <c r="A1540" s="17" t="s">
        <v>1767</v>
      </c>
      <c r="B1540" s="17" t="s">
        <v>1768</v>
      </c>
      <c r="C1540" s="17">
        <v>10</v>
      </c>
      <c r="D1540" s="131" t="s">
        <v>1723</v>
      </c>
      <c r="E1540" s="15">
        <v>2</v>
      </c>
      <c r="F1540" s="15"/>
      <c r="G1540" s="684"/>
      <c r="H1540" s="707"/>
      <c r="I1540" s="707">
        <f t="shared" si="48"/>
        <v>0</v>
      </c>
      <c r="J1540" s="707">
        <f t="shared" si="49"/>
        <v>0</v>
      </c>
      <c r="K1540" s="70"/>
    </row>
    <row r="1541" spans="1:11" ht="24" customHeight="1">
      <c r="A1541" s="33" t="s">
        <v>2333</v>
      </c>
      <c r="B1541" s="33" t="s">
        <v>10</v>
      </c>
      <c r="C1541" s="33">
        <v>2</v>
      </c>
      <c r="D1541" s="33" t="s">
        <v>2276</v>
      </c>
      <c r="E1541" s="33">
        <v>1</v>
      </c>
      <c r="F1541" s="33"/>
      <c r="G1541" s="522"/>
      <c r="H1541" s="707">
        <v>20</v>
      </c>
      <c r="I1541" s="707">
        <f t="shared" si="48"/>
        <v>23</v>
      </c>
      <c r="J1541" s="707">
        <f t="shared" si="49"/>
        <v>26</v>
      </c>
      <c r="K1541" s="70" t="s">
        <v>51</v>
      </c>
    </row>
    <row r="1542" spans="1:11" ht="24" customHeight="1">
      <c r="A1542" s="33" t="s">
        <v>2561</v>
      </c>
      <c r="B1542" s="33" t="s">
        <v>1685</v>
      </c>
      <c r="C1542" s="33">
        <v>4</v>
      </c>
      <c r="D1542" s="33" t="s">
        <v>2540</v>
      </c>
      <c r="E1542" s="33">
        <v>1</v>
      </c>
      <c r="F1542" s="33"/>
      <c r="G1542" s="522"/>
      <c r="H1542" s="707">
        <v>100</v>
      </c>
      <c r="I1542" s="707">
        <f t="shared" si="48"/>
        <v>114.99999999999999</v>
      </c>
      <c r="J1542" s="707">
        <f t="shared" si="49"/>
        <v>130</v>
      </c>
      <c r="K1542" s="70"/>
    </row>
    <row r="1543" spans="1:11" ht="24" customHeight="1">
      <c r="A1543" s="59" t="s">
        <v>2686</v>
      </c>
      <c r="B1543" s="59" t="s">
        <v>14</v>
      </c>
      <c r="C1543" s="59">
        <v>4</v>
      </c>
      <c r="D1543" s="33" t="s">
        <v>2624</v>
      </c>
      <c r="E1543" s="354">
        <v>5</v>
      </c>
      <c r="F1543" s="354"/>
      <c r="G1543" s="688"/>
      <c r="H1543" s="707">
        <v>25</v>
      </c>
      <c r="I1543" s="707">
        <f t="shared" si="48"/>
        <v>28.749999999999996</v>
      </c>
      <c r="J1543" s="707">
        <f t="shared" si="49"/>
        <v>32.5</v>
      </c>
      <c r="K1543" s="70"/>
    </row>
    <row r="1544" spans="1:11" ht="24" customHeight="1">
      <c r="A1544" s="2" t="s">
        <v>662</v>
      </c>
      <c r="B1544" s="2" t="s">
        <v>10</v>
      </c>
      <c r="C1544" s="2">
        <v>24</v>
      </c>
      <c r="D1544" s="2" t="s">
        <v>593</v>
      </c>
      <c r="E1544" s="33">
        <v>1</v>
      </c>
      <c r="F1544" s="33"/>
      <c r="G1544" s="522"/>
      <c r="H1544" s="707">
        <v>10</v>
      </c>
      <c r="I1544" s="707">
        <f t="shared" si="48"/>
        <v>11.5</v>
      </c>
      <c r="J1544" s="707">
        <f t="shared" si="49"/>
        <v>13</v>
      </c>
      <c r="K1544" s="70"/>
    </row>
    <row r="1545" spans="1:11" ht="24" customHeight="1">
      <c r="A1545" s="2" t="s">
        <v>662</v>
      </c>
      <c r="B1545" s="2" t="s">
        <v>10</v>
      </c>
      <c r="C1545" s="2">
        <v>16</v>
      </c>
      <c r="D1545" s="2" t="s">
        <v>888</v>
      </c>
      <c r="E1545" s="33">
        <v>5</v>
      </c>
      <c r="F1545" s="33"/>
      <c r="G1545" s="522"/>
      <c r="H1545" s="707">
        <v>10</v>
      </c>
      <c r="I1545" s="707">
        <f t="shared" si="48"/>
        <v>11.5</v>
      </c>
      <c r="J1545" s="707">
        <f t="shared" si="49"/>
        <v>13</v>
      </c>
      <c r="K1545" s="55"/>
    </row>
    <row r="1546" spans="1:11" ht="24" customHeight="1">
      <c r="A1546" s="33" t="s">
        <v>662</v>
      </c>
      <c r="B1546" s="33" t="s">
        <v>10</v>
      </c>
      <c r="C1546" s="33">
        <v>2</v>
      </c>
      <c r="D1546" s="33" t="s">
        <v>2026</v>
      </c>
      <c r="E1546" s="33">
        <v>5</v>
      </c>
      <c r="F1546" s="33"/>
      <c r="G1546" s="522"/>
      <c r="H1546" s="707">
        <v>10</v>
      </c>
      <c r="I1546" s="707">
        <f t="shared" si="48"/>
        <v>11.5</v>
      </c>
      <c r="J1546" s="707">
        <f t="shared" si="49"/>
        <v>13</v>
      </c>
      <c r="K1546" s="70"/>
    </row>
    <row r="1547" spans="1:11" ht="24" customHeight="1">
      <c r="A1547" s="74" t="s">
        <v>1087</v>
      </c>
      <c r="B1547" s="74" t="s">
        <v>56</v>
      </c>
      <c r="C1547" s="74">
        <v>38</v>
      </c>
      <c r="D1547" s="33" t="s">
        <v>992</v>
      </c>
      <c r="E1547" s="33">
        <v>5</v>
      </c>
      <c r="F1547" s="33"/>
      <c r="G1547" s="522"/>
      <c r="H1547" s="707"/>
      <c r="I1547" s="707">
        <f t="shared" si="48"/>
        <v>0</v>
      </c>
      <c r="J1547" s="707">
        <f t="shared" si="49"/>
        <v>0</v>
      </c>
      <c r="K1547" s="70"/>
    </row>
    <row r="1548" spans="1:11" ht="24" customHeight="1">
      <c r="A1548" s="74" t="s">
        <v>1087</v>
      </c>
      <c r="B1548" s="74" t="s">
        <v>56</v>
      </c>
      <c r="C1548" s="74">
        <v>1</v>
      </c>
      <c r="D1548" s="33" t="s">
        <v>1372</v>
      </c>
      <c r="E1548" s="33">
        <v>5</v>
      </c>
      <c r="F1548" s="33"/>
      <c r="G1548" s="522"/>
      <c r="H1548" s="707"/>
      <c r="I1548" s="707">
        <f t="shared" si="48"/>
        <v>0</v>
      </c>
      <c r="J1548" s="707">
        <f t="shared" si="49"/>
        <v>0</v>
      </c>
      <c r="K1548" s="70"/>
    </row>
    <row r="1549" spans="1:11" ht="24" customHeight="1">
      <c r="A1549" s="2" t="s">
        <v>660</v>
      </c>
      <c r="B1549" s="2" t="s">
        <v>10</v>
      </c>
      <c r="C1549" s="2">
        <v>8</v>
      </c>
      <c r="D1549" s="2" t="s">
        <v>593</v>
      </c>
      <c r="E1549" s="33">
        <v>1</v>
      </c>
      <c r="F1549" s="33"/>
      <c r="G1549" s="522"/>
      <c r="H1549" s="707"/>
      <c r="I1549" s="707">
        <f t="shared" si="48"/>
        <v>0</v>
      </c>
      <c r="J1549" s="707">
        <f t="shared" si="49"/>
        <v>0</v>
      </c>
      <c r="K1549" s="70"/>
    </row>
    <row r="1550" spans="1:11" ht="24" customHeight="1">
      <c r="A1550" s="59" t="s">
        <v>660</v>
      </c>
      <c r="B1550" s="59" t="s">
        <v>56</v>
      </c>
      <c r="C1550" s="59">
        <v>10</v>
      </c>
      <c r="D1550" s="33" t="s">
        <v>2624</v>
      </c>
      <c r="E1550" s="354">
        <v>5</v>
      </c>
      <c r="F1550" s="354"/>
      <c r="G1550" s="688"/>
      <c r="H1550" s="707"/>
      <c r="I1550" s="707">
        <f t="shared" si="48"/>
        <v>0</v>
      </c>
      <c r="J1550" s="707">
        <f t="shared" si="49"/>
        <v>0</v>
      </c>
      <c r="K1550" s="70"/>
    </row>
    <row r="1551" spans="1:11" ht="24" customHeight="1">
      <c r="A1551" s="74" t="s">
        <v>1663</v>
      </c>
      <c r="B1551" s="74" t="s">
        <v>10</v>
      </c>
      <c r="C1551" s="74">
        <v>12</v>
      </c>
      <c r="D1551" s="33" t="s">
        <v>1548</v>
      </c>
      <c r="E1551" s="33">
        <v>5</v>
      </c>
      <c r="F1551" s="33"/>
      <c r="G1551" s="522"/>
      <c r="H1551" s="707"/>
      <c r="I1551" s="707">
        <f t="shared" si="48"/>
        <v>0</v>
      </c>
      <c r="J1551" s="707">
        <f t="shared" si="49"/>
        <v>0</v>
      </c>
      <c r="K1551" s="70"/>
    </row>
    <row r="1552" spans="1:11" ht="24" customHeight="1">
      <c r="A1552" s="33" t="s">
        <v>2275</v>
      </c>
      <c r="B1552" s="33" t="s">
        <v>83</v>
      </c>
      <c r="C1552" s="33">
        <v>3</v>
      </c>
      <c r="D1552" s="33" t="s">
        <v>2276</v>
      </c>
      <c r="E1552" s="33">
        <v>1</v>
      </c>
      <c r="F1552" s="33"/>
      <c r="G1552" s="522"/>
      <c r="H1552" s="707">
        <v>200</v>
      </c>
      <c r="I1552" s="707">
        <f t="shared" si="48"/>
        <v>229.99999999999997</v>
      </c>
      <c r="J1552" s="707">
        <f t="shared" si="49"/>
        <v>260</v>
      </c>
      <c r="K1552" s="70"/>
    </row>
    <row r="1553" spans="1:11" ht="24" customHeight="1">
      <c r="A1553" s="33" t="s">
        <v>339</v>
      </c>
      <c r="B1553" s="33" t="s">
        <v>10</v>
      </c>
      <c r="C1553" s="33">
        <v>8</v>
      </c>
      <c r="D1553" s="2" t="s">
        <v>274</v>
      </c>
      <c r="E1553" s="33">
        <v>2</v>
      </c>
      <c r="F1553" s="33"/>
      <c r="G1553" s="522"/>
      <c r="H1553" s="707"/>
      <c r="I1553" s="707">
        <f t="shared" si="48"/>
        <v>0</v>
      </c>
      <c r="J1553" s="707">
        <f t="shared" si="49"/>
        <v>0</v>
      </c>
      <c r="K1553" s="70"/>
    </row>
    <row r="1554" spans="1:11" ht="24" customHeight="1">
      <c r="A1554" s="33" t="s">
        <v>2949</v>
      </c>
      <c r="B1554" s="71" t="s">
        <v>81</v>
      </c>
      <c r="C1554" s="71">
        <v>19</v>
      </c>
      <c r="D1554" s="71" t="s">
        <v>2947</v>
      </c>
      <c r="E1554" s="71">
        <v>3</v>
      </c>
      <c r="F1554" s="71"/>
      <c r="G1554" s="686"/>
      <c r="H1554" s="709"/>
      <c r="I1554" s="709">
        <f t="shared" si="48"/>
        <v>0</v>
      </c>
      <c r="J1554" s="709">
        <f t="shared" si="49"/>
        <v>0</v>
      </c>
      <c r="K1554" s="70"/>
    </row>
    <row r="1555" spans="1:11" ht="24" customHeight="1">
      <c r="A1555" s="33" t="s">
        <v>2116</v>
      </c>
      <c r="B1555" s="33" t="s">
        <v>10</v>
      </c>
      <c r="C1555" s="33">
        <v>35</v>
      </c>
      <c r="D1555" s="33" t="s">
        <v>2111</v>
      </c>
      <c r="E1555" s="33">
        <v>1</v>
      </c>
      <c r="F1555" s="33"/>
      <c r="G1555" s="522"/>
      <c r="H1555" s="707"/>
      <c r="I1555" s="707">
        <f t="shared" si="48"/>
        <v>0</v>
      </c>
      <c r="J1555" s="707">
        <f t="shared" si="49"/>
        <v>0</v>
      </c>
      <c r="K1555" s="70" t="s">
        <v>51</v>
      </c>
    </row>
    <row r="1556" spans="1:11" ht="24" customHeight="1">
      <c r="A1556" s="33" t="s">
        <v>2116</v>
      </c>
      <c r="B1556" s="33" t="s">
        <v>2402</v>
      </c>
      <c r="C1556" s="33">
        <v>50</v>
      </c>
      <c r="D1556" s="33" t="s">
        <v>2363</v>
      </c>
      <c r="E1556" s="33">
        <v>4</v>
      </c>
      <c r="F1556" s="33"/>
      <c r="G1556" s="522"/>
      <c r="H1556" s="707"/>
      <c r="I1556" s="707">
        <f t="shared" si="48"/>
        <v>0</v>
      </c>
      <c r="J1556" s="707">
        <f t="shared" si="49"/>
        <v>0</v>
      </c>
      <c r="K1556" s="70" t="s">
        <v>51</v>
      </c>
    </row>
    <row r="1557" spans="1:11" ht="24" customHeight="1">
      <c r="A1557" s="33" t="s">
        <v>3578</v>
      </c>
      <c r="B1557" s="33" t="s">
        <v>10</v>
      </c>
      <c r="C1557" s="33">
        <v>5</v>
      </c>
      <c r="D1557" s="33" t="s">
        <v>8137</v>
      </c>
      <c r="E1557" s="33">
        <v>5</v>
      </c>
      <c r="F1557" s="33"/>
      <c r="G1557" s="522"/>
      <c r="H1557" s="707">
        <v>2.52</v>
      </c>
      <c r="I1557" s="707">
        <f t="shared" si="48"/>
        <v>2.8979999999999997</v>
      </c>
      <c r="J1557" s="707">
        <f t="shared" si="49"/>
        <v>3.2760000000000002</v>
      </c>
      <c r="K1557" s="70"/>
    </row>
    <row r="1558" spans="1:11" ht="24" customHeight="1">
      <c r="A1558" s="74" t="s">
        <v>1467</v>
      </c>
      <c r="B1558" s="74" t="s">
        <v>10</v>
      </c>
      <c r="C1558" s="74">
        <v>5</v>
      </c>
      <c r="D1558" s="33" t="s">
        <v>1372</v>
      </c>
      <c r="E1558" s="33">
        <v>5</v>
      </c>
      <c r="F1558" s="33"/>
      <c r="G1558" s="522"/>
      <c r="H1558" s="707">
        <v>1.25</v>
      </c>
      <c r="I1558" s="707">
        <f t="shared" si="48"/>
        <v>1.4375</v>
      </c>
      <c r="J1558" s="707">
        <f t="shared" si="49"/>
        <v>1.625</v>
      </c>
      <c r="K1558" s="70"/>
    </row>
    <row r="1559" spans="1:11" ht="24" customHeight="1">
      <c r="A1559" s="11" t="s">
        <v>3144</v>
      </c>
      <c r="B1559" s="34" t="s">
        <v>10</v>
      </c>
      <c r="C1559" s="11">
        <v>17</v>
      </c>
      <c r="D1559" s="33" t="s">
        <v>3053</v>
      </c>
      <c r="E1559" s="33">
        <v>3</v>
      </c>
      <c r="F1559" s="33"/>
      <c r="G1559" s="522"/>
      <c r="H1559" s="707"/>
      <c r="I1559" s="707">
        <f t="shared" si="48"/>
        <v>0</v>
      </c>
      <c r="J1559" s="707">
        <f t="shared" si="49"/>
        <v>0</v>
      </c>
      <c r="K1559" s="70"/>
    </row>
    <row r="1560" spans="1:11" ht="24" customHeight="1">
      <c r="A1560" s="74" t="s">
        <v>2088</v>
      </c>
      <c r="B1560" s="74" t="s">
        <v>14</v>
      </c>
      <c r="C1560" s="74">
        <v>11</v>
      </c>
      <c r="D1560" s="33" t="s">
        <v>2026</v>
      </c>
      <c r="E1560" s="33">
        <v>5</v>
      </c>
      <c r="F1560" s="33"/>
      <c r="G1560" s="522"/>
      <c r="H1560" s="707"/>
      <c r="I1560" s="707">
        <f t="shared" si="48"/>
        <v>0</v>
      </c>
      <c r="J1560" s="707">
        <f t="shared" si="49"/>
        <v>0</v>
      </c>
      <c r="K1560" s="70" t="s">
        <v>51</v>
      </c>
    </row>
    <row r="1561" spans="1:11" ht="24" customHeight="1">
      <c r="A1561" s="2" t="s">
        <v>3565</v>
      </c>
      <c r="B1561" s="2" t="s">
        <v>371</v>
      </c>
      <c r="C1561" s="2">
        <v>100</v>
      </c>
      <c r="D1561" s="2" t="s">
        <v>3553</v>
      </c>
      <c r="E1561" s="33">
        <v>2</v>
      </c>
      <c r="F1561" s="33"/>
      <c r="G1561" s="522"/>
      <c r="H1561" s="707"/>
      <c r="I1561" s="707">
        <f t="shared" si="48"/>
        <v>0</v>
      </c>
      <c r="J1561" s="707">
        <f t="shared" si="49"/>
        <v>0</v>
      </c>
      <c r="K1561" s="55"/>
    </row>
    <row r="1562" spans="1:11" ht="24" customHeight="1">
      <c r="A1562" s="33" t="s">
        <v>2950</v>
      </c>
      <c r="B1562" s="33" t="s">
        <v>10</v>
      </c>
      <c r="C1562" s="33">
        <v>20</v>
      </c>
      <c r="D1562" s="71" t="s">
        <v>2947</v>
      </c>
      <c r="E1562" s="33">
        <v>3</v>
      </c>
      <c r="F1562" s="33"/>
      <c r="G1562" s="522"/>
      <c r="H1562" s="707"/>
      <c r="I1562" s="707">
        <f t="shared" si="48"/>
        <v>0</v>
      </c>
      <c r="J1562" s="707">
        <f t="shared" si="49"/>
        <v>0</v>
      </c>
      <c r="K1562" s="70"/>
    </row>
    <row r="1563" spans="1:11" ht="24" customHeight="1">
      <c r="A1563" s="33" t="s">
        <v>2361</v>
      </c>
      <c r="B1563" s="33" t="s">
        <v>83</v>
      </c>
      <c r="C1563" s="33">
        <v>1</v>
      </c>
      <c r="D1563" s="33" t="s">
        <v>2276</v>
      </c>
      <c r="E1563" s="33">
        <v>1</v>
      </c>
      <c r="F1563" s="33"/>
      <c r="G1563" s="522"/>
      <c r="H1563" s="707"/>
      <c r="I1563" s="707">
        <f t="shared" si="48"/>
        <v>0</v>
      </c>
      <c r="J1563" s="707">
        <f t="shared" si="49"/>
        <v>0</v>
      </c>
      <c r="K1563" s="70" t="s">
        <v>51</v>
      </c>
    </row>
    <row r="1564" spans="1:11" ht="24" customHeight="1">
      <c r="A1564" s="33" t="s">
        <v>3301</v>
      </c>
      <c r="B1564" s="33" t="s">
        <v>371</v>
      </c>
      <c r="C1564" s="33">
        <v>1</v>
      </c>
      <c r="D1564" s="33" t="s">
        <v>3279</v>
      </c>
      <c r="E1564" s="33">
        <v>3</v>
      </c>
      <c r="F1564" s="33"/>
      <c r="G1564" s="522"/>
      <c r="H1564" s="707"/>
      <c r="I1564" s="707">
        <f t="shared" si="48"/>
        <v>0</v>
      </c>
      <c r="J1564" s="707">
        <f t="shared" si="49"/>
        <v>0</v>
      </c>
      <c r="K1564" s="70"/>
    </row>
    <row r="1565" spans="1:11" ht="24" customHeight="1">
      <c r="A1565" s="74" t="s">
        <v>2105</v>
      </c>
      <c r="B1565" s="74" t="s">
        <v>2106</v>
      </c>
      <c r="C1565" s="74">
        <v>5</v>
      </c>
      <c r="D1565" s="33" t="s">
        <v>2094</v>
      </c>
      <c r="E1565" s="33">
        <v>5</v>
      </c>
      <c r="F1565" s="33"/>
      <c r="G1565" s="522"/>
      <c r="H1565" s="707"/>
      <c r="I1565" s="707">
        <f t="shared" si="48"/>
        <v>0</v>
      </c>
      <c r="J1565" s="707">
        <f t="shared" si="49"/>
        <v>0</v>
      </c>
      <c r="K1565" s="70"/>
    </row>
    <row r="1566" spans="1:11" ht="24" customHeight="1">
      <c r="A1566" s="33" t="s">
        <v>2569</v>
      </c>
      <c r="B1566" s="33" t="s">
        <v>2570</v>
      </c>
      <c r="C1566" s="33">
        <v>1</v>
      </c>
      <c r="D1566" s="33" t="s">
        <v>2540</v>
      </c>
      <c r="E1566" s="33">
        <v>1</v>
      </c>
      <c r="F1566" s="33"/>
      <c r="G1566" s="522"/>
      <c r="H1566" s="707"/>
      <c r="I1566" s="707">
        <f t="shared" si="48"/>
        <v>0</v>
      </c>
      <c r="J1566" s="707">
        <f t="shared" si="49"/>
        <v>0</v>
      </c>
      <c r="K1566" s="70"/>
    </row>
    <row r="1567" spans="1:11" ht="24" customHeight="1">
      <c r="A1567" s="74" t="s">
        <v>2153</v>
      </c>
      <c r="B1567" s="74" t="s">
        <v>41</v>
      </c>
      <c r="C1567" s="74">
        <v>1</v>
      </c>
      <c r="D1567" s="33" t="s">
        <v>2111</v>
      </c>
      <c r="E1567" s="33">
        <v>2</v>
      </c>
      <c r="F1567" s="33"/>
      <c r="G1567" s="522"/>
      <c r="H1567" s="707"/>
      <c r="I1567" s="707">
        <f t="shared" si="48"/>
        <v>0</v>
      </c>
      <c r="J1567" s="707">
        <f t="shared" si="49"/>
        <v>0</v>
      </c>
      <c r="K1567" s="70"/>
    </row>
    <row r="1568" spans="1:11" ht="24" customHeight="1">
      <c r="A1568" s="33" t="s">
        <v>1636</v>
      </c>
      <c r="B1568" s="33" t="s">
        <v>640</v>
      </c>
      <c r="C1568" s="33">
        <v>18</v>
      </c>
      <c r="D1568" s="33" t="s">
        <v>1548</v>
      </c>
      <c r="E1568" s="33">
        <v>4</v>
      </c>
      <c r="F1568" s="33"/>
      <c r="G1568" s="522"/>
      <c r="H1568" s="707"/>
      <c r="I1568" s="707">
        <f t="shared" si="48"/>
        <v>0</v>
      </c>
      <c r="J1568" s="707">
        <f t="shared" si="49"/>
        <v>0</v>
      </c>
      <c r="K1568" s="70"/>
    </row>
    <row r="1569" spans="1:11" ht="24" customHeight="1">
      <c r="A1569" s="33" t="s">
        <v>1425</v>
      </c>
      <c r="B1569" s="33" t="s">
        <v>1030</v>
      </c>
      <c r="C1569" s="33">
        <v>2</v>
      </c>
      <c r="D1569" s="33" t="s">
        <v>1372</v>
      </c>
      <c r="E1569" s="33">
        <v>4</v>
      </c>
      <c r="F1569" s="33"/>
      <c r="G1569" s="522"/>
      <c r="H1569" s="707"/>
      <c r="I1569" s="707">
        <f t="shared" si="48"/>
        <v>0</v>
      </c>
      <c r="J1569" s="707">
        <f t="shared" si="49"/>
        <v>0</v>
      </c>
      <c r="K1569" s="70"/>
    </row>
    <row r="1570" spans="1:11" ht="24" customHeight="1">
      <c r="A1570" s="33" t="s">
        <v>1399</v>
      </c>
      <c r="B1570" s="33" t="s">
        <v>83</v>
      </c>
      <c r="C1570" s="33">
        <v>1</v>
      </c>
      <c r="D1570" s="33" t="s">
        <v>1372</v>
      </c>
      <c r="E1570" s="33">
        <v>4</v>
      </c>
      <c r="F1570" s="33"/>
      <c r="G1570" s="522"/>
      <c r="H1570" s="707"/>
      <c r="I1570" s="707">
        <f t="shared" si="48"/>
        <v>0</v>
      </c>
      <c r="J1570" s="707">
        <f t="shared" si="49"/>
        <v>0</v>
      </c>
      <c r="K1570" s="70"/>
    </row>
    <row r="1571" spans="1:11" ht="24" customHeight="1">
      <c r="A1571" s="33" t="s">
        <v>3396</v>
      </c>
      <c r="B1571" s="33" t="s">
        <v>1778</v>
      </c>
      <c r="C1571" s="33">
        <v>1</v>
      </c>
      <c r="D1571" s="33" t="s">
        <v>3348</v>
      </c>
      <c r="E1571" s="33">
        <v>4</v>
      </c>
      <c r="F1571" s="33"/>
      <c r="G1571" s="522"/>
      <c r="H1571" s="707"/>
      <c r="I1571" s="707">
        <f t="shared" si="48"/>
        <v>0</v>
      </c>
      <c r="J1571" s="707">
        <f t="shared" si="49"/>
        <v>0</v>
      </c>
      <c r="K1571" s="70"/>
    </row>
    <row r="1572" spans="1:11" ht="24" customHeight="1">
      <c r="A1572" s="33" t="s">
        <v>979</v>
      </c>
      <c r="B1572" s="33" t="s">
        <v>980</v>
      </c>
      <c r="C1572" s="33">
        <v>4</v>
      </c>
      <c r="D1572" s="33" t="s">
        <v>910</v>
      </c>
      <c r="E1572" s="33">
        <v>2</v>
      </c>
      <c r="F1572" s="33"/>
      <c r="G1572" s="522"/>
      <c r="H1572" s="707"/>
      <c r="I1572" s="707">
        <f t="shared" si="48"/>
        <v>0</v>
      </c>
      <c r="J1572" s="707">
        <f t="shared" si="49"/>
        <v>0</v>
      </c>
      <c r="K1572" s="70"/>
    </row>
    <row r="1573" spans="1:11" ht="24" customHeight="1">
      <c r="A1573" s="33" t="s">
        <v>3362</v>
      </c>
      <c r="B1573" s="33" t="s">
        <v>558</v>
      </c>
      <c r="C1573" s="33">
        <v>2</v>
      </c>
      <c r="D1573" s="33" t="s">
        <v>3348</v>
      </c>
      <c r="E1573" s="33">
        <v>3</v>
      </c>
      <c r="F1573" s="33"/>
      <c r="G1573" s="522"/>
      <c r="H1573" s="707"/>
      <c r="I1573" s="707">
        <f t="shared" si="48"/>
        <v>0</v>
      </c>
      <c r="J1573" s="707">
        <f t="shared" si="49"/>
        <v>0</v>
      </c>
      <c r="K1573" s="70"/>
    </row>
    <row r="1574" spans="1:11" ht="24" customHeight="1">
      <c r="A1574" s="3" t="s">
        <v>2929</v>
      </c>
      <c r="B1574" s="3" t="s">
        <v>19</v>
      </c>
      <c r="C1574" s="3">
        <v>4</v>
      </c>
      <c r="D1574" s="15" t="s">
        <v>2918</v>
      </c>
      <c r="E1574" s="15">
        <v>1</v>
      </c>
      <c r="F1574" s="15"/>
      <c r="G1574" s="684"/>
      <c r="H1574" s="707"/>
      <c r="I1574" s="707">
        <f t="shared" si="48"/>
        <v>0</v>
      </c>
      <c r="J1574" s="707">
        <f t="shared" si="49"/>
        <v>0</v>
      </c>
      <c r="K1574" s="70"/>
    </row>
    <row r="1575" spans="1:11" ht="24" customHeight="1">
      <c r="A1575" s="33" t="s">
        <v>999</v>
      </c>
      <c r="B1575" s="33" t="s">
        <v>23</v>
      </c>
      <c r="C1575" s="33">
        <v>2</v>
      </c>
      <c r="D1575" s="33" t="s">
        <v>992</v>
      </c>
      <c r="E1575" s="33">
        <v>3</v>
      </c>
      <c r="F1575" s="33"/>
      <c r="G1575" s="522"/>
      <c r="H1575" s="707"/>
      <c r="I1575" s="707">
        <f t="shared" si="48"/>
        <v>0</v>
      </c>
      <c r="J1575" s="707">
        <f t="shared" si="49"/>
        <v>0</v>
      </c>
      <c r="K1575" s="70"/>
    </row>
    <row r="1576" spans="1:11" ht="24" customHeight="1">
      <c r="A1576" s="33" t="s">
        <v>998</v>
      </c>
      <c r="B1576" s="33" t="s">
        <v>81</v>
      </c>
      <c r="C1576" s="33">
        <v>6</v>
      </c>
      <c r="D1576" s="33" t="s">
        <v>992</v>
      </c>
      <c r="E1576" s="33">
        <v>3</v>
      </c>
      <c r="F1576" s="33"/>
      <c r="G1576" s="522"/>
      <c r="H1576" s="707"/>
      <c r="I1576" s="707">
        <f t="shared" si="48"/>
        <v>0</v>
      </c>
      <c r="J1576" s="707">
        <f t="shared" si="49"/>
        <v>0</v>
      </c>
      <c r="K1576" s="70"/>
    </row>
    <row r="1577" spans="1:11" ht="24" customHeight="1">
      <c r="A1577" s="2" t="s">
        <v>187</v>
      </c>
      <c r="B1577" s="2" t="s">
        <v>147</v>
      </c>
      <c r="C1577" s="2">
        <v>3</v>
      </c>
      <c r="D1577" s="2" t="s">
        <v>188</v>
      </c>
      <c r="E1577" s="33">
        <v>4</v>
      </c>
      <c r="F1577" s="33"/>
      <c r="G1577" s="522"/>
      <c r="H1577" s="707"/>
      <c r="I1577" s="707">
        <f t="shared" si="48"/>
        <v>0</v>
      </c>
      <c r="J1577" s="707">
        <f t="shared" si="49"/>
        <v>0</v>
      </c>
      <c r="K1577" s="70"/>
    </row>
    <row r="1578" spans="1:11" ht="24" customHeight="1">
      <c r="A1578" s="2" t="s">
        <v>559</v>
      </c>
      <c r="B1578" s="2" t="s">
        <v>558</v>
      </c>
      <c r="C1578" s="2">
        <v>1</v>
      </c>
      <c r="D1578" s="2" t="s">
        <v>536</v>
      </c>
      <c r="E1578" s="33">
        <v>5</v>
      </c>
      <c r="F1578" s="33"/>
      <c r="G1578" s="522"/>
      <c r="H1578" s="707"/>
      <c r="I1578" s="707">
        <f t="shared" si="48"/>
        <v>0</v>
      </c>
      <c r="J1578" s="707">
        <f t="shared" si="49"/>
        <v>0</v>
      </c>
      <c r="K1578" s="70"/>
    </row>
    <row r="1579" spans="1:11" ht="24" customHeight="1">
      <c r="A1579" s="2" t="s">
        <v>557</v>
      </c>
      <c r="B1579" s="2" t="s">
        <v>558</v>
      </c>
      <c r="C1579" s="2">
        <v>1</v>
      </c>
      <c r="D1579" s="2" t="s">
        <v>536</v>
      </c>
      <c r="E1579" s="33">
        <v>5</v>
      </c>
      <c r="F1579" s="33"/>
      <c r="G1579" s="522"/>
      <c r="H1579" s="707"/>
      <c r="I1579" s="707">
        <f t="shared" si="48"/>
        <v>0</v>
      </c>
      <c r="J1579" s="707">
        <f t="shared" si="49"/>
        <v>0</v>
      </c>
      <c r="K1579" s="70"/>
    </row>
    <row r="1580" spans="1:11" ht="24" customHeight="1">
      <c r="A1580" s="74" t="s">
        <v>1463</v>
      </c>
      <c r="B1580" s="74" t="s">
        <v>83</v>
      </c>
      <c r="C1580" s="74">
        <v>1</v>
      </c>
      <c r="D1580" s="33" t="s">
        <v>1372</v>
      </c>
      <c r="E1580" s="33">
        <v>5</v>
      </c>
      <c r="F1580" s="33"/>
      <c r="G1580" s="522"/>
      <c r="H1580" s="707"/>
      <c r="I1580" s="707">
        <f t="shared" si="48"/>
        <v>0</v>
      </c>
      <c r="J1580" s="707">
        <f t="shared" si="49"/>
        <v>0</v>
      </c>
      <c r="K1580" s="70"/>
    </row>
    <row r="1581" spans="1:11" ht="24" customHeight="1">
      <c r="A1581" s="33" t="s">
        <v>1163</v>
      </c>
      <c r="B1581" s="33" t="s">
        <v>1164</v>
      </c>
      <c r="C1581" s="33">
        <v>7</v>
      </c>
      <c r="D1581" s="33" t="s">
        <v>1141</v>
      </c>
      <c r="E1581" s="33">
        <v>1</v>
      </c>
      <c r="F1581" s="33"/>
      <c r="G1581" s="522"/>
      <c r="H1581" s="707"/>
      <c r="I1581" s="707">
        <f t="shared" si="48"/>
        <v>0</v>
      </c>
      <c r="J1581" s="707">
        <f t="shared" si="49"/>
        <v>0</v>
      </c>
      <c r="K1581" s="70"/>
    </row>
    <row r="1582" spans="1:11" ht="24" customHeight="1">
      <c r="A1582" s="33" t="s">
        <v>3369</v>
      </c>
      <c r="B1582" s="33" t="s">
        <v>1174</v>
      </c>
      <c r="C1582" s="33">
        <v>1</v>
      </c>
      <c r="D1582" s="33" t="s">
        <v>3348</v>
      </c>
      <c r="E1582" s="33">
        <v>3</v>
      </c>
      <c r="F1582" s="33"/>
      <c r="G1582" s="522"/>
      <c r="H1582" s="707"/>
      <c r="I1582" s="707">
        <f t="shared" si="48"/>
        <v>0</v>
      </c>
      <c r="J1582" s="707">
        <f t="shared" si="49"/>
        <v>0</v>
      </c>
      <c r="K1582" s="70"/>
    </row>
    <row r="1583" spans="1:11" ht="24" customHeight="1">
      <c r="A1583" s="2" t="s">
        <v>3713</v>
      </c>
      <c r="B1583" s="2" t="s">
        <v>10</v>
      </c>
      <c r="C1583" s="2">
        <v>9</v>
      </c>
      <c r="D1583" s="2" t="s">
        <v>3705</v>
      </c>
      <c r="E1583" s="33">
        <v>2</v>
      </c>
      <c r="F1583" s="33"/>
      <c r="G1583" s="522"/>
      <c r="H1583" s="707"/>
      <c r="I1583" s="707">
        <f t="shared" si="48"/>
        <v>0</v>
      </c>
      <c r="J1583" s="707">
        <f t="shared" si="49"/>
        <v>0</v>
      </c>
      <c r="K1583" s="55" t="s">
        <v>3576</v>
      </c>
    </row>
    <row r="1584" spans="1:11" ht="24" customHeight="1">
      <c r="A1584" s="33" t="s">
        <v>2619</v>
      </c>
      <c r="B1584" s="33" t="s">
        <v>10</v>
      </c>
      <c r="C1584" s="33">
        <v>2</v>
      </c>
      <c r="D1584" s="33" t="s">
        <v>2540</v>
      </c>
      <c r="E1584" s="33">
        <v>2</v>
      </c>
      <c r="F1584" s="33"/>
      <c r="G1584" s="522"/>
      <c r="H1584" s="707">
        <v>50</v>
      </c>
      <c r="I1584" s="707">
        <f t="shared" si="48"/>
        <v>57.499999999999993</v>
      </c>
      <c r="J1584" s="707">
        <f t="shared" si="49"/>
        <v>65</v>
      </c>
      <c r="K1584" s="70"/>
    </row>
    <row r="1585" spans="1:11" ht="24" customHeight="1">
      <c r="A1585" s="33" t="s">
        <v>2643</v>
      </c>
      <c r="B1585" s="33" t="s">
        <v>81</v>
      </c>
      <c r="C1585" s="33">
        <v>13</v>
      </c>
      <c r="D1585" s="33" t="s">
        <v>2624</v>
      </c>
      <c r="E1585" s="33">
        <v>4</v>
      </c>
      <c r="F1585" s="33"/>
      <c r="G1585" s="522"/>
      <c r="H1585" s="707">
        <v>10</v>
      </c>
      <c r="I1585" s="707">
        <f t="shared" si="48"/>
        <v>11.5</v>
      </c>
      <c r="J1585" s="707">
        <f t="shared" si="49"/>
        <v>13</v>
      </c>
      <c r="K1585" s="70"/>
    </row>
    <row r="1586" spans="1:11" ht="24" customHeight="1">
      <c r="A1586" s="33" t="s">
        <v>127</v>
      </c>
      <c r="B1586" s="33" t="s">
        <v>10</v>
      </c>
      <c r="C1586" s="33">
        <v>1</v>
      </c>
      <c r="D1586" s="2" t="s">
        <v>274</v>
      </c>
      <c r="E1586" s="33">
        <v>2</v>
      </c>
      <c r="F1586" s="33"/>
      <c r="G1586" s="522"/>
      <c r="H1586" s="707"/>
      <c r="I1586" s="707">
        <f t="shared" si="48"/>
        <v>0</v>
      </c>
      <c r="J1586" s="707">
        <f t="shared" si="49"/>
        <v>0</v>
      </c>
      <c r="K1586" s="70"/>
    </row>
    <row r="1587" spans="1:11" ht="24" customHeight="1">
      <c r="A1587" s="33" t="s">
        <v>1598</v>
      </c>
      <c r="B1587" s="33" t="s">
        <v>1030</v>
      </c>
      <c r="C1587" s="33">
        <v>4</v>
      </c>
      <c r="D1587" s="33" t="s">
        <v>1548</v>
      </c>
      <c r="E1587" s="33">
        <v>3</v>
      </c>
      <c r="F1587" s="33"/>
      <c r="G1587" s="522"/>
      <c r="H1587" s="707">
        <v>3</v>
      </c>
      <c r="I1587" s="707">
        <f t="shared" si="48"/>
        <v>3.4499999999999997</v>
      </c>
      <c r="J1587" s="707">
        <f t="shared" si="49"/>
        <v>3.9000000000000004</v>
      </c>
      <c r="K1587" s="70"/>
    </row>
    <row r="1588" spans="1:11" ht="24" customHeight="1">
      <c r="A1588" s="33" t="s">
        <v>1071</v>
      </c>
      <c r="B1588" s="33" t="s">
        <v>1072</v>
      </c>
      <c r="C1588" s="33">
        <v>1</v>
      </c>
      <c r="D1588" s="33" t="s">
        <v>992</v>
      </c>
      <c r="E1588" s="33">
        <v>4</v>
      </c>
      <c r="F1588" s="33"/>
      <c r="G1588" s="522"/>
      <c r="H1588" s="707"/>
      <c r="I1588" s="707">
        <f t="shared" si="48"/>
        <v>0</v>
      </c>
      <c r="J1588" s="707">
        <f t="shared" si="49"/>
        <v>0</v>
      </c>
      <c r="K1588" s="70"/>
    </row>
    <row r="1589" spans="1:11" ht="24" customHeight="1">
      <c r="A1589" s="2" t="s">
        <v>802</v>
      </c>
      <c r="B1589" s="2" t="s">
        <v>474</v>
      </c>
      <c r="C1589" s="2">
        <v>2</v>
      </c>
      <c r="D1589" s="2" t="s">
        <v>593</v>
      </c>
      <c r="E1589" s="33">
        <v>3</v>
      </c>
      <c r="F1589" s="33"/>
      <c r="G1589" s="522"/>
      <c r="H1589" s="707"/>
      <c r="I1589" s="707">
        <f t="shared" si="48"/>
        <v>0</v>
      </c>
      <c r="J1589" s="707">
        <f t="shared" si="49"/>
        <v>0</v>
      </c>
      <c r="K1589" s="70"/>
    </row>
    <row r="1590" spans="1:11" ht="24" customHeight="1">
      <c r="A1590" s="2" t="s">
        <v>1803</v>
      </c>
      <c r="B1590" s="2" t="s">
        <v>474</v>
      </c>
      <c r="C1590" s="2">
        <v>4</v>
      </c>
      <c r="D1590" s="2" t="s">
        <v>1785</v>
      </c>
      <c r="E1590" s="33">
        <v>1</v>
      </c>
      <c r="F1590" s="33"/>
      <c r="G1590" s="522"/>
      <c r="H1590" s="707"/>
      <c r="I1590" s="707">
        <f t="shared" si="48"/>
        <v>0</v>
      </c>
      <c r="J1590" s="707">
        <f t="shared" si="49"/>
        <v>0</v>
      </c>
      <c r="K1590" s="70"/>
    </row>
    <row r="1591" spans="1:11" ht="24" customHeight="1">
      <c r="A1591" s="33" t="s">
        <v>2166</v>
      </c>
      <c r="B1591" s="33" t="s">
        <v>2167</v>
      </c>
      <c r="C1591" s="33">
        <v>2</v>
      </c>
      <c r="D1591" s="33" t="s">
        <v>2111</v>
      </c>
      <c r="E1591" s="33">
        <v>2</v>
      </c>
      <c r="F1591" s="33"/>
      <c r="G1591" s="522"/>
      <c r="H1591" s="707">
        <v>550</v>
      </c>
      <c r="I1591" s="707">
        <f t="shared" si="48"/>
        <v>632.5</v>
      </c>
      <c r="J1591" s="707">
        <f t="shared" si="49"/>
        <v>715</v>
      </c>
      <c r="K1591" s="70"/>
    </row>
    <row r="1592" spans="1:11" ht="24" customHeight="1">
      <c r="A1592" s="33" t="s">
        <v>530</v>
      </c>
      <c r="B1592" s="33" t="s">
        <v>23</v>
      </c>
      <c r="C1592" s="33">
        <v>4</v>
      </c>
      <c r="D1592" s="2" t="s">
        <v>274</v>
      </c>
      <c r="E1592" s="33">
        <v>3</v>
      </c>
      <c r="F1592" s="33"/>
      <c r="G1592" s="522"/>
      <c r="H1592" s="707">
        <v>5</v>
      </c>
      <c r="I1592" s="707">
        <f t="shared" si="48"/>
        <v>5.75</v>
      </c>
      <c r="J1592" s="707">
        <f t="shared" si="49"/>
        <v>6.5</v>
      </c>
      <c r="K1592" s="70"/>
    </row>
    <row r="1593" spans="1:11" ht="24" customHeight="1">
      <c r="A1593" s="33" t="s">
        <v>1939</v>
      </c>
      <c r="B1593" s="33" t="s">
        <v>1940</v>
      </c>
      <c r="C1593" s="33">
        <v>1</v>
      </c>
      <c r="D1593" s="33" t="s">
        <v>1938</v>
      </c>
      <c r="E1593" s="33">
        <v>1</v>
      </c>
      <c r="F1593" s="33"/>
      <c r="G1593" s="522"/>
      <c r="H1593" s="707"/>
      <c r="I1593" s="707">
        <f t="shared" si="48"/>
        <v>0</v>
      </c>
      <c r="J1593" s="707">
        <f t="shared" si="49"/>
        <v>0</v>
      </c>
      <c r="K1593" s="70"/>
    </row>
    <row r="1594" spans="1:11" ht="24" customHeight="1">
      <c r="A1594" s="33" t="s">
        <v>2210</v>
      </c>
      <c r="B1594" s="33" t="s">
        <v>21</v>
      </c>
      <c r="C1594" s="33">
        <v>1</v>
      </c>
      <c r="D1594" s="33" t="s">
        <v>2191</v>
      </c>
      <c r="E1594" s="33">
        <v>4</v>
      </c>
      <c r="F1594" s="33"/>
      <c r="G1594" s="522"/>
      <c r="H1594" s="707">
        <v>75</v>
      </c>
      <c r="I1594" s="707">
        <f t="shared" si="48"/>
        <v>86.25</v>
      </c>
      <c r="J1594" s="707">
        <f t="shared" si="49"/>
        <v>97.5</v>
      </c>
      <c r="K1594" s="70"/>
    </row>
    <row r="1595" spans="1:11" ht="24" customHeight="1">
      <c r="A1595" s="33" t="s">
        <v>1355</v>
      </c>
      <c r="B1595" s="33" t="s">
        <v>1356</v>
      </c>
      <c r="C1595" s="33">
        <v>2</v>
      </c>
      <c r="D1595" s="33" t="s">
        <v>1325</v>
      </c>
      <c r="E1595" s="33">
        <v>2</v>
      </c>
      <c r="F1595" s="33"/>
      <c r="G1595" s="522"/>
      <c r="H1595" s="707"/>
      <c r="I1595" s="707">
        <f t="shared" si="48"/>
        <v>0</v>
      </c>
      <c r="J1595" s="707">
        <f t="shared" si="49"/>
        <v>0</v>
      </c>
      <c r="K1595" s="70"/>
    </row>
    <row r="1596" spans="1:11" ht="24" customHeight="1">
      <c r="A1596" s="33" t="s">
        <v>3410</v>
      </c>
      <c r="B1596" s="33" t="s">
        <v>389</v>
      </c>
      <c r="C1596" s="33">
        <v>1</v>
      </c>
      <c r="D1596" s="33" t="s">
        <v>3348</v>
      </c>
      <c r="E1596" s="33">
        <v>4</v>
      </c>
      <c r="F1596" s="33"/>
      <c r="G1596" s="522"/>
      <c r="H1596" s="707"/>
      <c r="I1596" s="707">
        <f t="shared" si="48"/>
        <v>0</v>
      </c>
      <c r="J1596" s="707">
        <f t="shared" si="49"/>
        <v>0</v>
      </c>
      <c r="K1596" s="70"/>
    </row>
    <row r="1597" spans="1:11" ht="24" customHeight="1">
      <c r="A1597" s="2" t="s">
        <v>3703</v>
      </c>
      <c r="B1597" s="2" t="s">
        <v>201</v>
      </c>
      <c r="C1597" s="2">
        <v>1</v>
      </c>
      <c r="D1597" s="2" t="s">
        <v>3671</v>
      </c>
      <c r="E1597" s="33">
        <v>2</v>
      </c>
      <c r="F1597" s="33"/>
      <c r="G1597" s="522"/>
      <c r="H1597" s="707"/>
      <c r="I1597" s="707">
        <f t="shared" si="48"/>
        <v>0</v>
      </c>
      <c r="J1597" s="707">
        <f t="shared" si="49"/>
        <v>0</v>
      </c>
      <c r="K1597" s="55"/>
    </row>
    <row r="1598" spans="1:11" ht="24" customHeight="1">
      <c r="A1598" s="2" t="s">
        <v>3703</v>
      </c>
      <c r="B1598" s="2" t="s">
        <v>201</v>
      </c>
      <c r="C1598" s="2">
        <v>1</v>
      </c>
      <c r="D1598" s="2" t="s">
        <v>3705</v>
      </c>
      <c r="E1598" s="33">
        <v>2</v>
      </c>
      <c r="F1598" s="33"/>
      <c r="G1598" s="522"/>
      <c r="H1598" s="707"/>
      <c r="I1598" s="707">
        <f t="shared" si="48"/>
        <v>0</v>
      </c>
      <c r="J1598" s="707">
        <f t="shared" si="49"/>
        <v>0</v>
      </c>
      <c r="K1598" s="55"/>
    </row>
    <row r="1599" spans="1:11" ht="24" customHeight="1">
      <c r="A1599" s="2" t="s">
        <v>3710</v>
      </c>
      <c r="B1599" s="2" t="s">
        <v>201</v>
      </c>
      <c r="C1599" s="2">
        <v>1</v>
      </c>
      <c r="D1599" s="2" t="s">
        <v>3705</v>
      </c>
      <c r="E1599" s="33">
        <v>2</v>
      </c>
      <c r="F1599" s="33"/>
      <c r="G1599" s="522"/>
      <c r="H1599" s="707"/>
      <c r="I1599" s="707">
        <f t="shared" si="48"/>
        <v>0</v>
      </c>
      <c r="J1599" s="707">
        <f t="shared" si="49"/>
        <v>0</v>
      </c>
      <c r="K1599" s="55"/>
    </row>
    <row r="1600" spans="1:11" ht="24" customHeight="1">
      <c r="A1600" s="2" t="s">
        <v>800</v>
      </c>
      <c r="B1600" s="2" t="s">
        <v>19</v>
      </c>
      <c r="C1600" s="2">
        <v>1</v>
      </c>
      <c r="D1600" s="2" t="s">
        <v>593</v>
      </c>
      <c r="E1600" s="33">
        <v>3</v>
      </c>
      <c r="F1600" s="33"/>
      <c r="G1600" s="522"/>
      <c r="H1600" s="707"/>
      <c r="I1600" s="707">
        <f t="shared" si="48"/>
        <v>0</v>
      </c>
      <c r="J1600" s="707">
        <f t="shared" si="49"/>
        <v>0</v>
      </c>
      <c r="K1600" s="70"/>
    </row>
    <row r="1601" spans="1:11" ht="24" customHeight="1">
      <c r="A1601" s="33" t="s">
        <v>255</v>
      </c>
      <c r="B1601" s="33" t="s">
        <v>256</v>
      </c>
      <c r="C1601" s="33">
        <v>15</v>
      </c>
      <c r="D1601" s="2" t="s">
        <v>188</v>
      </c>
      <c r="E1601" s="33">
        <v>5</v>
      </c>
      <c r="F1601" s="33"/>
      <c r="G1601" s="522"/>
      <c r="H1601" s="707">
        <v>50</v>
      </c>
      <c r="I1601" s="707">
        <f t="shared" si="48"/>
        <v>57.499999999999993</v>
      </c>
      <c r="J1601" s="707">
        <f t="shared" si="49"/>
        <v>65</v>
      </c>
      <c r="K1601" s="70"/>
    </row>
    <row r="1602" spans="1:11" ht="24" customHeight="1">
      <c r="A1602" s="33" t="s">
        <v>2172</v>
      </c>
      <c r="B1602" s="33" t="s">
        <v>83</v>
      </c>
      <c r="C1602" s="33">
        <v>1</v>
      </c>
      <c r="D1602" s="33" t="s">
        <v>2111</v>
      </c>
      <c r="E1602" s="33">
        <v>2</v>
      </c>
      <c r="F1602" s="33"/>
      <c r="G1602" s="522"/>
      <c r="H1602" s="707"/>
      <c r="I1602" s="707">
        <f t="shared" ref="I1602:I1665" si="50">H1602 * 1.15</f>
        <v>0</v>
      </c>
      <c r="J1602" s="707">
        <f t="shared" ref="J1602:J1665" si="51">H1602 * 1.3</f>
        <v>0</v>
      </c>
      <c r="K1602" s="70"/>
    </row>
    <row r="1603" spans="1:11" ht="24" customHeight="1">
      <c r="A1603" s="74" t="s">
        <v>2241</v>
      </c>
      <c r="B1603" s="74" t="s">
        <v>83</v>
      </c>
      <c r="C1603" s="74">
        <v>10</v>
      </c>
      <c r="D1603" s="33" t="s">
        <v>2191</v>
      </c>
      <c r="E1603" s="33">
        <v>5</v>
      </c>
      <c r="F1603" s="33"/>
      <c r="G1603" s="522"/>
      <c r="H1603" s="707">
        <v>5</v>
      </c>
      <c r="I1603" s="707">
        <f t="shared" si="50"/>
        <v>5.75</v>
      </c>
      <c r="J1603" s="707">
        <f t="shared" si="51"/>
        <v>6.5</v>
      </c>
      <c r="K1603" s="70"/>
    </row>
    <row r="1604" spans="1:11" ht="24" customHeight="1">
      <c r="A1604" s="33" t="s">
        <v>2967</v>
      </c>
      <c r="B1604" s="33" t="s">
        <v>81</v>
      </c>
      <c r="C1604" s="33">
        <v>3</v>
      </c>
      <c r="D1604" s="71" t="s">
        <v>2947</v>
      </c>
      <c r="E1604" s="33">
        <v>4</v>
      </c>
      <c r="F1604" s="33"/>
      <c r="G1604" s="522"/>
      <c r="H1604" s="707"/>
      <c r="I1604" s="707">
        <f t="shared" si="50"/>
        <v>0</v>
      </c>
      <c r="J1604" s="707">
        <f t="shared" si="51"/>
        <v>0</v>
      </c>
      <c r="K1604" s="70" t="s">
        <v>51</v>
      </c>
    </row>
    <row r="1605" spans="1:11" ht="24" customHeight="1">
      <c r="A1605" s="33" t="s">
        <v>1597</v>
      </c>
      <c r="B1605" s="33" t="s">
        <v>10</v>
      </c>
      <c r="C1605" s="33">
        <v>8</v>
      </c>
      <c r="D1605" s="33" t="s">
        <v>1548</v>
      </c>
      <c r="E1605" s="33">
        <v>3</v>
      </c>
      <c r="F1605" s="33"/>
      <c r="G1605" s="522"/>
      <c r="H1605" s="707"/>
      <c r="I1605" s="707">
        <f t="shared" si="50"/>
        <v>0</v>
      </c>
      <c r="J1605" s="707">
        <f t="shared" si="51"/>
        <v>0</v>
      </c>
      <c r="K1605" s="70"/>
    </row>
    <row r="1606" spans="1:11" ht="24" customHeight="1">
      <c r="A1606" s="11" t="s">
        <v>3456</v>
      </c>
      <c r="B1606" s="11" t="s">
        <v>3457</v>
      </c>
      <c r="C1606" s="11">
        <v>3</v>
      </c>
      <c r="D1606" s="131" t="s">
        <v>3451</v>
      </c>
      <c r="E1606" s="15">
        <v>2</v>
      </c>
      <c r="F1606" s="15"/>
      <c r="G1606" s="684"/>
      <c r="H1606" s="707"/>
      <c r="I1606" s="707">
        <f t="shared" si="50"/>
        <v>0</v>
      </c>
      <c r="J1606" s="707">
        <f t="shared" si="51"/>
        <v>0</v>
      </c>
      <c r="K1606" s="70"/>
    </row>
    <row r="1607" spans="1:11" ht="24" customHeight="1">
      <c r="A1607" s="78" t="s">
        <v>2419</v>
      </c>
      <c r="B1607" s="74" t="s">
        <v>25</v>
      </c>
      <c r="C1607" s="74">
        <v>2</v>
      </c>
      <c r="D1607" s="33" t="s">
        <v>2363</v>
      </c>
      <c r="E1607" s="33">
        <v>5</v>
      </c>
      <c r="F1607" s="33"/>
      <c r="G1607" s="522"/>
      <c r="H1607" s="707"/>
      <c r="I1607" s="707">
        <f t="shared" si="50"/>
        <v>0</v>
      </c>
      <c r="J1607" s="707">
        <f t="shared" si="51"/>
        <v>0</v>
      </c>
      <c r="K1607" s="70"/>
    </row>
    <row r="1608" spans="1:11" ht="24" customHeight="1">
      <c r="A1608" s="59" t="s">
        <v>2992</v>
      </c>
      <c r="B1608" s="59" t="s">
        <v>207</v>
      </c>
      <c r="C1608" s="59">
        <v>1</v>
      </c>
      <c r="D1608" s="71" t="s">
        <v>2947</v>
      </c>
      <c r="E1608" s="354">
        <v>5</v>
      </c>
      <c r="F1608" s="354"/>
      <c r="G1608" s="688"/>
      <c r="H1608" s="707"/>
      <c r="I1608" s="707">
        <f t="shared" si="50"/>
        <v>0</v>
      </c>
      <c r="J1608" s="707">
        <f t="shared" si="51"/>
        <v>0</v>
      </c>
      <c r="K1608" s="70"/>
    </row>
    <row r="1609" spans="1:11" ht="24" customHeight="1">
      <c r="A1609" s="3" t="s">
        <v>3231</v>
      </c>
      <c r="B1609" s="59" t="s">
        <v>3232</v>
      </c>
      <c r="C1609" s="59">
        <v>1</v>
      </c>
      <c r="D1609" s="33" t="s">
        <v>3053</v>
      </c>
      <c r="E1609" s="354">
        <v>5</v>
      </c>
      <c r="F1609" s="354"/>
      <c r="G1609" s="688"/>
      <c r="H1609" s="707"/>
      <c r="I1609" s="707">
        <f t="shared" si="50"/>
        <v>0</v>
      </c>
      <c r="J1609" s="707">
        <f t="shared" si="51"/>
        <v>0</v>
      </c>
      <c r="K1609" s="70"/>
    </row>
    <row r="1610" spans="1:11" ht="24" customHeight="1">
      <c r="A1610" s="17" t="s">
        <v>2879</v>
      </c>
      <c r="B1610" s="10" t="s">
        <v>2880</v>
      </c>
      <c r="C1610" s="17">
        <v>14</v>
      </c>
      <c r="D1610" s="131" t="s">
        <v>2868</v>
      </c>
      <c r="E1610" s="15">
        <v>5</v>
      </c>
      <c r="F1610" s="15"/>
      <c r="G1610" s="684"/>
      <c r="H1610" s="707"/>
      <c r="I1610" s="707">
        <f t="shared" si="50"/>
        <v>0</v>
      </c>
      <c r="J1610" s="707">
        <f t="shared" si="51"/>
        <v>0</v>
      </c>
      <c r="K1610" s="70"/>
    </row>
    <row r="1611" spans="1:11" ht="24" customHeight="1">
      <c r="A1611" s="2" t="s">
        <v>3519</v>
      </c>
      <c r="B1611" s="2" t="s">
        <v>10</v>
      </c>
      <c r="C1611" s="2">
        <v>8</v>
      </c>
      <c r="D1611" s="2" t="s">
        <v>3553</v>
      </c>
      <c r="E1611" s="33">
        <v>2</v>
      </c>
      <c r="F1611" s="33"/>
      <c r="G1611" s="522"/>
      <c r="H1611" s="707"/>
      <c r="I1611" s="707">
        <f t="shared" si="50"/>
        <v>0</v>
      </c>
      <c r="J1611" s="707">
        <f t="shared" si="51"/>
        <v>0</v>
      </c>
      <c r="K1611" s="55"/>
    </row>
    <row r="1612" spans="1:11" ht="24" customHeight="1">
      <c r="A1612" s="74" t="s">
        <v>2413</v>
      </c>
      <c r="B1612" s="74" t="s">
        <v>10</v>
      </c>
      <c r="C1612" s="74">
        <v>1</v>
      </c>
      <c r="D1612" s="33" t="s">
        <v>2363</v>
      </c>
      <c r="E1612" s="33">
        <v>5</v>
      </c>
      <c r="F1612" s="33"/>
      <c r="G1612" s="522"/>
      <c r="H1612" s="707">
        <v>70</v>
      </c>
      <c r="I1612" s="707">
        <f t="shared" si="50"/>
        <v>80.5</v>
      </c>
      <c r="J1612" s="707">
        <f t="shared" si="51"/>
        <v>91</v>
      </c>
      <c r="K1612" s="70"/>
    </row>
    <row r="1613" spans="1:11" ht="24" customHeight="1">
      <c r="A1613" s="33" t="s">
        <v>2413</v>
      </c>
      <c r="B1613" s="71" t="s">
        <v>10</v>
      </c>
      <c r="C1613" s="71">
        <v>190</v>
      </c>
      <c r="D1613" s="33" t="s">
        <v>3053</v>
      </c>
      <c r="E1613" s="71">
        <v>4</v>
      </c>
      <c r="F1613" s="71"/>
      <c r="G1613" s="686"/>
      <c r="H1613" s="707">
        <v>70</v>
      </c>
      <c r="I1613" s="707">
        <f t="shared" si="50"/>
        <v>80.5</v>
      </c>
      <c r="J1613" s="707">
        <f t="shared" si="51"/>
        <v>91</v>
      </c>
      <c r="K1613" s="70"/>
    </row>
    <row r="1614" spans="1:11" ht="24" customHeight="1">
      <c r="A1614" s="33" t="s">
        <v>1459</v>
      </c>
      <c r="B1614" s="33" t="s">
        <v>10</v>
      </c>
      <c r="C1614" s="33">
        <v>2</v>
      </c>
      <c r="D1614" s="33" t="s">
        <v>1372</v>
      </c>
      <c r="E1614" s="33">
        <v>5</v>
      </c>
      <c r="F1614" s="33"/>
      <c r="G1614" s="522"/>
      <c r="H1614" s="707"/>
      <c r="I1614" s="707">
        <f t="shared" si="50"/>
        <v>0</v>
      </c>
      <c r="J1614" s="707">
        <f t="shared" si="51"/>
        <v>0</v>
      </c>
      <c r="K1614" s="70"/>
    </row>
    <row r="1615" spans="1:11" ht="24" customHeight="1">
      <c r="A1615" s="33" t="s">
        <v>239</v>
      </c>
      <c r="B1615" s="33" t="s">
        <v>10</v>
      </c>
      <c r="C1615" s="33">
        <v>5</v>
      </c>
      <c r="D1615" s="2" t="s">
        <v>188</v>
      </c>
      <c r="E1615" s="33">
        <v>5</v>
      </c>
      <c r="F1615" s="33"/>
      <c r="G1615" s="522"/>
      <c r="H1615" s="707">
        <v>45</v>
      </c>
      <c r="I1615" s="707">
        <f t="shared" si="50"/>
        <v>51.749999999999993</v>
      </c>
      <c r="J1615" s="707">
        <f t="shared" si="51"/>
        <v>58.5</v>
      </c>
      <c r="K1615" s="70"/>
    </row>
    <row r="1616" spans="1:11" ht="24" customHeight="1">
      <c r="A1616" s="33" t="s">
        <v>239</v>
      </c>
      <c r="B1616" s="33" t="s">
        <v>10</v>
      </c>
      <c r="C1616" s="33">
        <v>4</v>
      </c>
      <c r="D1616" s="2" t="s">
        <v>274</v>
      </c>
      <c r="E1616" s="33">
        <v>3</v>
      </c>
      <c r="F1616" s="33"/>
      <c r="G1616" s="522"/>
      <c r="H1616" s="707">
        <v>45</v>
      </c>
      <c r="I1616" s="707">
        <f t="shared" si="50"/>
        <v>51.749999999999993</v>
      </c>
      <c r="J1616" s="707">
        <f t="shared" si="51"/>
        <v>58.5</v>
      </c>
      <c r="K1616" s="70"/>
    </row>
    <row r="1617" spans="1:11" ht="24" customHeight="1">
      <c r="A1617" s="2" t="s">
        <v>1838</v>
      </c>
      <c r="B1617" s="2" t="s">
        <v>50</v>
      </c>
      <c r="C1617" s="2">
        <v>1</v>
      </c>
      <c r="D1617" s="2" t="s">
        <v>1785</v>
      </c>
      <c r="E1617" s="33">
        <v>2</v>
      </c>
      <c r="F1617" s="33"/>
      <c r="G1617" s="522"/>
      <c r="H1617" s="707">
        <v>25</v>
      </c>
      <c r="I1617" s="707">
        <f t="shared" si="50"/>
        <v>28.749999999999996</v>
      </c>
      <c r="J1617" s="707">
        <f t="shared" si="51"/>
        <v>32.5</v>
      </c>
      <c r="K1617" s="70"/>
    </row>
    <row r="1618" spans="1:11" ht="24" customHeight="1">
      <c r="A1618" s="74" t="s">
        <v>1838</v>
      </c>
      <c r="B1618" s="74" t="s">
        <v>10</v>
      </c>
      <c r="C1618" s="74">
        <v>1</v>
      </c>
      <c r="D1618" s="33" t="s">
        <v>2504</v>
      </c>
      <c r="E1618" s="33">
        <v>5</v>
      </c>
      <c r="F1618" s="33"/>
      <c r="G1618" s="522"/>
      <c r="H1618" s="707"/>
      <c r="I1618" s="707">
        <f t="shared" si="50"/>
        <v>0</v>
      </c>
      <c r="J1618" s="707">
        <f t="shared" si="51"/>
        <v>0</v>
      </c>
      <c r="K1618" s="70"/>
    </row>
    <row r="1619" spans="1:11" ht="24" customHeight="1">
      <c r="A1619" s="33" t="s">
        <v>238</v>
      </c>
      <c r="B1619" s="33" t="s">
        <v>10</v>
      </c>
      <c r="C1619" s="33">
        <v>6</v>
      </c>
      <c r="D1619" s="2" t="s">
        <v>188</v>
      </c>
      <c r="E1619" s="33">
        <v>5</v>
      </c>
      <c r="F1619" s="33"/>
      <c r="G1619" s="522"/>
      <c r="H1619" s="707">
        <v>60</v>
      </c>
      <c r="I1619" s="707">
        <f t="shared" si="50"/>
        <v>69</v>
      </c>
      <c r="J1619" s="707">
        <f t="shared" si="51"/>
        <v>78</v>
      </c>
      <c r="K1619" s="70"/>
    </row>
    <row r="1620" spans="1:11" ht="24" customHeight="1">
      <c r="A1620" s="33" t="s">
        <v>238</v>
      </c>
      <c r="B1620" s="33" t="s">
        <v>10</v>
      </c>
      <c r="C1620" s="33">
        <v>9</v>
      </c>
      <c r="D1620" s="2" t="s">
        <v>274</v>
      </c>
      <c r="E1620" s="33">
        <v>3</v>
      </c>
      <c r="F1620" s="33"/>
      <c r="G1620" s="522"/>
      <c r="H1620" s="707"/>
      <c r="I1620" s="707">
        <f t="shared" si="50"/>
        <v>0</v>
      </c>
      <c r="J1620" s="707">
        <f t="shared" si="51"/>
        <v>0</v>
      </c>
      <c r="K1620" s="70"/>
    </row>
    <row r="1621" spans="1:11" ht="24" customHeight="1">
      <c r="A1621" s="2" t="s">
        <v>238</v>
      </c>
      <c r="B1621" s="33" t="s">
        <v>10</v>
      </c>
      <c r="C1621" s="2">
        <v>10</v>
      </c>
      <c r="D1621" s="2" t="s">
        <v>3553</v>
      </c>
      <c r="E1621" s="33">
        <v>2</v>
      </c>
      <c r="F1621" s="33"/>
      <c r="G1621" s="522"/>
      <c r="H1621" s="707"/>
      <c r="I1621" s="707">
        <f t="shared" si="50"/>
        <v>0</v>
      </c>
      <c r="J1621" s="707">
        <f t="shared" si="51"/>
        <v>0</v>
      </c>
      <c r="K1621" s="55"/>
    </row>
    <row r="1622" spans="1:11" ht="24" customHeight="1">
      <c r="A1622" s="33" t="s">
        <v>2297</v>
      </c>
      <c r="B1622" s="33" t="s">
        <v>2298</v>
      </c>
      <c r="C1622" s="33">
        <v>1</v>
      </c>
      <c r="D1622" s="33" t="s">
        <v>2276</v>
      </c>
      <c r="E1622" s="33">
        <v>1</v>
      </c>
      <c r="F1622" s="33"/>
      <c r="G1622" s="522"/>
      <c r="H1622" s="707"/>
      <c r="I1622" s="707">
        <f t="shared" si="50"/>
        <v>0</v>
      </c>
      <c r="J1622" s="707">
        <f t="shared" si="51"/>
        <v>0</v>
      </c>
      <c r="K1622" s="70"/>
    </row>
    <row r="1623" spans="1:11" ht="24" customHeight="1">
      <c r="A1623" s="33" t="s">
        <v>2007</v>
      </c>
      <c r="B1623" s="33" t="s">
        <v>1423</v>
      </c>
      <c r="C1623" s="33">
        <v>1</v>
      </c>
      <c r="D1623" s="33" t="s">
        <v>1938</v>
      </c>
      <c r="E1623" s="33">
        <v>2</v>
      </c>
      <c r="F1623" s="33"/>
      <c r="G1623" s="522"/>
      <c r="H1623" s="707"/>
      <c r="I1623" s="707">
        <f t="shared" si="50"/>
        <v>0</v>
      </c>
      <c r="J1623" s="707">
        <f t="shared" si="51"/>
        <v>0</v>
      </c>
      <c r="K1623" s="70"/>
    </row>
    <row r="1624" spans="1:11" ht="24" customHeight="1">
      <c r="A1624" s="33" t="s">
        <v>547</v>
      </c>
      <c r="B1624" s="33" t="s">
        <v>548</v>
      </c>
      <c r="C1624" s="33">
        <v>92</v>
      </c>
      <c r="D1624" s="2" t="s">
        <v>536</v>
      </c>
      <c r="E1624" s="33">
        <v>4</v>
      </c>
      <c r="F1624" s="241" t="s">
        <v>7992</v>
      </c>
      <c r="G1624" s="241"/>
      <c r="H1624" s="707"/>
      <c r="I1624" s="707">
        <f t="shared" si="50"/>
        <v>0</v>
      </c>
      <c r="J1624" s="707">
        <f t="shared" si="51"/>
        <v>0</v>
      </c>
      <c r="K1624" s="70" t="s">
        <v>549</v>
      </c>
    </row>
    <row r="1625" spans="1:11" ht="24" customHeight="1">
      <c r="A1625" s="33" t="s">
        <v>550</v>
      </c>
      <c r="B1625" s="33" t="s">
        <v>548</v>
      </c>
      <c r="C1625" s="33">
        <v>15</v>
      </c>
      <c r="D1625" s="2" t="s">
        <v>536</v>
      </c>
      <c r="E1625" s="33">
        <v>4</v>
      </c>
      <c r="F1625" s="241" t="s">
        <v>7992</v>
      </c>
      <c r="G1625" s="241"/>
      <c r="H1625" s="707"/>
      <c r="I1625" s="707">
        <f t="shared" si="50"/>
        <v>0</v>
      </c>
      <c r="J1625" s="707">
        <f t="shared" si="51"/>
        <v>0</v>
      </c>
      <c r="K1625" s="70" t="s">
        <v>549</v>
      </c>
    </row>
    <row r="1626" spans="1:11" ht="24" customHeight="1">
      <c r="A1626" s="33" t="s">
        <v>531</v>
      </c>
      <c r="B1626" s="33" t="s">
        <v>529</v>
      </c>
      <c r="C1626" s="33">
        <v>1</v>
      </c>
      <c r="D1626" s="2" t="s">
        <v>274</v>
      </c>
      <c r="E1626" s="33">
        <v>3</v>
      </c>
      <c r="F1626" s="33"/>
      <c r="G1626" s="522"/>
      <c r="H1626" s="707">
        <v>85</v>
      </c>
      <c r="I1626" s="707">
        <f t="shared" si="50"/>
        <v>97.749999999999986</v>
      </c>
      <c r="J1626" s="707">
        <f t="shared" si="51"/>
        <v>110.5</v>
      </c>
      <c r="K1626" s="70"/>
    </row>
    <row r="1627" spans="1:11" ht="24" customHeight="1">
      <c r="A1627" s="33" t="s">
        <v>528</v>
      </c>
      <c r="B1627" s="33" t="s">
        <v>529</v>
      </c>
      <c r="C1627" s="33">
        <v>1</v>
      </c>
      <c r="D1627" s="2" t="s">
        <v>274</v>
      </c>
      <c r="E1627" s="33">
        <v>3</v>
      </c>
      <c r="F1627" s="33"/>
      <c r="G1627" s="522"/>
      <c r="H1627" s="707">
        <v>85</v>
      </c>
      <c r="I1627" s="707">
        <f t="shared" si="50"/>
        <v>97.749999999999986</v>
      </c>
      <c r="J1627" s="707">
        <f t="shared" si="51"/>
        <v>110.5</v>
      </c>
      <c r="K1627" s="70"/>
    </row>
    <row r="1628" spans="1:11" ht="24" customHeight="1">
      <c r="A1628" s="74" t="s">
        <v>1125</v>
      </c>
      <c r="B1628" s="74" t="s">
        <v>41</v>
      </c>
      <c r="C1628" s="74">
        <v>4</v>
      </c>
      <c r="D1628" s="33" t="s">
        <v>992</v>
      </c>
      <c r="E1628" s="33">
        <v>5</v>
      </c>
      <c r="F1628" s="33"/>
      <c r="G1628" s="522"/>
      <c r="H1628" s="707"/>
      <c r="I1628" s="707">
        <f t="shared" si="50"/>
        <v>0</v>
      </c>
      <c r="J1628" s="707">
        <f t="shared" si="51"/>
        <v>0</v>
      </c>
      <c r="K1628" s="70"/>
    </row>
    <row r="1629" spans="1:11" ht="24" customHeight="1">
      <c r="A1629" s="74" t="s">
        <v>1673</v>
      </c>
      <c r="B1629" s="74" t="s">
        <v>25</v>
      </c>
      <c r="C1629" s="74">
        <v>1615</v>
      </c>
      <c r="D1629" s="33" t="s">
        <v>1548</v>
      </c>
      <c r="E1629" s="33">
        <v>5</v>
      </c>
      <c r="F1629" s="33"/>
      <c r="G1629" s="522"/>
      <c r="H1629" s="707">
        <v>1</v>
      </c>
      <c r="I1629" s="707">
        <f t="shared" si="50"/>
        <v>1.1499999999999999</v>
      </c>
      <c r="J1629" s="707">
        <f t="shared" si="51"/>
        <v>1.3</v>
      </c>
      <c r="K1629" s="70"/>
    </row>
    <row r="1630" spans="1:11" ht="24" customHeight="1">
      <c r="A1630" s="11" t="s">
        <v>1673</v>
      </c>
      <c r="B1630" s="11" t="s">
        <v>25</v>
      </c>
      <c r="C1630" s="11">
        <v>1405</v>
      </c>
      <c r="D1630" s="131" t="s">
        <v>2716</v>
      </c>
      <c r="E1630" s="15">
        <v>3</v>
      </c>
      <c r="F1630" s="15"/>
      <c r="G1630" s="684"/>
      <c r="H1630" s="707">
        <v>1</v>
      </c>
      <c r="I1630" s="707">
        <f t="shared" si="50"/>
        <v>1.1499999999999999</v>
      </c>
      <c r="J1630" s="707">
        <f t="shared" si="51"/>
        <v>1.3</v>
      </c>
      <c r="K1630" s="70"/>
    </row>
    <row r="1631" spans="1:11" ht="24" customHeight="1">
      <c r="A1631" s="74" t="s">
        <v>2518</v>
      </c>
      <c r="B1631" s="74" t="s">
        <v>2519</v>
      </c>
      <c r="C1631" s="74">
        <v>1</v>
      </c>
      <c r="D1631" s="33" t="s">
        <v>2504</v>
      </c>
      <c r="E1631" s="33">
        <v>5</v>
      </c>
      <c r="F1631" s="33"/>
      <c r="G1631" s="522"/>
      <c r="H1631" s="707"/>
      <c r="I1631" s="707">
        <f t="shared" si="50"/>
        <v>0</v>
      </c>
      <c r="J1631" s="707">
        <f t="shared" si="51"/>
        <v>0</v>
      </c>
      <c r="K1631" s="70"/>
    </row>
    <row r="1632" spans="1:11" ht="24" customHeight="1">
      <c r="A1632" s="74" t="s">
        <v>2150</v>
      </c>
      <c r="B1632" s="74" t="s">
        <v>2151</v>
      </c>
      <c r="C1632" s="74">
        <v>1</v>
      </c>
      <c r="D1632" s="33" t="s">
        <v>2111</v>
      </c>
      <c r="E1632" s="33">
        <v>2</v>
      </c>
      <c r="F1632" s="33"/>
      <c r="G1632" s="522"/>
      <c r="H1632" s="707">
        <v>4000</v>
      </c>
      <c r="I1632" s="707">
        <f t="shared" si="50"/>
        <v>4600</v>
      </c>
      <c r="J1632" s="707">
        <f t="shared" si="51"/>
        <v>5200</v>
      </c>
      <c r="K1632" s="70"/>
    </row>
    <row r="1633" spans="1:11" ht="24" customHeight="1">
      <c r="A1633" s="2" t="s">
        <v>3725</v>
      </c>
      <c r="B1633" s="2" t="s">
        <v>83</v>
      </c>
      <c r="C1633" s="2">
        <v>1</v>
      </c>
      <c r="D1633" s="2" t="s">
        <v>3705</v>
      </c>
      <c r="E1633" s="33">
        <v>2</v>
      </c>
      <c r="F1633" s="33"/>
      <c r="G1633" s="522"/>
      <c r="H1633" s="707"/>
      <c r="I1633" s="707">
        <f t="shared" si="50"/>
        <v>0</v>
      </c>
      <c r="J1633" s="707">
        <f t="shared" si="51"/>
        <v>0</v>
      </c>
      <c r="K1633" s="55"/>
    </row>
    <row r="1634" spans="1:11" ht="24" customHeight="1">
      <c r="A1634" s="33" t="s">
        <v>3323</v>
      </c>
      <c r="B1634" s="33" t="s">
        <v>56</v>
      </c>
      <c r="C1634" s="33">
        <v>1</v>
      </c>
      <c r="D1634" s="33" t="s">
        <v>3279</v>
      </c>
      <c r="E1634" s="33">
        <v>4</v>
      </c>
      <c r="F1634" s="33"/>
      <c r="G1634" s="522"/>
      <c r="H1634" s="707"/>
      <c r="I1634" s="707">
        <f t="shared" si="50"/>
        <v>0</v>
      </c>
      <c r="J1634" s="707">
        <f t="shared" si="51"/>
        <v>0</v>
      </c>
      <c r="K1634" s="70"/>
    </row>
    <row r="1635" spans="1:11" ht="24" customHeight="1">
      <c r="A1635" s="2" t="s">
        <v>3736</v>
      </c>
      <c r="B1635" s="2" t="s">
        <v>83</v>
      </c>
      <c r="C1635" s="2">
        <v>1</v>
      </c>
      <c r="D1635" s="2" t="s">
        <v>3705</v>
      </c>
      <c r="E1635" s="33">
        <v>3</v>
      </c>
      <c r="F1635" s="33"/>
      <c r="G1635" s="522"/>
      <c r="H1635" s="707"/>
      <c r="I1635" s="707">
        <f t="shared" si="50"/>
        <v>0</v>
      </c>
      <c r="J1635" s="707">
        <f t="shared" si="51"/>
        <v>0</v>
      </c>
      <c r="K1635" s="55"/>
    </row>
    <row r="1636" spans="1:11" ht="24" customHeight="1">
      <c r="A1636" s="33" t="s">
        <v>2383</v>
      </c>
      <c r="B1636" s="33" t="s">
        <v>1916</v>
      </c>
      <c r="C1636" s="33">
        <v>20</v>
      </c>
      <c r="D1636" s="33" t="s">
        <v>2363</v>
      </c>
      <c r="E1636" s="33">
        <v>3</v>
      </c>
      <c r="F1636" s="33"/>
      <c r="G1636" s="522"/>
      <c r="H1636" s="707"/>
      <c r="I1636" s="707">
        <f t="shared" si="50"/>
        <v>0</v>
      </c>
      <c r="J1636" s="707">
        <f t="shared" si="51"/>
        <v>0</v>
      </c>
      <c r="K1636" s="70"/>
    </row>
    <row r="1637" spans="1:11" ht="24" customHeight="1">
      <c r="A1637" s="11" t="s">
        <v>3082</v>
      </c>
      <c r="B1637" s="34" t="s">
        <v>3083</v>
      </c>
      <c r="C1637" s="11">
        <v>7</v>
      </c>
      <c r="D1637" s="33" t="s">
        <v>3053</v>
      </c>
      <c r="E1637" s="17">
        <v>2</v>
      </c>
      <c r="F1637" s="17"/>
      <c r="G1637" s="687"/>
      <c r="H1637" s="707"/>
      <c r="I1637" s="707">
        <f t="shared" si="50"/>
        <v>0</v>
      </c>
      <c r="J1637" s="707">
        <f t="shared" si="51"/>
        <v>0</v>
      </c>
      <c r="K1637" s="70"/>
    </row>
    <row r="1638" spans="1:11" ht="24" customHeight="1">
      <c r="A1638" s="2" t="s">
        <v>3657</v>
      </c>
      <c r="B1638" s="2" t="s">
        <v>245</v>
      </c>
      <c r="C1638" s="2">
        <v>2</v>
      </c>
      <c r="D1638" s="2" t="s">
        <v>3636</v>
      </c>
      <c r="E1638" s="33">
        <v>2</v>
      </c>
      <c r="F1638" s="33"/>
      <c r="G1638" s="522"/>
      <c r="H1638" s="707"/>
      <c r="I1638" s="707">
        <f t="shared" si="50"/>
        <v>0</v>
      </c>
      <c r="J1638" s="707">
        <f t="shared" si="51"/>
        <v>0</v>
      </c>
      <c r="K1638" s="55"/>
    </row>
    <row r="1639" spans="1:11" ht="24" customHeight="1">
      <c r="A1639" s="33" t="s">
        <v>1023</v>
      </c>
      <c r="B1639" s="33" t="s">
        <v>34</v>
      </c>
      <c r="C1639" s="33">
        <v>1</v>
      </c>
      <c r="D1639" s="33" t="s">
        <v>992</v>
      </c>
      <c r="E1639" s="33">
        <v>3</v>
      </c>
      <c r="F1639" s="33"/>
      <c r="G1639" s="522"/>
      <c r="H1639" s="707"/>
      <c r="I1639" s="707">
        <f t="shared" si="50"/>
        <v>0</v>
      </c>
      <c r="J1639" s="707">
        <f t="shared" si="51"/>
        <v>0</v>
      </c>
      <c r="K1639" s="70"/>
    </row>
    <row r="1640" spans="1:11" ht="24" customHeight="1">
      <c r="A1640" s="33" t="s">
        <v>1023</v>
      </c>
      <c r="B1640" s="33" t="s">
        <v>1045</v>
      </c>
      <c r="C1640" s="33">
        <v>1</v>
      </c>
      <c r="D1640" s="33" t="s">
        <v>1494</v>
      </c>
      <c r="E1640" s="33">
        <v>2</v>
      </c>
      <c r="F1640" s="33"/>
      <c r="G1640" s="522"/>
      <c r="H1640" s="707"/>
      <c r="I1640" s="707">
        <f t="shared" si="50"/>
        <v>0</v>
      </c>
      <c r="J1640" s="707">
        <f t="shared" si="51"/>
        <v>0</v>
      </c>
      <c r="K1640" s="70"/>
    </row>
    <row r="1641" spans="1:11" ht="24" customHeight="1">
      <c r="A1641" s="17" t="s">
        <v>244</v>
      </c>
      <c r="B1641" s="17" t="s">
        <v>34</v>
      </c>
      <c r="C1641" s="2">
        <v>1</v>
      </c>
      <c r="D1641" s="131" t="s">
        <v>2882</v>
      </c>
      <c r="E1641" s="11">
        <v>2</v>
      </c>
      <c r="F1641" s="11"/>
      <c r="G1641" s="694"/>
      <c r="H1641" s="707"/>
      <c r="I1641" s="707">
        <f t="shared" si="50"/>
        <v>0</v>
      </c>
      <c r="J1641" s="707">
        <f t="shared" si="51"/>
        <v>0</v>
      </c>
      <c r="K1641" s="70"/>
    </row>
    <row r="1642" spans="1:11" ht="24" customHeight="1">
      <c r="A1642" s="33" t="s">
        <v>197</v>
      </c>
      <c r="B1642" s="2" t="s">
        <v>130</v>
      </c>
      <c r="C1642" s="2">
        <v>9</v>
      </c>
      <c r="D1642" s="2" t="s">
        <v>188</v>
      </c>
      <c r="E1642" s="33">
        <v>4</v>
      </c>
      <c r="F1642" s="33"/>
      <c r="G1642" s="522"/>
      <c r="H1642" s="707">
        <v>75</v>
      </c>
      <c r="I1642" s="707">
        <f t="shared" si="50"/>
        <v>86.25</v>
      </c>
      <c r="J1642" s="707">
        <f t="shared" si="51"/>
        <v>97.5</v>
      </c>
      <c r="K1642" s="70"/>
    </row>
    <row r="1643" spans="1:11" ht="24" customHeight="1">
      <c r="A1643" s="33" t="s">
        <v>197</v>
      </c>
      <c r="B1643" s="33" t="s">
        <v>245</v>
      </c>
      <c r="C1643" s="33">
        <v>10</v>
      </c>
      <c r="D1643" s="2" t="s">
        <v>1785</v>
      </c>
      <c r="E1643" s="33">
        <v>1</v>
      </c>
      <c r="F1643" s="33"/>
      <c r="G1643" s="522"/>
      <c r="H1643" s="707">
        <v>75</v>
      </c>
      <c r="I1643" s="707">
        <f t="shared" si="50"/>
        <v>86.25</v>
      </c>
      <c r="J1643" s="707">
        <f t="shared" si="51"/>
        <v>97.5</v>
      </c>
      <c r="K1643" s="70"/>
    </row>
    <row r="1644" spans="1:11" ht="24" customHeight="1">
      <c r="A1644" s="33" t="s">
        <v>228</v>
      </c>
      <c r="B1644" s="33" t="s">
        <v>227</v>
      </c>
      <c r="C1644" s="33">
        <v>1</v>
      </c>
      <c r="D1644" s="2" t="s">
        <v>188</v>
      </c>
      <c r="E1644" s="33">
        <v>4</v>
      </c>
      <c r="F1644" s="33"/>
      <c r="G1644" s="522"/>
      <c r="H1644" s="707"/>
      <c r="I1644" s="707">
        <f t="shared" si="50"/>
        <v>0</v>
      </c>
      <c r="J1644" s="707">
        <f t="shared" si="51"/>
        <v>0</v>
      </c>
      <c r="K1644" s="70"/>
    </row>
    <row r="1645" spans="1:11" ht="14.4">
      <c r="A1645" s="2" t="s">
        <v>3593</v>
      </c>
      <c r="B1645" s="2" t="s">
        <v>245</v>
      </c>
      <c r="C1645" s="2">
        <v>1</v>
      </c>
      <c r="D1645" s="33" t="s">
        <v>3568</v>
      </c>
      <c r="E1645" s="33">
        <v>2</v>
      </c>
      <c r="F1645" s="33"/>
      <c r="G1645" s="522"/>
      <c r="H1645" s="707"/>
      <c r="I1645" s="707">
        <f t="shared" si="50"/>
        <v>0</v>
      </c>
      <c r="J1645" s="707">
        <f t="shared" si="51"/>
        <v>0</v>
      </c>
      <c r="K1645" s="70"/>
    </row>
    <row r="1646" spans="1:11" ht="24" customHeight="1">
      <c r="A1646" s="2" t="s">
        <v>3593</v>
      </c>
      <c r="B1646" s="2" t="s">
        <v>245</v>
      </c>
      <c r="C1646" s="2">
        <v>1</v>
      </c>
      <c r="D1646" s="33" t="s">
        <v>3568</v>
      </c>
      <c r="E1646" s="33">
        <v>2</v>
      </c>
      <c r="F1646" s="33"/>
      <c r="G1646" s="522"/>
      <c r="H1646" s="707"/>
      <c r="I1646" s="707">
        <f t="shared" si="50"/>
        <v>0</v>
      </c>
      <c r="J1646" s="707">
        <f t="shared" si="51"/>
        <v>0</v>
      </c>
      <c r="K1646" s="70"/>
    </row>
    <row r="1647" spans="1:11" ht="24" customHeight="1">
      <c r="A1647" s="11" t="s">
        <v>3446</v>
      </c>
      <c r="B1647" s="11" t="s">
        <v>3442</v>
      </c>
      <c r="C1647" s="11">
        <v>1</v>
      </c>
      <c r="D1647" s="184" t="s">
        <v>3443</v>
      </c>
      <c r="E1647" s="96" t="s">
        <v>3444</v>
      </c>
      <c r="F1647" s="96"/>
      <c r="G1647" s="638"/>
      <c r="H1647" s="707"/>
      <c r="I1647" s="707">
        <f t="shared" si="50"/>
        <v>0</v>
      </c>
      <c r="J1647" s="707">
        <f t="shared" si="51"/>
        <v>0</v>
      </c>
      <c r="K1647" s="70"/>
    </row>
    <row r="1648" spans="1:11" ht="24" customHeight="1">
      <c r="A1648" s="11" t="s">
        <v>3441</v>
      </c>
      <c r="B1648" s="11" t="s">
        <v>3442</v>
      </c>
      <c r="C1648" s="11">
        <v>5</v>
      </c>
      <c r="D1648" s="184" t="s">
        <v>3443</v>
      </c>
      <c r="E1648" s="96" t="s">
        <v>3444</v>
      </c>
      <c r="F1648" s="96"/>
      <c r="G1648" s="638"/>
      <c r="H1648" s="707"/>
      <c r="I1648" s="707">
        <f t="shared" si="50"/>
        <v>0</v>
      </c>
      <c r="J1648" s="707">
        <f t="shared" si="51"/>
        <v>0</v>
      </c>
      <c r="K1648" s="70"/>
    </row>
    <row r="1649" spans="1:11" ht="24" customHeight="1">
      <c r="A1649" s="33" t="s">
        <v>2018</v>
      </c>
      <c r="B1649" s="33" t="s">
        <v>27</v>
      </c>
      <c r="C1649" s="33">
        <v>9</v>
      </c>
      <c r="D1649" s="33" t="s">
        <v>1938</v>
      </c>
      <c r="E1649" s="33">
        <v>2</v>
      </c>
      <c r="F1649" s="33"/>
      <c r="G1649" s="522"/>
      <c r="H1649" s="707"/>
      <c r="I1649" s="707">
        <f t="shared" si="50"/>
        <v>0</v>
      </c>
      <c r="J1649" s="707">
        <f t="shared" si="51"/>
        <v>0</v>
      </c>
      <c r="K1649" s="70"/>
    </row>
    <row r="1650" spans="1:11" ht="24" customHeight="1">
      <c r="A1650" s="33" t="s">
        <v>2018</v>
      </c>
      <c r="B1650" s="33" t="s">
        <v>27</v>
      </c>
      <c r="C1650" s="33">
        <v>68</v>
      </c>
      <c r="D1650" s="33" t="s">
        <v>3348</v>
      </c>
      <c r="E1650" s="33">
        <v>4</v>
      </c>
      <c r="F1650" s="33"/>
      <c r="G1650" s="522"/>
      <c r="H1650" s="707"/>
      <c r="I1650" s="707">
        <f t="shared" si="50"/>
        <v>0</v>
      </c>
      <c r="J1650" s="707">
        <f t="shared" si="51"/>
        <v>0</v>
      </c>
      <c r="K1650" s="70"/>
    </row>
    <row r="1651" spans="1:11" ht="24" customHeight="1">
      <c r="A1651" s="33" t="s">
        <v>1259</v>
      </c>
      <c r="B1651" s="33" t="s">
        <v>389</v>
      </c>
      <c r="C1651" s="33">
        <v>5</v>
      </c>
      <c r="D1651" s="33" t="s">
        <v>1201</v>
      </c>
      <c r="E1651" s="33">
        <v>4</v>
      </c>
      <c r="F1651" s="33"/>
      <c r="G1651" s="522"/>
      <c r="H1651" s="707">
        <v>40</v>
      </c>
      <c r="I1651" s="707">
        <f t="shared" si="50"/>
        <v>46</v>
      </c>
      <c r="J1651" s="707">
        <f t="shared" si="51"/>
        <v>52</v>
      </c>
      <c r="K1651" s="70"/>
    </row>
    <row r="1652" spans="1:11" ht="14.4">
      <c r="A1652" s="33" t="s">
        <v>1351</v>
      </c>
      <c r="B1652" s="33" t="s">
        <v>1352</v>
      </c>
      <c r="C1652" s="33">
        <v>147</v>
      </c>
      <c r="D1652" s="33" t="s">
        <v>1325</v>
      </c>
      <c r="E1652" s="33">
        <v>2</v>
      </c>
      <c r="F1652" s="33"/>
      <c r="G1652" s="522"/>
      <c r="H1652" s="707"/>
      <c r="I1652" s="707">
        <f t="shared" si="50"/>
        <v>0</v>
      </c>
      <c r="J1652" s="707">
        <f t="shared" si="51"/>
        <v>0</v>
      </c>
      <c r="K1652" s="70"/>
    </row>
    <row r="1653" spans="1:11" ht="24" customHeight="1">
      <c r="A1653" s="33" t="s">
        <v>1515</v>
      </c>
      <c r="B1653" s="33" t="s">
        <v>371</v>
      </c>
      <c r="C1653" s="33">
        <v>20</v>
      </c>
      <c r="D1653" s="33" t="s">
        <v>1494</v>
      </c>
      <c r="E1653" s="33">
        <v>1</v>
      </c>
      <c r="F1653" s="33"/>
      <c r="G1653" s="522"/>
      <c r="H1653" s="707"/>
      <c r="I1653" s="707">
        <f t="shared" si="50"/>
        <v>0</v>
      </c>
      <c r="J1653" s="707">
        <f t="shared" si="51"/>
        <v>0</v>
      </c>
      <c r="K1653" s="70"/>
    </row>
    <row r="1654" spans="1:11" ht="24" customHeight="1">
      <c r="A1654" s="384" t="s">
        <v>435</v>
      </c>
      <c r="B1654" s="2" t="s">
        <v>21</v>
      </c>
      <c r="C1654" s="2">
        <v>31</v>
      </c>
      <c r="D1654" s="2" t="s">
        <v>274</v>
      </c>
      <c r="E1654" s="33">
        <v>3</v>
      </c>
      <c r="F1654" s="33"/>
      <c r="G1654" s="522"/>
      <c r="H1654" s="707">
        <v>30</v>
      </c>
      <c r="I1654" s="707">
        <f t="shared" si="50"/>
        <v>34.5</v>
      </c>
      <c r="J1654" s="707">
        <f t="shared" si="51"/>
        <v>39</v>
      </c>
      <c r="K1654" s="70"/>
    </row>
    <row r="1655" spans="1:11" ht="24" customHeight="1">
      <c r="A1655" s="11" t="s">
        <v>2840</v>
      </c>
      <c r="B1655" s="11" t="s">
        <v>25</v>
      </c>
      <c r="C1655" s="11">
        <v>18</v>
      </c>
      <c r="D1655" s="131" t="s">
        <v>2802</v>
      </c>
      <c r="E1655" s="15">
        <v>3</v>
      </c>
      <c r="F1655" s="15"/>
      <c r="G1655" s="684"/>
      <c r="H1655" s="707">
        <v>1.5</v>
      </c>
      <c r="I1655" s="707">
        <f t="shared" si="50"/>
        <v>1.7249999999999999</v>
      </c>
      <c r="J1655" s="707">
        <f t="shared" si="51"/>
        <v>1.9500000000000002</v>
      </c>
      <c r="K1655" s="70"/>
    </row>
    <row r="1656" spans="1:11" ht="24" customHeight="1">
      <c r="A1656" s="74" t="s">
        <v>2448</v>
      </c>
      <c r="B1656" s="74" t="s">
        <v>25</v>
      </c>
      <c r="C1656" s="74">
        <v>12</v>
      </c>
      <c r="D1656" s="33" t="s">
        <v>2363</v>
      </c>
      <c r="E1656" s="33">
        <v>5</v>
      </c>
      <c r="F1656" s="33"/>
      <c r="G1656" s="522"/>
      <c r="H1656" s="707">
        <v>1.5</v>
      </c>
      <c r="I1656" s="707">
        <f t="shared" si="50"/>
        <v>1.7249999999999999</v>
      </c>
      <c r="J1656" s="707">
        <f t="shared" si="51"/>
        <v>1.9500000000000002</v>
      </c>
      <c r="K1656" s="70"/>
    </row>
    <row r="1657" spans="1:11" ht="24" customHeight="1">
      <c r="A1657" s="33" t="s">
        <v>702</v>
      </c>
      <c r="B1657" s="33" t="s">
        <v>34</v>
      </c>
      <c r="C1657" s="33">
        <v>8</v>
      </c>
      <c r="D1657" s="2" t="s">
        <v>593</v>
      </c>
      <c r="E1657" s="33">
        <v>2</v>
      </c>
      <c r="F1657" s="33"/>
      <c r="G1657" s="522"/>
      <c r="H1657" s="707"/>
      <c r="I1657" s="707">
        <f t="shared" si="50"/>
        <v>0</v>
      </c>
      <c r="J1657" s="707">
        <f t="shared" si="51"/>
        <v>0</v>
      </c>
      <c r="K1657" s="70"/>
    </row>
    <row r="1658" spans="1:11" ht="24" customHeight="1">
      <c r="A1658" s="33" t="s">
        <v>226</v>
      </c>
      <c r="B1658" s="33" t="s">
        <v>227</v>
      </c>
      <c r="C1658" s="33">
        <v>1</v>
      </c>
      <c r="D1658" s="2" t="s">
        <v>188</v>
      </c>
      <c r="E1658" s="33">
        <v>4</v>
      </c>
      <c r="F1658" s="33"/>
      <c r="G1658" s="522"/>
      <c r="H1658" s="707"/>
      <c r="I1658" s="707">
        <f t="shared" si="50"/>
        <v>0</v>
      </c>
      <c r="J1658" s="707">
        <f t="shared" si="51"/>
        <v>0</v>
      </c>
      <c r="K1658" s="70"/>
    </row>
    <row r="1659" spans="1:11" ht="24" customHeight="1">
      <c r="A1659" s="33" t="s">
        <v>129</v>
      </c>
      <c r="B1659" s="33" t="s">
        <v>130</v>
      </c>
      <c r="C1659" s="33">
        <v>1</v>
      </c>
      <c r="D1659" s="2" t="s">
        <v>11</v>
      </c>
      <c r="E1659" s="33">
        <v>2</v>
      </c>
      <c r="F1659" s="33"/>
      <c r="G1659" s="522"/>
      <c r="H1659" s="707">
        <v>50</v>
      </c>
      <c r="I1659" s="707">
        <f t="shared" si="50"/>
        <v>57.499999999999993</v>
      </c>
      <c r="J1659" s="707">
        <f t="shared" si="51"/>
        <v>65</v>
      </c>
      <c r="K1659" s="70"/>
    </row>
    <row r="1660" spans="1:11" ht="24" customHeight="1">
      <c r="A1660" s="33" t="s">
        <v>1284</v>
      </c>
      <c r="B1660" s="33" t="s">
        <v>1285</v>
      </c>
      <c r="C1660" s="33">
        <v>16</v>
      </c>
      <c r="D1660" s="33" t="s">
        <v>1201</v>
      </c>
      <c r="E1660" s="33">
        <v>4</v>
      </c>
      <c r="F1660" s="33"/>
      <c r="G1660" s="522"/>
      <c r="H1660" s="707"/>
      <c r="I1660" s="707">
        <f t="shared" si="50"/>
        <v>0</v>
      </c>
      <c r="J1660" s="707">
        <f t="shared" si="51"/>
        <v>0</v>
      </c>
      <c r="K1660" s="70"/>
    </row>
    <row r="1661" spans="1:11" ht="24" customHeight="1">
      <c r="A1661" s="74" t="s">
        <v>2098</v>
      </c>
      <c r="B1661" s="74" t="s">
        <v>137</v>
      </c>
      <c r="C1661" s="74">
        <v>11</v>
      </c>
      <c r="D1661" s="33" t="s">
        <v>2094</v>
      </c>
      <c r="E1661" s="33">
        <v>5</v>
      </c>
      <c r="F1661" s="33"/>
      <c r="G1661" s="522"/>
      <c r="H1661" s="707">
        <v>15</v>
      </c>
      <c r="I1661" s="707">
        <f t="shared" si="50"/>
        <v>17.25</v>
      </c>
      <c r="J1661" s="707">
        <f t="shared" si="51"/>
        <v>19.5</v>
      </c>
      <c r="K1661" s="70"/>
    </row>
    <row r="1662" spans="1:11" ht="24" customHeight="1">
      <c r="A1662" s="2" t="s">
        <v>714</v>
      </c>
      <c r="B1662" s="2" t="s">
        <v>715</v>
      </c>
      <c r="C1662" s="2">
        <v>2</v>
      </c>
      <c r="D1662" s="2" t="s">
        <v>593</v>
      </c>
      <c r="E1662" s="33">
        <v>3</v>
      </c>
      <c r="F1662" s="33"/>
      <c r="G1662" s="522"/>
      <c r="H1662" s="707"/>
      <c r="I1662" s="707">
        <f t="shared" si="50"/>
        <v>0</v>
      </c>
      <c r="J1662" s="707">
        <f t="shared" si="51"/>
        <v>0</v>
      </c>
      <c r="K1662" s="70"/>
    </row>
    <row r="1663" spans="1:11" ht="24" customHeight="1">
      <c r="A1663" s="74" t="s">
        <v>714</v>
      </c>
      <c r="B1663" s="74" t="s">
        <v>715</v>
      </c>
      <c r="C1663" s="74">
        <v>1</v>
      </c>
      <c r="D1663" s="33" t="s">
        <v>2363</v>
      </c>
      <c r="E1663" s="33">
        <v>5</v>
      </c>
      <c r="F1663" s="33"/>
      <c r="G1663" s="522"/>
      <c r="H1663" s="707"/>
      <c r="I1663" s="707">
        <f t="shared" si="50"/>
        <v>0</v>
      </c>
      <c r="J1663" s="707">
        <f t="shared" si="51"/>
        <v>0</v>
      </c>
      <c r="K1663" s="70"/>
    </row>
    <row r="1664" spans="1:11" ht="24" customHeight="1">
      <c r="A1664" s="11" t="s">
        <v>2915</v>
      </c>
      <c r="B1664" s="11" t="s">
        <v>509</v>
      </c>
      <c r="C1664" s="11">
        <v>101</v>
      </c>
      <c r="D1664" s="131" t="s">
        <v>2916</v>
      </c>
      <c r="E1664" s="15">
        <v>4</v>
      </c>
      <c r="F1664" s="15"/>
      <c r="G1664" s="684"/>
      <c r="H1664" s="707"/>
      <c r="I1664" s="707">
        <f t="shared" si="50"/>
        <v>0</v>
      </c>
      <c r="J1664" s="707">
        <f t="shared" si="51"/>
        <v>0</v>
      </c>
      <c r="K1664" s="70"/>
    </row>
    <row r="1665" spans="1:11" ht="24" customHeight="1">
      <c r="A1665" s="59" t="s">
        <v>2671</v>
      </c>
      <c r="B1665" s="59" t="s">
        <v>474</v>
      </c>
      <c r="C1665" s="59">
        <v>134</v>
      </c>
      <c r="D1665" s="33" t="s">
        <v>2624</v>
      </c>
      <c r="E1665" s="354">
        <v>5</v>
      </c>
      <c r="F1665" s="354"/>
      <c r="G1665" s="688"/>
      <c r="H1665" s="707">
        <v>50</v>
      </c>
      <c r="I1665" s="707">
        <f t="shared" si="50"/>
        <v>57.499999999999993</v>
      </c>
      <c r="J1665" s="707">
        <f t="shared" si="51"/>
        <v>65</v>
      </c>
      <c r="K1665" s="70"/>
    </row>
    <row r="1666" spans="1:11" ht="24" customHeight="1">
      <c r="A1666" s="11" t="s">
        <v>1757</v>
      </c>
      <c r="B1666" s="11" t="s">
        <v>1758</v>
      </c>
      <c r="C1666" s="11">
        <v>32</v>
      </c>
      <c r="D1666" s="131" t="s">
        <v>1723</v>
      </c>
      <c r="E1666" s="15">
        <v>2</v>
      </c>
      <c r="F1666" s="15"/>
      <c r="G1666" s="684"/>
      <c r="H1666" s="707"/>
      <c r="I1666" s="707">
        <f t="shared" ref="I1666:I1730" si="52">H1666 * 1.15</f>
        <v>0</v>
      </c>
      <c r="J1666" s="707">
        <f t="shared" ref="J1666:J1730" si="53">H1666 * 1.3</f>
        <v>0</v>
      </c>
      <c r="K1666" s="70"/>
    </row>
    <row r="1667" spans="1:11" ht="24" customHeight="1">
      <c r="A1667" s="17" t="s">
        <v>448</v>
      </c>
      <c r="B1667" s="17" t="s">
        <v>19</v>
      </c>
      <c r="C1667" s="17">
        <v>79</v>
      </c>
      <c r="D1667" s="58" t="s">
        <v>8196</v>
      </c>
      <c r="E1667" s="17">
        <v>2</v>
      </c>
      <c r="F1667" s="15"/>
      <c r="G1667" s="684"/>
      <c r="H1667" s="56"/>
      <c r="I1667" s="56">
        <f>H1667 * 1.15</f>
        <v>0</v>
      </c>
      <c r="J1667" s="56">
        <f>H1667 * 1.3</f>
        <v>0</v>
      </c>
      <c r="K1667" s="70"/>
    </row>
    <row r="1668" spans="1:11" ht="24" customHeight="1">
      <c r="A1668" s="33" t="s">
        <v>3361</v>
      </c>
      <c r="B1668" s="33" t="s">
        <v>2264</v>
      </c>
      <c r="C1668" s="33">
        <v>1</v>
      </c>
      <c r="D1668" s="33" t="s">
        <v>3348</v>
      </c>
      <c r="E1668" s="33">
        <v>3</v>
      </c>
      <c r="F1668" s="33"/>
      <c r="G1668" s="522"/>
      <c r="H1668" s="707"/>
      <c r="I1668" s="707">
        <f t="shared" si="52"/>
        <v>0</v>
      </c>
      <c r="J1668" s="707">
        <f t="shared" si="53"/>
        <v>0</v>
      </c>
      <c r="K1668" s="70"/>
    </row>
    <row r="1669" spans="1:11" ht="24" customHeight="1">
      <c r="A1669" s="33" t="s">
        <v>866</v>
      </c>
      <c r="B1669" s="33" t="s">
        <v>867</v>
      </c>
      <c r="C1669" s="33">
        <v>15</v>
      </c>
      <c r="D1669" s="2" t="s">
        <v>593</v>
      </c>
      <c r="E1669" s="33">
        <v>3</v>
      </c>
      <c r="F1669" s="33"/>
      <c r="G1669" s="522"/>
      <c r="H1669" s="707">
        <v>200</v>
      </c>
      <c r="I1669" s="707">
        <f t="shared" si="52"/>
        <v>229.99999999999997</v>
      </c>
      <c r="J1669" s="707">
        <f t="shared" si="53"/>
        <v>260</v>
      </c>
      <c r="K1669" s="70"/>
    </row>
    <row r="1670" spans="1:11" ht="24" customHeight="1">
      <c r="A1670" s="33" t="s">
        <v>2426</v>
      </c>
      <c r="B1670" s="33" t="s">
        <v>267</v>
      </c>
      <c r="C1670" s="33">
        <v>5</v>
      </c>
      <c r="D1670" s="33" t="s">
        <v>2363</v>
      </c>
      <c r="E1670" s="33">
        <v>5</v>
      </c>
      <c r="F1670" s="33"/>
      <c r="G1670" s="522"/>
      <c r="H1670" s="707"/>
      <c r="I1670" s="707">
        <f t="shared" si="52"/>
        <v>0</v>
      </c>
      <c r="J1670" s="707">
        <f t="shared" si="53"/>
        <v>0</v>
      </c>
      <c r="K1670" s="70"/>
    </row>
    <row r="1671" spans="1:11" ht="24" customHeight="1">
      <c r="A1671" s="33" t="s">
        <v>2168</v>
      </c>
      <c r="B1671" s="33" t="s">
        <v>2169</v>
      </c>
      <c r="C1671" s="33">
        <v>2</v>
      </c>
      <c r="D1671" s="33" t="s">
        <v>2111</v>
      </c>
      <c r="E1671" s="33">
        <v>2</v>
      </c>
      <c r="F1671" s="33"/>
      <c r="G1671" s="522"/>
      <c r="H1671" s="707"/>
      <c r="I1671" s="707">
        <f t="shared" si="52"/>
        <v>0</v>
      </c>
      <c r="J1671" s="707">
        <f t="shared" si="53"/>
        <v>0</v>
      </c>
      <c r="K1671" s="70"/>
    </row>
    <row r="1672" spans="1:11" ht="24" customHeight="1">
      <c r="A1672" s="3" t="s">
        <v>2938</v>
      </c>
      <c r="B1672" s="3" t="s">
        <v>2939</v>
      </c>
      <c r="C1672" s="3">
        <v>1</v>
      </c>
      <c r="D1672" s="15" t="s">
        <v>2918</v>
      </c>
      <c r="E1672" s="15">
        <v>1</v>
      </c>
      <c r="F1672" s="15"/>
      <c r="G1672" s="684"/>
      <c r="H1672" s="707"/>
      <c r="I1672" s="707">
        <f t="shared" si="52"/>
        <v>0</v>
      </c>
      <c r="J1672" s="707">
        <f t="shared" si="53"/>
        <v>0</v>
      </c>
      <c r="K1672" s="70"/>
    </row>
    <row r="1673" spans="1:11" ht="24" customHeight="1">
      <c r="A1673" s="33" t="s">
        <v>3327</v>
      </c>
      <c r="B1673" s="33" t="s">
        <v>1981</v>
      </c>
      <c r="C1673" s="33">
        <v>92</v>
      </c>
      <c r="D1673" s="33" t="s">
        <v>3279</v>
      </c>
      <c r="E1673" s="33">
        <v>4</v>
      </c>
      <c r="F1673" s="33"/>
      <c r="G1673" s="522"/>
      <c r="H1673" s="707"/>
      <c r="I1673" s="707">
        <f t="shared" si="52"/>
        <v>0</v>
      </c>
      <c r="J1673" s="707">
        <f t="shared" si="53"/>
        <v>0</v>
      </c>
      <c r="K1673" s="70"/>
    </row>
    <row r="1674" spans="1:11" ht="24" customHeight="1">
      <c r="A1674" s="33" t="s">
        <v>2193</v>
      </c>
      <c r="B1674" s="80" t="s">
        <v>1976</v>
      </c>
      <c r="C1674" s="33">
        <v>2</v>
      </c>
      <c r="D1674" s="33" t="s">
        <v>2191</v>
      </c>
      <c r="E1674" s="33">
        <v>3</v>
      </c>
      <c r="F1674" s="33"/>
      <c r="G1674" s="522"/>
      <c r="H1674" s="707"/>
      <c r="I1674" s="707">
        <f t="shared" si="52"/>
        <v>0</v>
      </c>
      <c r="J1674" s="707">
        <f t="shared" si="53"/>
        <v>0</v>
      </c>
      <c r="K1674" s="70"/>
    </row>
    <row r="1675" spans="1:11" ht="24" customHeight="1">
      <c r="A1675" s="33" t="s">
        <v>2964</v>
      </c>
      <c r="B1675" s="33" t="s">
        <v>56</v>
      </c>
      <c r="C1675" s="33">
        <v>4</v>
      </c>
      <c r="D1675" s="71" t="s">
        <v>2947</v>
      </c>
      <c r="E1675" s="33">
        <v>4</v>
      </c>
      <c r="F1675" s="33"/>
      <c r="G1675" s="522"/>
      <c r="H1675" s="707"/>
      <c r="I1675" s="707">
        <f t="shared" si="52"/>
        <v>0</v>
      </c>
      <c r="J1675" s="707">
        <f t="shared" si="53"/>
        <v>0</v>
      </c>
      <c r="K1675" s="70"/>
    </row>
    <row r="1676" spans="1:11" ht="24" customHeight="1">
      <c r="A1676" s="33" t="s">
        <v>2588</v>
      </c>
      <c r="B1676" s="33" t="s">
        <v>2589</v>
      </c>
      <c r="C1676" s="33">
        <v>1</v>
      </c>
      <c r="D1676" s="33" t="s">
        <v>2540</v>
      </c>
      <c r="E1676" s="33">
        <v>2</v>
      </c>
      <c r="F1676" s="33"/>
      <c r="G1676" s="522"/>
      <c r="H1676" s="707"/>
      <c r="I1676" s="707">
        <f t="shared" si="52"/>
        <v>0</v>
      </c>
      <c r="J1676" s="707">
        <f t="shared" si="53"/>
        <v>0</v>
      </c>
      <c r="K1676" s="70"/>
    </row>
    <row r="1677" spans="1:11" ht="24" customHeight="1">
      <c r="A1677" s="33" t="s">
        <v>1158</v>
      </c>
      <c r="B1677" s="33" t="s">
        <v>1039</v>
      </c>
      <c r="C1677" s="33">
        <v>1</v>
      </c>
      <c r="D1677" s="33" t="s">
        <v>1141</v>
      </c>
      <c r="E1677" s="33">
        <v>1</v>
      </c>
      <c r="F1677" s="33"/>
      <c r="G1677" s="522"/>
      <c r="H1677" s="707"/>
      <c r="I1677" s="707">
        <f t="shared" si="52"/>
        <v>0</v>
      </c>
      <c r="J1677" s="707">
        <f t="shared" si="53"/>
        <v>0</v>
      </c>
      <c r="K1677" s="70"/>
    </row>
    <row r="1678" spans="1:11" ht="24" customHeight="1">
      <c r="A1678" s="33" t="s">
        <v>1002</v>
      </c>
      <c r="B1678" s="33" t="s">
        <v>1003</v>
      </c>
      <c r="C1678" s="33">
        <v>5</v>
      </c>
      <c r="D1678" s="33" t="s">
        <v>992</v>
      </c>
      <c r="E1678" s="33">
        <v>3</v>
      </c>
      <c r="F1678" s="33"/>
      <c r="G1678" s="522"/>
      <c r="H1678" s="707"/>
      <c r="I1678" s="707">
        <f t="shared" si="52"/>
        <v>0</v>
      </c>
      <c r="J1678" s="707">
        <f t="shared" si="53"/>
        <v>0</v>
      </c>
      <c r="K1678" s="70"/>
    </row>
    <row r="1679" spans="1:11" ht="24" customHeight="1">
      <c r="A1679" s="59" t="s">
        <v>2974</v>
      </c>
      <c r="B1679" s="59" t="s">
        <v>538</v>
      </c>
      <c r="C1679" s="59">
        <v>15</v>
      </c>
      <c r="D1679" s="71" t="s">
        <v>2947</v>
      </c>
      <c r="E1679" s="354">
        <v>4</v>
      </c>
      <c r="F1679" s="354"/>
      <c r="G1679" s="688"/>
      <c r="H1679" s="707"/>
      <c r="I1679" s="707">
        <f t="shared" si="52"/>
        <v>0</v>
      </c>
      <c r="J1679" s="707">
        <f t="shared" si="53"/>
        <v>0</v>
      </c>
      <c r="K1679" s="70"/>
    </row>
    <row r="1680" spans="1:11" ht="24" customHeight="1">
      <c r="A1680" s="59" t="s">
        <v>2972</v>
      </c>
      <c r="B1680" s="59" t="s">
        <v>538</v>
      </c>
      <c r="C1680" s="59">
        <v>13</v>
      </c>
      <c r="D1680" s="71" t="s">
        <v>2947</v>
      </c>
      <c r="E1680" s="354">
        <v>4</v>
      </c>
      <c r="F1680" s="354"/>
      <c r="G1680" s="688"/>
      <c r="H1680" s="707"/>
      <c r="I1680" s="707">
        <f t="shared" si="52"/>
        <v>0</v>
      </c>
      <c r="J1680" s="707">
        <f t="shared" si="53"/>
        <v>0</v>
      </c>
      <c r="K1680" s="70"/>
    </row>
    <row r="1681" spans="1:11" ht="24" customHeight="1">
      <c r="A1681" s="33" t="s">
        <v>1047</v>
      </c>
      <c r="B1681" s="33" t="s">
        <v>1006</v>
      </c>
      <c r="C1681" s="33">
        <v>1</v>
      </c>
      <c r="D1681" s="33" t="s">
        <v>992</v>
      </c>
      <c r="E1681" s="33">
        <v>4</v>
      </c>
      <c r="F1681" s="33"/>
      <c r="G1681" s="522"/>
      <c r="H1681" s="707"/>
      <c r="I1681" s="707">
        <f t="shared" si="52"/>
        <v>0</v>
      </c>
      <c r="J1681" s="707">
        <f t="shared" si="53"/>
        <v>0</v>
      </c>
      <c r="K1681" s="70"/>
    </row>
    <row r="1682" spans="1:11" ht="24" customHeight="1">
      <c r="A1682" s="33" t="s">
        <v>2192</v>
      </c>
      <c r="B1682" s="33" t="s">
        <v>313</v>
      </c>
      <c r="C1682" s="33">
        <v>2</v>
      </c>
      <c r="D1682" s="33" t="s">
        <v>2191</v>
      </c>
      <c r="E1682" s="33">
        <v>3</v>
      </c>
      <c r="F1682" s="33"/>
      <c r="G1682" s="522"/>
      <c r="H1682" s="707">
        <v>380</v>
      </c>
      <c r="I1682" s="707">
        <f t="shared" si="52"/>
        <v>436.99999999999994</v>
      </c>
      <c r="J1682" s="707">
        <f t="shared" si="53"/>
        <v>494</v>
      </c>
      <c r="K1682" s="70"/>
    </row>
    <row r="1683" spans="1:11" ht="24" customHeight="1">
      <c r="A1683" s="74" t="s">
        <v>1310</v>
      </c>
      <c r="B1683" s="74" t="s">
        <v>83</v>
      </c>
      <c r="C1683" s="74">
        <v>16</v>
      </c>
      <c r="D1683" s="33" t="s">
        <v>1201</v>
      </c>
      <c r="E1683" s="33">
        <v>5</v>
      </c>
      <c r="F1683" s="33"/>
      <c r="G1683" s="522"/>
      <c r="H1683" s="707">
        <v>100</v>
      </c>
      <c r="I1683" s="707">
        <f t="shared" si="52"/>
        <v>114.99999999999999</v>
      </c>
      <c r="J1683" s="707">
        <f t="shared" si="53"/>
        <v>130</v>
      </c>
      <c r="K1683" s="70"/>
    </row>
    <row r="1684" spans="1:11" ht="24" customHeight="1">
      <c r="A1684" s="2" t="s">
        <v>720</v>
      </c>
      <c r="B1684" s="2" t="s">
        <v>474</v>
      </c>
      <c r="C1684" s="2">
        <v>3</v>
      </c>
      <c r="D1684" s="2" t="s">
        <v>593</v>
      </c>
      <c r="E1684" s="33">
        <v>3</v>
      </c>
      <c r="F1684" s="33"/>
      <c r="G1684" s="522"/>
      <c r="H1684" s="707"/>
      <c r="I1684" s="707">
        <f t="shared" si="52"/>
        <v>0</v>
      </c>
      <c r="J1684" s="707">
        <f t="shared" si="53"/>
        <v>0</v>
      </c>
      <c r="K1684" s="70"/>
    </row>
    <row r="1685" spans="1:11" ht="24" customHeight="1">
      <c r="A1685" s="33" t="s">
        <v>2013</v>
      </c>
      <c r="B1685" s="33" t="s">
        <v>1649</v>
      </c>
      <c r="C1685" s="33">
        <v>5</v>
      </c>
      <c r="D1685" s="33" t="s">
        <v>1938</v>
      </c>
      <c r="E1685" s="33">
        <v>2</v>
      </c>
      <c r="F1685" s="33"/>
      <c r="G1685" s="522"/>
      <c r="H1685" s="707"/>
      <c r="I1685" s="707">
        <f t="shared" si="52"/>
        <v>0</v>
      </c>
      <c r="J1685" s="707">
        <f t="shared" si="53"/>
        <v>0</v>
      </c>
      <c r="K1685" s="70"/>
    </row>
    <row r="1686" spans="1:11" ht="24" customHeight="1">
      <c r="A1686" s="2" t="s">
        <v>3699</v>
      </c>
      <c r="B1686" s="2" t="s">
        <v>3700</v>
      </c>
      <c r="C1686" s="2">
        <v>1</v>
      </c>
      <c r="D1686" s="2" t="s">
        <v>3671</v>
      </c>
      <c r="E1686" s="33">
        <v>2</v>
      </c>
      <c r="F1686" s="33"/>
      <c r="G1686" s="522"/>
      <c r="H1686" s="707"/>
      <c r="I1686" s="707">
        <f t="shared" si="52"/>
        <v>0</v>
      </c>
      <c r="J1686" s="707">
        <f t="shared" si="53"/>
        <v>0</v>
      </c>
      <c r="K1686" s="70"/>
    </row>
    <row r="1687" spans="1:11" ht="24" customHeight="1">
      <c r="A1687" s="2" t="s">
        <v>788</v>
      </c>
      <c r="B1687" s="2" t="s">
        <v>41</v>
      </c>
      <c r="C1687" s="2">
        <v>1</v>
      </c>
      <c r="D1687" s="2" t="s">
        <v>593</v>
      </c>
      <c r="E1687" s="33">
        <v>3</v>
      </c>
      <c r="F1687" s="33"/>
      <c r="G1687" s="522"/>
      <c r="H1687" s="707"/>
      <c r="I1687" s="707">
        <f t="shared" si="52"/>
        <v>0</v>
      </c>
      <c r="J1687" s="707">
        <f t="shared" si="53"/>
        <v>0</v>
      </c>
      <c r="K1687" s="70"/>
    </row>
    <row r="1688" spans="1:11" ht="24" customHeight="1">
      <c r="A1688" s="33" t="s">
        <v>405</v>
      </c>
      <c r="B1688" s="33" t="s">
        <v>406</v>
      </c>
      <c r="C1688" s="33">
        <v>5</v>
      </c>
      <c r="D1688" s="2" t="s">
        <v>274</v>
      </c>
      <c r="E1688" s="33">
        <v>2</v>
      </c>
      <c r="F1688" s="33"/>
      <c r="G1688" s="522"/>
      <c r="H1688" s="707"/>
      <c r="I1688" s="707">
        <f t="shared" si="52"/>
        <v>0</v>
      </c>
      <c r="J1688" s="707">
        <f t="shared" si="53"/>
        <v>0</v>
      </c>
      <c r="K1688" s="70"/>
    </row>
    <row r="1689" spans="1:11" ht="24" customHeight="1">
      <c r="A1689" s="33" t="s">
        <v>2751</v>
      </c>
      <c r="B1689" s="33" t="s">
        <v>389</v>
      </c>
      <c r="C1689" s="33">
        <v>2</v>
      </c>
      <c r="D1689" s="33" t="s">
        <v>2716</v>
      </c>
      <c r="E1689" s="59">
        <v>3</v>
      </c>
      <c r="F1689" s="59"/>
      <c r="G1689" s="695"/>
      <c r="H1689" s="708"/>
      <c r="I1689" s="707">
        <f t="shared" si="52"/>
        <v>0</v>
      </c>
      <c r="J1689" s="708">
        <f t="shared" si="53"/>
        <v>0</v>
      </c>
      <c r="K1689" s="70" t="s">
        <v>2727</v>
      </c>
    </row>
    <row r="1690" spans="1:11" ht="24" customHeight="1">
      <c r="A1690" s="59" t="s">
        <v>3237</v>
      </c>
      <c r="B1690" s="59" t="s">
        <v>3238</v>
      </c>
      <c r="C1690" s="59">
        <v>1</v>
      </c>
      <c r="D1690" s="33" t="s">
        <v>3053</v>
      </c>
      <c r="E1690" s="354">
        <v>5</v>
      </c>
      <c r="F1690" s="354"/>
      <c r="G1690" s="688"/>
      <c r="H1690" s="707">
        <v>1750</v>
      </c>
      <c r="I1690" s="707">
        <f t="shared" si="52"/>
        <v>2012.4999999999998</v>
      </c>
      <c r="J1690" s="707">
        <f t="shared" si="53"/>
        <v>2275</v>
      </c>
      <c r="K1690" s="70"/>
    </row>
    <row r="1691" spans="1:11" ht="24" customHeight="1">
      <c r="A1691" s="33" t="s">
        <v>974</v>
      </c>
      <c r="B1691" s="33" t="s">
        <v>975</v>
      </c>
      <c r="C1691" s="33">
        <v>3</v>
      </c>
      <c r="D1691" s="33" t="s">
        <v>910</v>
      </c>
      <c r="E1691" s="33">
        <v>2</v>
      </c>
      <c r="F1691" s="33"/>
      <c r="G1691" s="522"/>
      <c r="H1691" s="707"/>
      <c r="I1691" s="707">
        <f t="shared" si="52"/>
        <v>0</v>
      </c>
      <c r="J1691" s="707">
        <f t="shared" si="53"/>
        <v>0</v>
      </c>
      <c r="K1691" s="70"/>
    </row>
    <row r="1692" spans="1:11" ht="24" customHeight="1">
      <c r="A1692" s="33" t="s">
        <v>974</v>
      </c>
      <c r="B1692" s="33" t="s">
        <v>975</v>
      </c>
      <c r="C1692" s="33">
        <v>1</v>
      </c>
      <c r="D1692" s="33" t="s">
        <v>992</v>
      </c>
      <c r="E1692" s="33">
        <v>3</v>
      </c>
      <c r="F1692" s="33"/>
      <c r="G1692" s="522"/>
      <c r="H1692" s="707"/>
      <c r="I1692" s="707">
        <f t="shared" si="52"/>
        <v>0</v>
      </c>
      <c r="J1692" s="707">
        <f t="shared" si="53"/>
        <v>0</v>
      </c>
      <c r="K1692" s="70"/>
    </row>
    <row r="1693" spans="1:11" ht="24" customHeight="1">
      <c r="A1693" s="33" t="s">
        <v>974</v>
      </c>
      <c r="B1693" s="33" t="s">
        <v>3314</v>
      </c>
      <c r="C1693" s="33">
        <v>1</v>
      </c>
      <c r="D1693" s="33" t="s">
        <v>3279</v>
      </c>
      <c r="E1693" s="33">
        <v>4</v>
      </c>
      <c r="F1693" s="33"/>
      <c r="G1693" s="522"/>
      <c r="H1693" s="707"/>
      <c r="I1693" s="707">
        <f t="shared" si="52"/>
        <v>0</v>
      </c>
      <c r="J1693" s="707">
        <f t="shared" si="53"/>
        <v>0</v>
      </c>
      <c r="K1693" s="70"/>
    </row>
    <row r="1694" spans="1:11" ht="24" customHeight="1">
      <c r="A1694" s="33" t="s">
        <v>974</v>
      </c>
      <c r="B1694" s="33" t="s">
        <v>3314</v>
      </c>
      <c r="C1694" s="33">
        <v>1</v>
      </c>
      <c r="D1694" s="33" t="s">
        <v>3348</v>
      </c>
      <c r="E1694" s="33">
        <v>4</v>
      </c>
      <c r="F1694" s="33"/>
      <c r="G1694" s="522"/>
      <c r="H1694" s="707"/>
      <c r="I1694" s="707">
        <f t="shared" si="52"/>
        <v>0</v>
      </c>
      <c r="J1694" s="707">
        <f t="shared" si="53"/>
        <v>0</v>
      </c>
      <c r="K1694" s="70"/>
    </row>
    <row r="1695" spans="1:11" ht="24" customHeight="1">
      <c r="A1695" s="11" t="s">
        <v>974</v>
      </c>
      <c r="B1695" s="11" t="s">
        <v>3314</v>
      </c>
      <c r="C1695" s="11">
        <v>1</v>
      </c>
      <c r="D1695" s="131" t="s">
        <v>3451</v>
      </c>
      <c r="E1695" s="15">
        <v>3</v>
      </c>
      <c r="F1695" s="15"/>
      <c r="G1695" s="684"/>
      <c r="H1695" s="707"/>
      <c r="I1695" s="707">
        <f t="shared" si="52"/>
        <v>0</v>
      </c>
      <c r="J1695" s="707">
        <f t="shared" si="53"/>
        <v>0</v>
      </c>
      <c r="K1695" s="70"/>
    </row>
    <row r="1696" spans="1:11" ht="24" customHeight="1">
      <c r="A1696" s="33" t="s">
        <v>875</v>
      </c>
      <c r="B1696" s="33" t="s">
        <v>371</v>
      </c>
      <c r="C1696" s="33">
        <v>10</v>
      </c>
      <c r="D1696" s="2" t="s">
        <v>593</v>
      </c>
      <c r="E1696" s="33">
        <v>3</v>
      </c>
      <c r="F1696" s="33"/>
      <c r="G1696" s="522"/>
      <c r="H1696" s="707"/>
      <c r="I1696" s="707">
        <f t="shared" si="52"/>
        <v>0</v>
      </c>
      <c r="J1696" s="707">
        <f t="shared" si="53"/>
        <v>0</v>
      </c>
      <c r="K1696" s="70"/>
    </row>
    <row r="1697" spans="1:11" ht="24" customHeight="1">
      <c r="A1697" s="33" t="s">
        <v>2657</v>
      </c>
      <c r="B1697" s="33" t="s">
        <v>2658</v>
      </c>
      <c r="C1697" s="33">
        <v>3</v>
      </c>
      <c r="D1697" s="33" t="s">
        <v>2624</v>
      </c>
      <c r="E1697" s="33">
        <v>4</v>
      </c>
      <c r="F1697" s="33"/>
      <c r="G1697" s="522"/>
      <c r="H1697" s="707"/>
      <c r="I1697" s="707">
        <f t="shared" si="52"/>
        <v>0</v>
      </c>
      <c r="J1697" s="707">
        <f t="shared" si="53"/>
        <v>0</v>
      </c>
      <c r="K1697" s="70"/>
    </row>
    <row r="1698" spans="1:11" ht="24" customHeight="1">
      <c r="A1698" s="59" t="s">
        <v>3007</v>
      </c>
      <c r="B1698" s="59" t="s">
        <v>2989</v>
      </c>
      <c r="C1698" s="59">
        <v>3</v>
      </c>
      <c r="D1698" s="71" t="s">
        <v>2947</v>
      </c>
      <c r="E1698" s="354">
        <v>5</v>
      </c>
      <c r="F1698" s="354"/>
      <c r="G1698" s="688"/>
      <c r="H1698" s="707"/>
      <c r="I1698" s="707">
        <f t="shared" si="52"/>
        <v>0</v>
      </c>
      <c r="J1698" s="707">
        <f t="shared" si="53"/>
        <v>0</v>
      </c>
      <c r="K1698" s="70"/>
    </row>
    <row r="1699" spans="1:11" ht="24" customHeight="1">
      <c r="A1699" s="59" t="s">
        <v>2988</v>
      </c>
      <c r="B1699" s="59" t="s">
        <v>2989</v>
      </c>
      <c r="C1699" s="59">
        <v>1</v>
      </c>
      <c r="D1699" s="71" t="s">
        <v>2947</v>
      </c>
      <c r="E1699" s="354">
        <v>5</v>
      </c>
      <c r="F1699" s="354"/>
      <c r="G1699" s="688"/>
      <c r="H1699" s="707"/>
      <c r="I1699" s="707">
        <f t="shared" si="52"/>
        <v>0</v>
      </c>
      <c r="J1699" s="707">
        <f t="shared" si="53"/>
        <v>0</v>
      </c>
      <c r="K1699" s="70"/>
    </row>
    <row r="1700" spans="1:11" ht="24" customHeight="1">
      <c r="A1700" s="74" t="s">
        <v>2416</v>
      </c>
      <c r="B1700" s="74" t="s">
        <v>272</v>
      </c>
      <c r="C1700" s="74">
        <v>1</v>
      </c>
      <c r="D1700" s="33" t="s">
        <v>2363</v>
      </c>
      <c r="E1700" s="33">
        <v>5</v>
      </c>
      <c r="F1700" s="33"/>
      <c r="G1700" s="522"/>
      <c r="H1700" s="707"/>
      <c r="I1700" s="707">
        <f t="shared" si="52"/>
        <v>0</v>
      </c>
      <c r="J1700" s="707">
        <f t="shared" si="53"/>
        <v>0</v>
      </c>
      <c r="K1700" s="70"/>
    </row>
    <row r="1701" spans="1:11" ht="24" customHeight="1">
      <c r="A1701" s="33" t="s">
        <v>1654</v>
      </c>
      <c r="B1701" s="33" t="s">
        <v>115</v>
      </c>
      <c r="C1701" s="33">
        <v>1</v>
      </c>
      <c r="D1701" s="33" t="s">
        <v>1548</v>
      </c>
      <c r="E1701" s="33">
        <v>4</v>
      </c>
      <c r="F1701" s="33"/>
      <c r="G1701" s="522"/>
      <c r="H1701" s="707"/>
      <c r="I1701" s="707">
        <f t="shared" si="52"/>
        <v>0</v>
      </c>
      <c r="J1701" s="707">
        <f t="shared" si="53"/>
        <v>0</v>
      </c>
      <c r="K1701" s="70"/>
    </row>
    <row r="1702" spans="1:11" ht="24" customHeight="1">
      <c r="A1702" s="33" t="s">
        <v>3203</v>
      </c>
      <c r="B1702" s="71" t="s">
        <v>3204</v>
      </c>
      <c r="C1702" s="71">
        <v>3</v>
      </c>
      <c r="D1702" s="33" t="s">
        <v>3053</v>
      </c>
      <c r="E1702" s="71">
        <v>4</v>
      </c>
      <c r="F1702" s="71"/>
      <c r="G1702" s="686"/>
      <c r="H1702" s="707"/>
      <c r="I1702" s="707">
        <f t="shared" si="52"/>
        <v>0</v>
      </c>
      <c r="J1702" s="707">
        <f t="shared" si="53"/>
        <v>0</v>
      </c>
      <c r="K1702" s="70"/>
    </row>
    <row r="1703" spans="1:11" ht="24" customHeight="1">
      <c r="A1703" s="33" t="s">
        <v>3326</v>
      </c>
      <c r="B1703" s="33" t="s">
        <v>19</v>
      </c>
      <c r="C1703" s="33">
        <v>2</v>
      </c>
      <c r="D1703" s="33" t="s">
        <v>3279</v>
      </c>
      <c r="E1703" s="33">
        <v>4</v>
      </c>
      <c r="F1703" s="33"/>
      <c r="G1703" s="522"/>
      <c r="H1703" s="707"/>
      <c r="I1703" s="707">
        <f t="shared" si="52"/>
        <v>0</v>
      </c>
      <c r="J1703" s="707">
        <f t="shared" si="53"/>
        <v>0</v>
      </c>
      <c r="K1703" s="70"/>
    </row>
    <row r="1704" spans="1:11" ht="24" customHeight="1">
      <c r="A1704" s="33" t="s">
        <v>2587</v>
      </c>
      <c r="B1704" s="33" t="s">
        <v>43</v>
      </c>
      <c r="C1704" s="33">
        <v>1</v>
      </c>
      <c r="D1704" s="33" t="s">
        <v>2540</v>
      </c>
      <c r="E1704" s="33">
        <v>2</v>
      </c>
      <c r="F1704" s="33"/>
      <c r="G1704" s="522"/>
      <c r="H1704" s="707"/>
      <c r="I1704" s="707">
        <f t="shared" si="52"/>
        <v>0</v>
      </c>
      <c r="J1704" s="707">
        <f t="shared" si="53"/>
        <v>0</v>
      </c>
      <c r="K1704" s="70"/>
    </row>
    <row r="1705" spans="1:11" ht="24" customHeight="1">
      <c r="A1705" s="33" t="s">
        <v>3402</v>
      </c>
      <c r="B1705" s="33" t="s">
        <v>43</v>
      </c>
      <c r="C1705" s="33">
        <v>1</v>
      </c>
      <c r="D1705" s="33" t="s">
        <v>3348</v>
      </c>
      <c r="E1705" s="33">
        <v>4</v>
      </c>
      <c r="F1705" s="33"/>
      <c r="G1705" s="522"/>
      <c r="H1705" s="707"/>
      <c r="I1705" s="707">
        <f t="shared" si="52"/>
        <v>0</v>
      </c>
      <c r="J1705" s="707">
        <f t="shared" si="53"/>
        <v>0</v>
      </c>
      <c r="K1705" s="70"/>
    </row>
    <row r="1706" spans="1:11" ht="24" customHeight="1">
      <c r="A1706" s="33" t="s">
        <v>3200</v>
      </c>
      <c r="B1706" s="71" t="s">
        <v>485</v>
      </c>
      <c r="C1706" s="71">
        <v>6</v>
      </c>
      <c r="D1706" s="33" t="s">
        <v>3053</v>
      </c>
      <c r="E1706" s="71">
        <v>4</v>
      </c>
      <c r="F1706" s="71"/>
      <c r="G1706" s="686"/>
      <c r="H1706" s="707">
        <v>3</v>
      </c>
      <c r="I1706" s="707">
        <f t="shared" si="52"/>
        <v>3.4499999999999997</v>
      </c>
      <c r="J1706" s="707">
        <f t="shared" si="53"/>
        <v>3.9000000000000004</v>
      </c>
      <c r="K1706" s="70"/>
    </row>
    <row r="1707" spans="1:11" ht="24" customHeight="1">
      <c r="A1707" s="33" t="s">
        <v>1647</v>
      </c>
      <c r="B1707" s="33" t="s">
        <v>43</v>
      </c>
      <c r="C1707" s="33">
        <v>1</v>
      </c>
      <c r="D1707" s="33" t="s">
        <v>1548</v>
      </c>
      <c r="E1707" s="33">
        <v>4</v>
      </c>
      <c r="F1707" s="33"/>
      <c r="G1707" s="522"/>
      <c r="H1707" s="707"/>
      <c r="I1707" s="707">
        <f t="shared" si="52"/>
        <v>0</v>
      </c>
      <c r="J1707" s="707">
        <f t="shared" si="53"/>
        <v>0</v>
      </c>
      <c r="K1707" s="70"/>
    </row>
    <row r="1708" spans="1:11" ht="24" customHeight="1">
      <c r="A1708" s="33" t="s">
        <v>1250</v>
      </c>
      <c r="B1708" s="33" t="s">
        <v>1199</v>
      </c>
      <c r="C1708" s="33">
        <v>2</v>
      </c>
      <c r="D1708" s="33" t="s">
        <v>1201</v>
      </c>
      <c r="E1708" s="33">
        <v>4</v>
      </c>
      <c r="F1708" s="33"/>
      <c r="G1708" s="522"/>
      <c r="H1708" s="707"/>
      <c r="I1708" s="707">
        <f t="shared" si="52"/>
        <v>0</v>
      </c>
      <c r="J1708" s="707">
        <f t="shared" si="53"/>
        <v>0</v>
      </c>
      <c r="K1708" s="70"/>
    </row>
    <row r="1709" spans="1:11" ht="24" customHeight="1">
      <c r="A1709" s="33" t="s">
        <v>1250</v>
      </c>
      <c r="B1709" s="33" t="s">
        <v>1199</v>
      </c>
      <c r="C1709" s="33">
        <v>2</v>
      </c>
      <c r="D1709" s="33" t="s">
        <v>1325</v>
      </c>
      <c r="E1709" s="33">
        <v>2</v>
      </c>
      <c r="F1709" s="33"/>
      <c r="G1709" s="522"/>
      <c r="H1709" s="707"/>
      <c r="I1709" s="707">
        <f t="shared" si="52"/>
        <v>0</v>
      </c>
      <c r="J1709" s="707">
        <f t="shared" si="53"/>
        <v>0</v>
      </c>
      <c r="K1709" s="70"/>
    </row>
    <row r="1710" spans="1:11" ht="24" customHeight="1">
      <c r="A1710" s="33" t="s">
        <v>1198</v>
      </c>
      <c r="B1710" s="33" t="s">
        <v>1199</v>
      </c>
      <c r="C1710" s="33">
        <v>2</v>
      </c>
      <c r="D1710" s="33" t="s">
        <v>1141</v>
      </c>
      <c r="E1710" s="33">
        <v>2</v>
      </c>
      <c r="F1710" s="33"/>
      <c r="G1710" s="522"/>
      <c r="H1710" s="707"/>
      <c r="I1710" s="707">
        <f t="shared" si="52"/>
        <v>0</v>
      </c>
      <c r="J1710" s="707">
        <f t="shared" si="53"/>
        <v>0</v>
      </c>
      <c r="K1710" s="70"/>
    </row>
    <row r="1711" spans="1:11" ht="24" customHeight="1">
      <c r="A1711" s="33" t="s">
        <v>1650</v>
      </c>
      <c r="B1711" s="33" t="s">
        <v>1465</v>
      </c>
      <c r="C1711" s="33">
        <v>2</v>
      </c>
      <c r="D1711" s="33" t="s">
        <v>1548</v>
      </c>
      <c r="E1711" s="33">
        <v>4</v>
      </c>
      <c r="F1711" s="33"/>
      <c r="G1711" s="522"/>
      <c r="H1711" s="707"/>
      <c r="I1711" s="707">
        <f t="shared" si="52"/>
        <v>0</v>
      </c>
      <c r="J1711" s="707">
        <f t="shared" si="53"/>
        <v>0</v>
      </c>
      <c r="K1711" s="70"/>
    </row>
    <row r="1712" spans="1:11" ht="24" customHeight="1">
      <c r="A1712" s="19" t="s">
        <v>171</v>
      </c>
      <c r="B1712" s="19" t="s">
        <v>172</v>
      </c>
      <c r="C1712" s="2">
        <v>22</v>
      </c>
      <c r="D1712" s="19" t="s">
        <v>11</v>
      </c>
      <c r="E1712" s="33">
        <v>3</v>
      </c>
      <c r="F1712" s="33"/>
      <c r="G1712" s="522"/>
      <c r="H1712" s="707"/>
      <c r="I1712" s="707">
        <f t="shared" si="52"/>
        <v>0</v>
      </c>
      <c r="J1712" s="707">
        <f t="shared" si="53"/>
        <v>0</v>
      </c>
      <c r="K1712" s="70"/>
    </row>
    <row r="1713" spans="1:11" ht="24" customHeight="1">
      <c r="A1713" s="33" t="s">
        <v>2668</v>
      </c>
      <c r="B1713" s="66" t="s">
        <v>272</v>
      </c>
      <c r="C1713" s="66">
        <v>1</v>
      </c>
      <c r="D1713" s="258" t="s">
        <v>2624</v>
      </c>
      <c r="E1713" s="66">
        <v>4</v>
      </c>
      <c r="F1713" s="66"/>
      <c r="G1713" s="689"/>
      <c r="H1713" s="707"/>
      <c r="I1713" s="707">
        <f t="shared" si="52"/>
        <v>0</v>
      </c>
      <c r="J1713" s="707">
        <f t="shared" si="53"/>
        <v>0</v>
      </c>
      <c r="K1713" s="70"/>
    </row>
    <row r="1714" spans="1:11" ht="24" customHeight="1">
      <c r="A1714" s="59" t="s">
        <v>3226</v>
      </c>
      <c r="B1714" s="59" t="s">
        <v>3227</v>
      </c>
      <c r="C1714" s="59">
        <v>6</v>
      </c>
      <c r="D1714" s="222" t="s">
        <v>3053</v>
      </c>
      <c r="E1714" s="354">
        <v>5</v>
      </c>
      <c r="F1714" s="354"/>
      <c r="G1714" s="688"/>
      <c r="H1714" s="707"/>
      <c r="I1714" s="707">
        <f t="shared" si="52"/>
        <v>0</v>
      </c>
      <c r="J1714" s="707">
        <f t="shared" si="53"/>
        <v>0</v>
      </c>
      <c r="K1714" s="70"/>
    </row>
    <row r="1715" spans="1:11" ht="24" customHeight="1">
      <c r="A1715" s="33" t="s">
        <v>988</v>
      </c>
      <c r="B1715" s="33" t="s">
        <v>83</v>
      </c>
      <c r="C1715" s="33">
        <v>2</v>
      </c>
      <c r="D1715" s="222" t="s">
        <v>910</v>
      </c>
      <c r="E1715" s="33">
        <v>2</v>
      </c>
      <c r="F1715" s="33"/>
      <c r="G1715" s="522"/>
      <c r="H1715" s="707">
        <v>90</v>
      </c>
      <c r="I1715" s="707">
        <f t="shared" si="52"/>
        <v>103.49999999999999</v>
      </c>
      <c r="J1715" s="707">
        <f t="shared" si="53"/>
        <v>117</v>
      </c>
      <c r="K1715" s="70"/>
    </row>
    <row r="1716" spans="1:11" ht="24" customHeight="1">
      <c r="A1716" s="33" t="s">
        <v>504</v>
      </c>
      <c r="B1716" s="33" t="s">
        <v>272</v>
      </c>
      <c r="C1716" s="33">
        <v>12</v>
      </c>
      <c r="D1716" s="2" t="s">
        <v>274</v>
      </c>
      <c r="E1716" s="33">
        <v>3</v>
      </c>
      <c r="F1716" s="33"/>
      <c r="G1716" s="522"/>
      <c r="H1716" s="707"/>
      <c r="I1716" s="707">
        <f t="shared" si="52"/>
        <v>0</v>
      </c>
      <c r="J1716" s="707">
        <f t="shared" si="53"/>
        <v>0</v>
      </c>
      <c r="K1716" s="70"/>
    </row>
    <row r="1717" spans="1:11" ht="24" customHeight="1">
      <c r="A1717" s="222" t="s">
        <v>506</v>
      </c>
      <c r="B1717" s="222" t="s">
        <v>19</v>
      </c>
      <c r="C1717" s="33">
        <v>26</v>
      </c>
      <c r="D1717" s="19" t="s">
        <v>274</v>
      </c>
      <c r="E1717" s="33">
        <v>3</v>
      </c>
      <c r="F1717" s="33"/>
      <c r="G1717" s="522"/>
      <c r="H1717" s="707"/>
      <c r="I1717" s="707">
        <f t="shared" si="52"/>
        <v>0</v>
      </c>
      <c r="J1717" s="707">
        <f t="shared" si="53"/>
        <v>0</v>
      </c>
      <c r="K1717" s="70"/>
    </row>
    <row r="1718" spans="1:11" ht="24" customHeight="1">
      <c r="A1718" s="59" t="s">
        <v>2999</v>
      </c>
      <c r="B1718" s="59" t="s">
        <v>10</v>
      </c>
      <c r="C1718" s="59">
        <v>2</v>
      </c>
      <c r="D1718" s="234" t="s">
        <v>2947</v>
      </c>
      <c r="E1718" s="354">
        <v>5</v>
      </c>
      <c r="F1718" s="354"/>
      <c r="G1718" s="688"/>
      <c r="H1718" s="707"/>
      <c r="I1718" s="707">
        <f t="shared" si="52"/>
        <v>0</v>
      </c>
      <c r="J1718" s="707">
        <f t="shared" si="53"/>
        <v>0</v>
      </c>
      <c r="K1718" s="70" t="s">
        <v>51</v>
      </c>
    </row>
    <row r="1719" spans="1:11" ht="24" customHeight="1">
      <c r="A1719" s="74" t="s">
        <v>2245</v>
      </c>
      <c r="B1719" s="74" t="s">
        <v>2246</v>
      </c>
      <c r="C1719" s="74">
        <v>1</v>
      </c>
      <c r="D1719" s="222" t="s">
        <v>2191</v>
      </c>
      <c r="E1719" s="33">
        <v>5</v>
      </c>
      <c r="F1719" s="33"/>
      <c r="G1719" s="522"/>
      <c r="H1719" s="707"/>
      <c r="I1719" s="707">
        <f t="shared" si="52"/>
        <v>0</v>
      </c>
      <c r="J1719" s="707">
        <f t="shared" si="53"/>
        <v>0</v>
      </c>
      <c r="K1719" s="70" t="s">
        <v>2247</v>
      </c>
    </row>
    <row r="1720" spans="1:11" ht="24" customHeight="1">
      <c r="A1720" s="2" t="s">
        <v>1878</v>
      </c>
      <c r="B1720" s="2" t="s">
        <v>19</v>
      </c>
      <c r="C1720" s="2">
        <v>70</v>
      </c>
      <c r="D1720" s="19" t="s">
        <v>1785</v>
      </c>
      <c r="E1720" s="33">
        <v>3</v>
      </c>
      <c r="F1720" s="33"/>
      <c r="G1720" s="522"/>
      <c r="H1720" s="707"/>
      <c r="I1720" s="707">
        <f t="shared" si="52"/>
        <v>0</v>
      </c>
      <c r="J1720" s="707">
        <f t="shared" si="53"/>
        <v>0</v>
      </c>
      <c r="K1720" s="70"/>
    </row>
    <row r="1721" spans="1:11" ht="24" customHeight="1">
      <c r="A1721" s="222" t="s">
        <v>3400</v>
      </c>
      <c r="B1721" s="222" t="s">
        <v>1423</v>
      </c>
      <c r="C1721" s="33">
        <v>2</v>
      </c>
      <c r="D1721" s="222" t="s">
        <v>3348</v>
      </c>
      <c r="E1721" s="33">
        <v>4</v>
      </c>
      <c r="F1721" s="33"/>
      <c r="G1721" s="522"/>
      <c r="H1721" s="707"/>
      <c r="I1721" s="707">
        <f t="shared" si="52"/>
        <v>0</v>
      </c>
      <c r="J1721" s="707">
        <f t="shared" si="53"/>
        <v>0</v>
      </c>
      <c r="K1721" s="70"/>
    </row>
    <row r="1722" spans="1:11" ht="24" customHeight="1">
      <c r="A1722" s="33" t="s">
        <v>2019</v>
      </c>
      <c r="B1722" s="33" t="s">
        <v>1423</v>
      </c>
      <c r="C1722" s="33">
        <v>30</v>
      </c>
      <c r="D1722" s="222" t="s">
        <v>1938</v>
      </c>
      <c r="E1722" s="33">
        <v>2</v>
      </c>
      <c r="F1722" s="33"/>
      <c r="G1722" s="522"/>
      <c r="H1722" s="707"/>
      <c r="I1722" s="707">
        <f t="shared" si="52"/>
        <v>0</v>
      </c>
      <c r="J1722" s="707">
        <f t="shared" si="53"/>
        <v>0</v>
      </c>
      <c r="K1722" s="70"/>
    </row>
    <row r="1723" spans="1:11" ht="24" customHeight="1">
      <c r="A1723" s="9" t="s">
        <v>3492</v>
      </c>
      <c r="B1723" s="9" t="s">
        <v>3493</v>
      </c>
      <c r="C1723" s="11">
        <v>3</v>
      </c>
      <c r="D1723" s="14" t="s">
        <v>3451</v>
      </c>
      <c r="E1723" s="15">
        <v>3</v>
      </c>
      <c r="F1723" s="15"/>
      <c r="G1723" s="684"/>
      <c r="H1723" s="707"/>
      <c r="I1723" s="707">
        <f t="shared" si="52"/>
        <v>0</v>
      </c>
      <c r="J1723" s="707">
        <f t="shared" si="53"/>
        <v>0</v>
      </c>
      <c r="K1723" s="70"/>
    </row>
    <row r="1724" spans="1:11" ht="24" customHeight="1">
      <c r="A1724" s="11" t="s">
        <v>3168</v>
      </c>
      <c r="B1724" s="34" t="s">
        <v>3169</v>
      </c>
      <c r="C1724" s="11">
        <v>3</v>
      </c>
      <c r="D1724" s="222" t="s">
        <v>3053</v>
      </c>
      <c r="E1724" s="33">
        <v>3</v>
      </c>
      <c r="F1724" s="33"/>
      <c r="G1724" s="522"/>
      <c r="H1724" s="707"/>
      <c r="I1724" s="707">
        <f t="shared" si="52"/>
        <v>0</v>
      </c>
      <c r="J1724" s="707">
        <f t="shared" si="53"/>
        <v>0</v>
      </c>
      <c r="K1724" s="70"/>
    </row>
    <row r="1725" spans="1:11" ht="24" customHeight="1">
      <c r="A1725" s="11" t="s">
        <v>3460</v>
      </c>
      <c r="B1725" s="11" t="s">
        <v>1146</v>
      </c>
      <c r="C1725" s="11">
        <v>3</v>
      </c>
      <c r="D1725" s="14" t="s">
        <v>3451</v>
      </c>
      <c r="E1725" s="15">
        <v>2</v>
      </c>
      <c r="F1725" s="15"/>
      <c r="G1725" s="684"/>
      <c r="H1725" s="707"/>
      <c r="I1725" s="707">
        <f t="shared" si="52"/>
        <v>0</v>
      </c>
      <c r="J1725" s="707">
        <f t="shared" si="53"/>
        <v>0</v>
      </c>
      <c r="K1725" s="70"/>
    </row>
    <row r="1726" spans="1:11" ht="24" customHeight="1">
      <c r="A1726" s="11" t="s">
        <v>3472</v>
      </c>
      <c r="B1726" s="11" t="s">
        <v>3473</v>
      </c>
      <c r="C1726" s="11">
        <v>2</v>
      </c>
      <c r="D1726" s="14" t="s">
        <v>3451</v>
      </c>
      <c r="E1726" s="15">
        <v>3</v>
      </c>
      <c r="F1726" s="15"/>
      <c r="G1726" s="684"/>
      <c r="H1726" s="707"/>
      <c r="I1726" s="707">
        <f t="shared" si="52"/>
        <v>0</v>
      </c>
      <c r="J1726" s="707">
        <f t="shared" si="53"/>
        <v>0</v>
      </c>
      <c r="K1726" s="70"/>
    </row>
    <row r="1727" spans="1:11" ht="24" customHeight="1">
      <c r="A1727" s="399" t="s">
        <v>1923</v>
      </c>
      <c r="B1727" s="399" t="s">
        <v>1924</v>
      </c>
      <c r="C1727" s="399">
        <v>1</v>
      </c>
      <c r="D1727" s="400" t="s">
        <v>1898</v>
      </c>
      <c r="E1727" s="400">
        <v>4</v>
      </c>
      <c r="F1727" s="400" t="s">
        <v>1012</v>
      </c>
      <c r="G1727" s="690"/>
      <c r="H1727" s="713">
        <v>200</v>
      </c>
      <c r="I1727" s="713">
        <f t="shared" si="52"/>
        <v>229.99999999999997</v>
      </c>
      <c r="J1727" s="713">
        <f t="shared" si="53"/>
        <v>260</v>
      </c>
      <c r="K1727" s="401"/>
    </row>
    <row r="1728" spans="1:11" ht="24" customHeight="1">
      <c r="A1728" s="222" t="s">
        <v>2954</v>
      </c>
      <c r="B1728" s="222" t="s">
        <v>81</v>
      </c>
      <c r="C1728" s="33">
        <v>4</v>
      </c>
      <c r="D1728" s="234" t="s">
        <v>2947</v>
      </c>
      <c r="E1728" s="33">
        <v>4</v>
      </c>
      <c r="F1728" s="33"/>
      <c r="G1728" s="522"/>
      <c r="H1728" s="707">
        <v>10</v>
      </c>
      <c r="I1728" s="707">
        <f t="shared" si="52"/>
        <v>11.5</v>
      </c>
      <c r="J1728" s="707">
        <f t="shared" si="53"/>
        <v>13</v>
      </c>
      <c r="K1728" s="70" t="s">
        <v>51</v>
      </c>
    </row>
    <row r="1729" spans="1:11" ht="24" customHeight="1">
      <c r="A1729" s="33" t="s">
        <v>2221</v>
      </c>
      <c r="B1729" s="33" t="s">
        <v>56</v>
      </c>
      <c r="C1729" s="33">
        <v>1</v>
      </c>
      <c r="D1729" s="222" t="s">
        <v>2191</v>
      </c>
      <c r="E1729" s="33">
        <v>4</v>
      </c>
      <c r="F1729" s="33"/>
      <c r="G1729" s="522"/>
      <c r="H1729" s="707"/>
      <c r="I1729" s="707">
        <f t="shared" si="52"/>
        <v>0</v>
      </c>
      <c r="J1729" s="707">
        <f t="shared" si="53"/>
        <v>0</v>
      </c>
      <c r="K1729" s="70"/>
    </row>
    <row r="1730" spans="1:11" ht="24" customHeight="1">
      <c r="A1730" s="33" t="s">
        <v>612</v>
      </c>
      <c r="B1730" s="33" t="s">
        <v>613</v>
      </c>
      <c r="C1730" s="33">
        <v>3</v>
      </c>
      <c r="D1730" s="19" t="s">
        <v>593</v>
      </c>
      <c r="E1730" s="33">
        <v>1</v>
      </c>
      <c r="F1730" s="33"/>
      <c r="G1730" s="522"/>
      <c r="H1730" s="707"/>
      <c r="I1730" s="707">
        <f t="shared" si="52"/>
        <v>0</v>
      </c>
      <c r="J1730" s="707">
        <f t="shared" si="53"/>
        <v>0</v>
      </c>
      <c r="K1730" s="70"/>
    </row>
    <row r="1731" spans="1:11" ht="24" customHeight="1">
      <c r="A1731" s="74" t="s">
        <v>612</v>
      </c>
      <c r="B1731" s="74" t="s">
        <v>474</v>
      </c>
      <c r="C1731" s="74">
        <v>1</v>
      </c>
      <c r="D1731" s="222" t="s">
        <v>2363</v>
      </c>
      <c r="E1731" s="33">
        <v>5</v>
      </c>
      <c r="F1731" s="33"/>
      <c r="G1731" s="522"/>
      <c r="H1731" s="707"/>
      <c r="I1731" s="707">
        <f t="shared" ref="I1731:I1794" si="54">H1731 * 1.15</f>
        <v>0</v>
      </c>
      <c r="J1731" s="707">
        <f t="shared" ref="J1731:J1794" si="55">H1731 * 1.3</f>
        <v>0</v>
      </c>
      <c r="K1731" s="70"/>
    </row>
    <row r="1732" spans="1:11" ht="24" customHeight="1">
      <c r="A1732" s="74" t="s">
        <v>2130</v>
      </c>
      <c r="B1732" s="74" t="s">
        <v>1778</v>
      </c>
      <c r="C1732" s="74">
        <v>1</v>
      </c>
      <c r="D1732" s="222" t="s">
        <v>2111</v>
      </c>
      <c r="E1732" s="33">
        <v>2</v>
      </c>
      <c r="F1732" s="33"/>
      <c r="G1732" s="522"/>
      <c r="H1732" s="707"/>
      <c r="I1732" s="707">
        <f t="shared" si="54"/>
        <v>0</v>
      </c>
      <c r="J1732" s="707">
        <f t="shared" si="55"/>
        <v>0</v>
      </c>
      <c r="K1732" s="70"/>
    </row>
    <row r="1733" spans="1:11" ht="24" customHeight="1">
      <c r="A1733" s="17" t="s">
        <v>2838</v>
      </c>
      <c r="B1733" s="17" t="s">
        <v>294</v>
      </c>
      <c r="C1733" s="17">
        <v>44</v>
      </c>
      <c r="D1733" s="14" t="s">
        <v>2802</v>
      </c>
      <c r="E1733" s="15">
        <v>3</v>
      </c>
      <c r="F1733" s="15"/>
      <c r="G1733" s="684"/>
      <c r="H1733" s="707"/>
      <c r="I1733" s="707">
        <f t="shared" si="54"/>
        <v>0</v>
      </c>
      <c r="J1733" s="707">
        <f t="shared" si="55"/>
        <v>0</v>
      </c>
      <c r="K1733" s="70"/>
    </row>
    <row r="1734" spans="1:11" ht="24" customHeight="1">
      <c r="A1734" s="2" t="s">
        <v>293</v>
      </c>
      <c r="B1734" s="2" t="s">
        <v>294</v>
      </c>
      <c r="C1734" s="2">
        <v>62</v>
      </c>
      <c r="D1734" s="19" t="s">
        <v>274</v>
      </c>
      <c r="E1734" s="33">
        <v>1</v>
      </c>
      <c r="F1734" s="33"/>
      <c r="G1734" s="522"/>
      <c r="H1734" s="707"/>
      <c r="I1734" s="707">
        <f t="shared" si="54"/>
        <v>0</v>
      </c>
      <c r="J1734" s="707">
        <f t="shared" si="55"/>
        <v>0</v>
      </c>
      <c r="K1734" s="70"/>
    </row>
    <row r="1735" spans="1:11" ht="24" customHeight="1">
      <c r="A1735" s="33" t="s">
        <v>584</v>
      </c>
      <c r="B1735" s="33" t="s">
        <v>294</v>
      </c>
      <c r="C1735" s="33">
        <v>37</v>
      </c>
      <c r="D1735" s="19" t="s">
        <v>536</v>
      </c>
      <c r="E1735" s="33">
        <v>5</v>
      </c>
      <c r="F1735" s="33"/>
      <c r="G1735" s="522"/>
      <c r="H1735" s="707"/>
      <c r="I1735" s="707">
        <f t="shared" si="54"/>
        <v>0</v>
      </c>
      <c r="J1735" s="707">
        <f t="shared" si="55"/>
        <v>0</v>
      </c>
      <c r="K1735" s="70"/>
    </row>
    <row r="1736" spans="1:11" ht="24" customHeight="1">
      <c r="A1736" s="59" t="s">
        <v>3246</v>
      </c>
      <c r="B1736" s="59" t="s">
        <v>2264</v>
      </c>
      <c r="C1736" s="59">
        <v>1</v>
      </c>
      <c r="D1736" s="222" t="s">
        <v>3053</v>
      </c>
      <c r="E1736" s="354">
        <v>5</v>
      </c>
      <c r="F1736" s="354"/>
      <c r="G1736" s="688"/>
      <c r="H1736" s="707"/>
      <c r="I1736" s="707">
        <f t="shared" si="54"/>
        <v>0</v>
      </c>
      <c r="J1736" s="707">
        <f t="shared" si="55"/>
        <v>0</v>
      </c>
      <c r="K1736" s="70"/>
    </row>
    <row r="1737" spans="1:11" ht="24" customHeight="1">
      <c r="A1737" s="33" t="s">
        <v>1222</v>
      </c>
      <c r="B1737" s="33" t="s">
        <v>558</v>
      </c>
      <c r="C1737" s="33">
        <v>4</v>
      </c>
      <c r="D1737" s="33" t="s">
        <v>1201</v>
      </c>
      <c r="E1737" s="33">
        <v>3</v>
      </c>
      <c r="F1737" s="33"/>
      <c r="G1737" s="522"/>
      <c r="H1737" s="707"/>
      <c r="I1737" s="707">
        <f t="shared" si="54"/>
        <v>0</v>
      </c>
      <c r="J1737" s="707">
        <f t="shared" si="55"/>
        <v>0</v>
      </c>
      <c r="K1737" s="70"/>
    </row>
    <row r="1738" spans="1:11" ht="24" customHeight="1">
      <c r="A1738" s="9" t="s">
        <v>3467</v>
      </c>
      <c r="B1738" s="9" t="s">
        <v>3468</v>
      </c>
      <c r="C1738" s="11">
        <v>1</v>
      </c>
      <c r="D1738" s="14" t="s">
        <v>3451</v>
      </c>
      <c r="E1738" s="15">
        <v>2</v>
      </c>
      <c r="F1738" s="15"/>
      <c r="G1738" s="684"/>
      <c r="H1738" s="707">
        <v>200</v>
      </c>
      <c r="I1738" s="707">
        <f t="shared" si="54"/>
        <v>229.99999999999997</v>
      </c>
      <c r="J1738" s="707">
        <f t="shared" si="55"/>
        <v>260</v>
      </c>
      <c r="K1738" s="70"/>
    </row>
    <row r="1739" spans="1:11" ht="24" customHeight="1">
      <c r="A1739" s="9" t="s">
        <v>3469</v>
      </c>
      <c r="B1739" s="9" t="s">
        <v>3470</v>
      </c>
      <c r="C1739" s="11">
        <v>1</v>
      </c>
      <c r="D1739" s="14" t="s">
        <v>3451</v>
      </c>
      <c r="E1739" s="15">
        <v>2</v>
      </c>
      <c r="F1739" s="15"/>
      <c r="G1739" s="684"/>
      <c r="H1739" s="707"/>
      <c r="I1739" s="707">
        <f t="shared" si="54"/>
        <v>0</v>
      </c>
      <c r="J1739" s="707">
        <f t="shared" si="55"/>
        <v>0</v>
      </c>
      <c r="K1739" s="70"/>
    </row>
    <row r="1740" spans="1:11" ht="24" customHeight="1">
      <c r="A1740" s="222" t="s">
        <v>1258</v>
      </c>
      <c r="B1740" s="222" t="s">
        <v>83</v>
      </c>
      <c r="C1740" s="33">
        <v>1</v>
      </c>
      <c r="D1740" s="222" t="s">
        <v>1201</v>
      </c>
      <c r="E1740" s="33">
        <v>4</v>
      </c>
      <c r="F1740" s="33"/>
      <c r="G1740" s="522"/>
      <c r="H1740" s="707"/>
      <c r="I1740" s="707">
        <f t="shared" si="54"/>
        <v>0</v>
      </c>
      <c r="J1740" s="707">
        <f t="shared" si="55"/>
        <v>0</v>
      </c>
      <c r="K1740" s="70"/>
    </row>
    <row r="1741" spans="1:11" ht="24" customHeight="1">
      <c r="A1741" s="19" t="s">
        <v>496</v>
      </c>
      <c r="B1741" s="19" t="s">
        <v>497</v>
      </c>
      <c r="C1741" s="2">
        <v>10</v>
      </c>
      <c r="D1741" s="19" t="s">
        <v>274</v>
      </c>
      <c r="E1741" s="33">
        <v>3</v>
      </c>
      <c r="F1741" s="33"/>
      <c r="G1741" s="522"/>
      <c r="H1741" s="707">
        <v>2</v>
      </c>
      <c r="I1741" s="707">
        <f t="shared" si="54"/>
        <v>2.2999999999999998</v>
      </c>
      <c r="J1741" s="707">
        <f t="shared" si="55"/>
        <v>2.6</v>
      </c>
      <c r="K1741" s="70"/>
    </row>
    <row r="1742" spans="1:11" ht="24" customHeight="1">
      <c r="A1742" s="3" t="s">
        <v>2941</v>
      </c>
      <c r="B1742" s="3" t="s">
        <v>23</v>
      </c>
      <c r="C1742" s="3">
        <v>49</v>
      </c>
      <c r="D1742" s="15" t="s">
        <v>2918</v>
      </c>
      <c r="E1742" s="15">
        <v>1</v>
      </c>
      <c r="F1742" s="15"/>
      <c r="G1742" s="684"/>
      <c r="H1742" s="707"/>
      <c r="I1742" s="707">
        <f t="shared" si="54"/>
        <v>0</v>
      </c>
      <c r="J1742" s="707">
        <f t="shared" si="55"/>
        <v>0</v>
      </c>
      <c r="K1742" s="70"/>
    </row>
    <row r="1743" spans="1:11" ht="24" customHeight="1">
      <c r="A1743" s="2" t="s">
        <v>3628</v>
      </c>
      <c r="B1743" s="2" t="s">
        <v>3629</v>
      </c>
      <c r="C1743" s="2">
        <v>1</v>
      </c>
      <c r="D1743" s="2" t="s">
        <v>3618</v>
      </c>
      <c r="E1743" s="33">
        <v>5</v>
      </c>
      <c r="F1743" s="33"/>
      <c r="G1743" s="522"/>
      <c r="H1743" s="707"/>
      <c r="I1743" s="707">
        <f t="shared" si="54"/>
        <v>0</v>
      </c>
      <c r="J1743" s="707">
        <f t="shared" si="55"/>
        <v>0</v>
      </c>
      <c r="K1743" s="55"/>
    </row>
    <row r="1744" spans="1:11" ht="24" customHeight="1">
      <c r="A1744" s="33" t="s">
        <v>2622</v>
      </c>
      <c r="B1744" s="33" t="s">
        <v>25</v>
      </c>
      <c r="C1744" s="33">
        <v>5</v>
      </c>
      <c r="D1744" s="33" t="s">
        <v>2540</v>
      </c>
      <c r="E1744" s="33">
        <v>2</v>
      </c>
      <c r="F1744" s="33"/>
      <c r="G1744" s="522"/>
      <c r="H1744" s="707"/>
      <c r="I1744" s="707">
        <f t="shared" si="54"/>
        <v>0</v>
      </c>
      <c r="J1744" s="707">
        <f t="shared" si="55"/>
        <v>0</v>
      </c>
      <c r="K1744" s="70"/>
    </row>
    <row r="1745" spans="1:11" ht="24" customHeight="1">
      <c r="A1745" s="2" t="s">
        <v>600</v>
      </c>
      <c r="B1745" s="2" t="s">
        <v>83</v>
      </c>
      <c r="C1745" s="2">
        <v>2</v>
      </c>
      <c r="D1745" s="2" t="s">
        <v>593</v>
      </c>
      <c r="E1745" s="33">
        <v>1</v>
      </c>
      <c r="F1745" s="33"/>
      <c r="G1745" s="522"/>
      <c r="H1745" s="707">
        <v>170</v>
      </c>
      <c r="I1745" s="707">
        <f t="shared" si="54"/>
        <v>195.49999999999997</v>
      </c>
      <c r="J1745" s="707">
        <f t="shared" si="55"/>
        <v>221</v>
      </c>
      <c r="K1745" s="70"/>
    </row>
    <row r="1746" spans="1:11" ht="24" customHeight="1">
      <c r="A1746" s="33" t="s">
        <v>3404</v>
      </c>
      <c r="B1746" s="33" t="s">
        <v>3405</v>
      </c>
      <c r="C1746" s="33">
        <v>3</v>
      </c>
      <c r="D1746" s="33" t="s">
        <v>3348</v>
      </c>
      <c r="E1746" s="33">
        <v>4</v>
      </c>
      <c r="F1746" s="33"/>
      <c r="G1746" s="522"/>
      <c r="H1746" s="707">
        <v>3</v>
      </c>
      <c r="I1746" s="707">
        <f t="shared" si="54"/>
        <v>3.4499999999999997</v>
      </c>
      <c r="J1746" s="707">
        <f t="shared" si="55"/>
        <v>3.9000000000000004</v>
      </c>
      <c r="K1746" s="70"/>
    </row>
    <row r="1747" spans="1:11" ht="24" customHeight="1">
      <c r="A1747" s="74" t="s">
        <v>2424</v>
      </c>
      <c r="B1747" s="431" t="s">
        <v>41</v>
      </c>
      <c r="C1747" s="74">
        <v>48</v>
      </c>
      <c r="D1747" s="222" t="s">
        <v>2363</v>
      </c>
      <c r="E1747" s="33">
        <v>5</v>
      </c>
      <c r="F1747" s="33"/>
      <c r="G1747" s="522"/>
      <c r="H1747" s="707"/>
      <c r="I1747" s="707">
        <f t="shared" si="54"/>
        <v>0</v>
      </c>
      <c r="J1747" s="707">
        <f t="shared" si="55"/>
        <v>0</v>
      </c>
      <c r="K1747" s="70"/>
    </row>
    <row r="1748" spans="1:11" ht="24" customHeight="1">
      <c r="A1748" s="222" t="s">
        <v>1005</v>
      </c>
      <c r="B1748" s="222" t="s">
        <v>1006</v>
      </c>
      <c r="C1748" s="33">
        <v>1</v>
      </c>
      <c r="D1748" s="222" t="s">
        <v>992</v>
      </c>
      <c r="E1748" s="33">
        <v>3</v>
      </c>
      <c r="F1748" s="33"/>
      <c r="G1748" s="522"/>
      <c r="H1748" s="707">
        <v>125</v>
      </c>
      <c r="I1748" s="707">
        <f t="shared" si="54"/>
        <v>143.75</v>
      </c>
      <c r="J1748" s="707">
        <f t="shared" si="55"/>
        <v>162.5</v>
      </c>
      <c r="K1748" s="70"/>
    </row>
    <row r="1749" spans="1:11" ht="24" customHeight="1">
      <c r="A1749" s="222" t="s">
        <v>1005</v>
      </c>
      <c r="B1749" s="222" t="s">
        <v>1006</v>
      </c>
      <c r="C1749" s="33">
        <v>1</v>
      </c>
      <c r="D1749" s="222" t="s">
        <v>2540</v>
      </c>
      <c r="E1749" s="33">
        <v>1</v>
      </c>
      <c r="F1749" s="33"/>
      <c r="G1749" s="522"/>
      <c r="H1749" s="707">
        <v>125</v>
      </c>
      <c r="I1749" s="707">
        <f t="shared" si="54"/>
        <v>143.75</v>
      </c>
      <c r="J1749" s="707">
        <f t="shared" si="55"/>
        <v>162.5</v>
      </c>
      <c r="K1749" s="70"/>
    </row>
    <row r="1750" spans="1:11" ht="24" customHeight="1">
      <c r="A1750" s="33" t="s">
        <v>1005</v>
      </c>
      <c r="B1750" s="33" t="s">
        <v>1006</v>
      </c>
      <c r="C1750" s="33">
        <v>3</v>
      </c>
      <c r="D1750" s="222" t="s">
        <v>3279</v>
      </c>
      <c r="E1750" s="33">
        <v>4</v>
      </c>
      <c r="F1750" s="33"/>
      <c r="G1750" s="522"/>
      <c r="H1750" s="707">
        <v>125</v>
      </c>
      <c r="I1750" s="707">
        <f t="shared" si="54"/>
        <v>143.75</v>
      </c>
      <c r="J1750" s="707">
        <f t="shared" si="55"/>
        <v>162.5</v>
      </c>
      <c r="K1750" s="70"/>
    </row>
    <row r="1751" spans="1:11" ht="24" customHeight="1">
      <c r="A1751" s="33" t="s">
        <v>1980</v>
      </c>
      <c r="B1751" s="33" t="s">
        <v>1981</v>
      </c>
      <c r="C1751" s="33">
        <v>1</v>
      </c>
      <c r="D1751" s="222" t="s">
        <v>1938</v>
      </c>
      <c r="E1751" s="33">
        <v>2</v>
      </c>
      <c r="F1751" s="33"/>
      <c r="G1751" s="522"/>
      <c r="H1751" s="707"/>
      <c r="I1751" s="707">
        <f t="shared" si="54"/>
        <v>0</v>
      </c>
      <c r="J1751" s="707">
        <f t="shared" si="55"/>
        <v>0</v>
      </c>
      <c r="K1751" s="70"/>
    </row>
    <row r="1752" spans="1:11" ht="24" customHeight="1">
      <c r="A1752" s="3" t="s">
        <v>3020</v>
      </c>
      <c r="B1752" s="3" t="s">
        <v>150</v>
      </c>
      <c r="C1752" s="3">
        <v>1</v>
      </c>
      <c r="D1752" s="234" t="s">
        <v>2947</v>
      </c>
      <c r="E1752" s="354">
        <v>5</v>
      </c>
      <c r="F1752" s="354"/>
      <c r="G1752" s="688"/>
      <c r="H1752" s="707"/>
      <c r="I1752" s="707">
        <f t="shared" si="54"/>
        <v>0</v>
      </c>
      <c r="J1752" s="707">
        <f t="shared" si="55"/>
        <v>0</v>
      </c>
      <c r="K1752" s="70"/>
    </row>
    <row r="1753" spans="1:11" ht="24" customHeight="1">
      <c r="A1753" s="33" t="s">
        <v>1188</v>
      </c>
      <c r="B1753" s="33" t="s">
        <v>958</v>
      </c>
      <c r="C1753" s="33">
        <v>1</v>
      </c>
      <c r="D1753" s="222" t="s">
        <v>1141</v>
      </c>
      <c r="E1753" s="33">
        <v>2</v>
      </c>
      <c r="F1753" s="33"/>
      <c r="G1753" s="522"/>
      <c r="H1753" s="707"/>
      <c r="I1753" s="707">
        <f t="shared" si="54"/>
        <v>0</v>
      </c>
      <c r="J1753" s="707">
        <f t="shared" si="55"/>
        <v>0</v>
      </c>
      <c r="K1753" s="70"/>
    </row>
    <row r="1754" spans="1:11" ht="24" customHeight="1">
      <c r="A1754" s="33" t="s">
        <v>1188</v>
      </c>
      <c r="B1754" s="33" t="s">
        <v>958</v>
      </c>
      <c r="C1754" s="33">
        <v>1</v>
      </c>
      <c r="D1754" s="222" t="s">
        <v>1325</v>
      </c>
      <c r="E1754" s="33">
        <v>2</v>
      </c>
      <c r="F1754" s="33"/>
      <c r="G1754" s="522"/>
      <c r="H1754" s="707"/>
      <c r="I1754" s="707">
        <f t="shared" si="54"/>
        <v>0</v>
      </c>
      <c r="J1754" s="707">
        <f t="shared" si="55"/>
        <v>0</v>
      </c>
      <c r="K1754" s="70"/>
    </row>
    <row r="1755" spans="1:11" ht="24" customHeight="1">
      <c r="A1755" s="10" t="s">
        <v>1188</v>
      </c>
      <c r="B1755" s="34" t="s">
        <v>147</v>
      </c>
      <c r="C1755" s="11">
        <v>1</v>
      </c>
      <c r="D1755" s="33" t="s">
        <v>3053</v>
      </c>
      <c r="E1755" s="33">
        <v>3</v>
      </c>
      <c r="F1755" s="33"/>
      <c r="G1755" s="522"/>
      <c r="H1755" s="707"/>
      <c r="I1755" s="707">
        <f t="shared" si="54"/>
        <v>0</v>
      </c>
      <c r="J1755" s="707">
        <f t="shared" si="55"/>
        <v>0</v>
      </c>
      <c r="K1755" s="70"/>
    </row>
    <row r="1756" spans="1:11" ht="24" customHeight="1">
      <c r="A1756" s="19" t="s">
        <v>3435</v>
      </c>
      <c r="B1756" s="19" t="s">
        <v>371</v>
      </c>
      <c r="C1756" s="2">
        <v>1</v>
      </c>
      <c r="D1756" s="679" t="s">
        <v>3348</v>
      </c>
      <c r="E1756" s="33">
        <v>5</v>
      </c>
      <c r="F1756" s="33"/>
      <c r="G1756" s="522"/>
      <c r="H1756" s="707">
        <v>250</v>
      </c>
      <c r="I1756" s="707">
        <f t="shared" si="54"/>
        <v>287.5</v>
      </c>
      <c r="J1756" s="707">
        <f t="shared" si="55"/>
        <v>325</v>
      </c>
      <c r="K1756" s="70"/>
    </row>
    <row r="1757" spans="1:11" ht="24" customHeight="1">
      <c r="A1757" s="233" t="s">
        <v>2822</v>
      </c>
      <c r="B1757" s="233" t="s">
        <v>2823</v>
      </c>
      <c r="C1757" s="3">
        <v>5</v>
      </c>
      <c r="D1757" s="236" t="s">
        <v>2802</v>
      </c>
      <c r="E1757" s="33">
        <v>2</v>
      </c>
      <c r="F1757" s="33"/>
      <c r="G1757" s="522"/>
      <c r="H1757" s="707"/>
      <c r="I1757" s="707">
        <f t="shared" si="54"/>
        <v>0</v>
      </c>
      <c r="J1757" s="707">
        <f t="shared" si="55"/>
        <v>0</v>
      </c>
      <c r="K1757" s="70"/>
    </row>
    <row r="1758" spans="1:11" ht="24" customHeight="1">
      <c r="A1758" s="33" t="s">
        <v>3329</v>
      </c>
      <c r="B1758" s="33" t="s">
        <v>21</v>
      </c>
      <c r="C1758" s="33">
        <v>3</v>
      </c>
      <c r="D1758" s="33" t="s">
        <v>3279</v>
      </c>
      <c r="E1758" s="33">
        <v>4</v>
      </c>
      <c r="F1758" s="33"/>
      <c r="G1758" s="522"/>
      <c r="H1758" s="707"/>
      <c r="I1758" s="707">
        <f t="shared" si="54"/>
        <v>0</v>
      </c>
      <c r="J1758" s="707">
        <f t="shared" si="55"/>
        <v>0</v>
      </c>
      <c r="K1758" s="70"/>
    </row>
    <row r="1759" spans="1:11" ht="24" customHeight="1">
      <c r="A1759" s="222" t="s">
        <v>669</v>
      </c>
      <c r="B1759" s="222" t="s">
        <v>10</v>
      </c>
      <c r="C1759" s="33">
        <v>40</v>
      </c>
      <c r="D1759" s="19" t="s">
        <v>593</v>
      </c>
      <c r="E1759" s="33">
        <v>1</v>
      </c>
      <c r="F1759" s="33"/>
      <c r="G1759" s="522"/>
      <c r="H1759" s="707"/>
      <c r="I1759" s="707">
        <f t="shared" si="54"/>
        <v>0</v>
      </c>
      <c r="J1759" s="707">
        <f t="shared" si="55"/>
        <v>0</v>
      </c>
      <c r="K1759" s="70"/>
    </row>
    <row r="1760" spans="1:11" ht="24" customHeight="1">
      <c r="A1760" s="222" t="s">
        <v>1977</v>
      </c>
      <c r="B1760" s="222" t="s">
        <v>1978</v>
      </c>
      <c r="C1760" s="33">
        <v>6</v>
      </c>
      <c r="D1760" s="222" t="s">
        <v>1938</v>
      </c>
      <c r="E1760" s="33">
        <v>1</v>
      </c>
      <c r="F1760" s="33"/>
      <c r="G1760" s="522"/>
      <c r="H1760" s="707"/>
      <c r="I1760" s="707">
        <f t="shared" si="54"/>
        <v>0</v>
      </c>
      <c r="J1760" s="707">
        <f t="shared" si="55"/>
        <v>0</v>
      </c>
      <c r="K1760" s="70"/>
    </row>
    <row r="1761" spans="1:11" ht="24" customHeight="1">
      <c r="A1761" s="19" t="s">
        <v>902</v>
      </c>
      <c r="B1761" s="19" t="s">
        <v>10</v>
      </c>
      <c r="C1761" s="2">
        <v>2</v>
      </c>
      <c r="D1761" s="19" t="s">
        <v>888</v>
      </c>
      <c r="E1761" s="33">
        <v>5</v>
      </c>
      <c r="F1761" s="33"/>
      <c r="G1761" s="522"/>
      <c r="H1761" s="707"/>
      <c r="I1761" s="707">
        <f t="shared" si="54"/>
        <v>0</v>
      </c>
      <c r="J1761" s="707">
        <f t="shared" si="55"/>
        <v>0</v>
      </c>
      <c r="K1761" s="55"/>
    </row>
    <row r="1762" spans="1:11" ht="24" customHeight="1">
      <c r="A1762" s="7" t="s">
        <v>3445</v>
      </c>
      <c r="B1762" s="9" t="s">
        <v>3442</v>
      </c>
      <c r="C1762" s="11">
        <v>1</v>
      </c>
      <c r="D1762" s="104" t="s">
        <v>3443</v>
      </c>
      <c r="E1762" s="96" t="s">
        <v>3444</v>
      </c>
      <c r="F1762" s="96"/>
      <c r="G1762" s="638"/>
      <c r="H1762" s="707"/>
      <c r="I1762" s="707">
        <f t="shared" si="54"/>
        <v>0</v>
      </c>
      <c r="J1762" s="707">
        <f t="shared" si="55"/>
        <v>0</v>
      </c>
      <c r="K1762" s="70"/>
    </row>
    <row r="1763" spans="1:11" ht="24" customHeight="1">
      <c r="A1763" s="673" t="s">
        <v>1925</v>
      </c>
      <c r="B1763" s="673" t="s">
        <v>1926</v>
      </c>
      <c r="C1763" s="399">
        <v>1</v>
      </c>
      <c r="D1763" s="680" t="s">
        <v>1898</v>
      </c>
      <c r="E1763" s="400">
        <v>4</v>
      </c>
      <c r="F1763" s="400" t="s">
        <v>1012</v>
      </c>
      <c r="G1763" s="690"/>
      <c r="H1763" s="713"/>
      <c r="I1763" s="713">
        <f t="shared" si="54"/>
        <v>0</v>
      </c>
      <c r="J1763" s="713">
        <f t="shared" si="55"/>
        <v>0</v>
      </c>
      <c r="K1763" s="401"/>
    </row>
    <row r="1764" spans="1:11" ht="24" customHeight="1">
      <c r="A1764" s="222" t="s">
        <v>2401</v>
      </c>
      <c r="B1764" s="222" t="s">
        <v>10</v>
      </c>
      <c r="C1764" s="33">
        <v>219</v>
      </c>
      <c r="D1764" s="222" t="s">
        <v>2363</v>
      </c>
      <c r="E1764" s="33">
        <v>4</v>
      </c>
      <c r="F1764" s="33"/>
      <c r="G1764" s="522"/>
      <c r="H1764" s="707">
        <v>3</v>
      </c>
      <c r="I1764" s="707">
        <f t="shared" si="54"/>
        <v>3.4499999999999997</v>
      </c>
      <c r="J1764" s="707">
        <f t="shared" si="55"/>
        <v>3.9000000000000004</v>
      </c>
      <c r="K1764" s="70"/>
    </row>
    <row r="1765" spans="1:11" ht="24" customHeight="1">
      <c r="A1765" s="222" t="s">
        <v>2401</v>
      </c>
      <c r="B1765" s="222" t="s">
        <v>10</v>
      </c>
      <c r="C1765" s="33">
        <v>1</v>
      </c>
      <c r="D1765" s="222" t="s">
        <v>2540</v>
      </c>
      <c r="E1765" s="33">
        <v>2</v>
      </c>
      <c r="F1765" s="33"/>
      <c r="G1765" s="522"/>
      <c r="H1765" s="707">
        <v>3</v>
      </c>
      <c r="I1765" s="707">
        <f t="shared" si="54"/>
        <v>3.4499999999999997</v>
      </c>
      <c r="J1765" s="707">
        <f t="shared" si="55"/>
        <v>3.9000000000000004</v>
      </c>
      <c r="K1765" s="70"/>
    </row>
    <row r="1766" spans="1:11" ht="24" customHeight="1">
      <c r="A1766" s="222" t="s">
        <v>2118</v>
      </c>
      <c r="B1766" s="222" t="s">
        <v>10</v>
      </c>
      <c r="C1766" s="33">
        <v>8</v>
      </c>
      <c r="D1766" s="222" t="s">
        <v>2111</v>
      </c>
      <c r="E1766" s="33">
        <v>1</v>
      </c>
      <c r="F1766" s="33"/>
      <c r="G1766" s="522"/>
      <c r="H1766" s="707">
        <v>5</v>
      </c>
      <c r="I1766" s="707">
        <f t="shared" si="54"/>
        <v>5.75</v>
      </c>
      <c r="J1766" s="707">
        <f t="shared" si="55"/>
        <v>6.5</v>
      </c>
      <c r="K1766" s="70"/>
    </row>
    <row r="1767" spans="1:11" ht="24" customHeight="1">
      <c r="A1767" s="33" t="s">
        <v>2118</v>
      </c>
      <c r="B1767" s="33" t="s">
        <v>10</v>
      </c>
      <c r="C1767" s="33">
        <v>1</v>
      </c>
      <c r="D1767" s="33" t="s">
        <v>2363</v>
      </c>
      <c r="E1767" s="33">
        <v>4</v>
      </c>
      <c r="F1767" s="33"/>
      <c r="G1767" s="522"/>
      <c r="H1767" s="707">
        <v>5</v>
      </c>
      <c r="I1767" s="707">
        <f t="shared" si="54"/>
        <v>5.75</v>
      </c>
      <c r="J1767" s="707">
        <f t="shared" si="55"/>
        <v>6.5</v>
      </c>
      <c r="K1767" s="70"/>
    </row>
    <row r="1768" spans="1:11" ht="24" customHeight="1">
      <c r="A1768" s="33" t="s">
        <v>2118</v>
      </c>
      <c r="B1768" s="33" t="s">
        <v>10</v>
      </c>
      <c r="C1768" s="33">
        <v>57</v>
      </c>
      <c r="D1768" s="33" t="s">
        <v>2624</v>
      </c>
      <c r="E1768" s="33">
        <v>3</v>
      </c>
      <c r="F1768" s="33"/>
      <c r="G1768" s="522"/>
      <c r="H1768" s="707">
        <v>5</v>
      </c>
      <c r="I1768" s="707">
        <f t="shared" si="54"/>
        <v>5.75</v>
      </c>
      <c r="J1768" s="707">
        <f t="shared" si="55"/>
        <v>6.5</v>
      </c>
      <c r="K1768" s="70"/>
    </row>
    <row r="1769" spans="1:11" ht="24" customHeight="1">
      <c r="A1769" s="222" t="s">
        <v>1500</v>
      </c>
      <c r="B1769" s="222" t="s">
        <v>41</v>
      </c>
      <c r="C1769" s="33">
        <v>8</v>
      </c>
      <c r="D1769" s="222" t="s">
        <v>1494</v>
      </c>
      <c r="E1769" s="33">
        <v>1</v>
      </c>
      <c r="F1769" s="33"/>
      <c r="G1769" s="522"/>
      <c r="H1769" s="707"/>
      <c r="I1769" s="707">
        <f t="shared" si="54"/>
        <v>0</v>
      </c>
      <c r="J1769" s="707">
        <f t="shared" si="55"/>
        <v>0</v>
      </c>
      <c r="K1769" s="70"/>
    </row>
    <row r="1770" spans="1:11" ht="24" customHeight="1">
      <c r="A1770" s="19" t="s">
        <v>46</v>
      </c>
      <c r="B1770" s="19" t="s">
        <v>45</v>
      </c>
      <c r="C1770" s="2">
        <v>474</v>
      </c>
      <c r="D1770" s="19" t="s">
        <v>11</v>
      </c>
      <c r="E1770" s="33">
        <v>1</v>
      </c>
      <c r="F1770" s="33"/>
      <c r="G1770" s="522"/>
      <c r="H1770" s="707"/>
      <c r="I1770" s="707">
        <f t="shared" si="54"/>
        <v>0</v>
      </c>
      <c r="J1770" s="707">
        <f t="shared" si="55"/>
        <v>0</v>
      </c>
      <c r="K1770" s="70"/>
    </row>
    <row r="1771" spans="1:11" ht="24" customHeight="1">
      <c r="A1771" s="19" t="s">
        <v>3626</v>
      </c>
      <c r="B1771" s="19" t="s">
        <v>34</v>
      </c>
      <c r="C1771" s="2">
        <v>2</v>
      </c>
      <c r="D1771" s="19" t="s">
        <v>3618</v>
      </c>
      <c r="E1771" s="33">
        <v>5</v>
      </c>
      <c r="F1771" s="33"/>
      <c r="G1771" s="522"/>
      <c r="H1771" s="707"/>
      <c r="I1771" s="707">
        <f t="shared" si="54"/>
        <v>0</v>
      </c>
      <c r="J1771" s="707">
        <f t="shared" si="55"/>
        <v>0</v>
      </c>
      <c r="K1771" s="55"/>
    </row>
    <row r="1772" spans="1:11" ht="24" customHeight="1">
      <c r="A1772" s="7" t="s">
        <v>3540</v>
      </c>
      <c r="B1772" s="9" t="s">
        <v>34</v>
      </c>
      <c r="C1772" s="11">
        <v>2</v>
      </c>
      <c r="D1772" s="14" t="s">
        <v>3539</v>
      </c>
      <c r="E1772" s="15">
        <v>4</v>
      </c>
      <c r="F1772" s="15"/>
      <c r="G1772" s="684"/>
      <c r="H1772" s="707">
        <v>50</v>
      </c>
      <c r="I1772" s="707">
        <f t="shared" si="54"/>
        <v>57.499999999999993</v>
      </c>
      <c r="J1772" s="707">
        <f t="shared" si="55"/>
        <v>65</v>
      </c>
      <c r="K1772" s="70"/>
    </row>
    <row r="1773" spans="1:11" ht="24" customHeight="1">
      <c r="A1773" s="222" t="s">
        <v>2126</v>
      </c>
      <c r="B1773" s="222" t="s">
        <v>19</v>
      </c>
      <c r="C1773" s="33">
        <v>9</v>
      </c>
      <c r="D1773" s="222" t="s">
        <v>2111</v>
      </c>
      <c r="E1773" s="33">
        <v>1</v>
      </c>
      <c r="F1773" s="33"/>
      <c r="G1773" s="522"/>
      <c r="H1773" s="707"/>
      <c r="I1773" s="707">
        <f t="shared" si="54"/>
        <v>0</v>
      </c>
      <c r="J1773" s="707">
        <f t="shared" si="55"/>
        <v>0</v>
      </c>
      <c r="K1773" s="70"/>
    </row>
    <row r="1774" spans="1:11" ht="24" customHeight="1">
      <c r="A1774" s="222" t="s">
        <v>2386</v>
      </c>
      <c r="B1774" s="222" t="s">
        <v>2387</v>
      </c>
      <c r="C1774" s="33">
        <v>3</v>
      </c>
      <c r="D1774" s="222" t="s">
        <v>2363</v>
      </c>
      <c r="E1774" s="33">
        <v>3</v>
      </c>
      <c r="F1774" s="33"/>
      <c r="G1774" s="522"/>
      <c r="H1774" s="707">
        <v>22</v>
      </c>
      <c r="I1774" s="707">
        <f t="shared" si="54"/>
        <v>25.299999999999997</v>
      </c>
      <c r="J1774" s="707">
        <f t="shared" si="55"/>
        <v>28.6</v>
      </c>
      <c r="K1774" s="70"/>
    </row>
    <row r="1775" spans="1:11" ht="24" customHeight="1">
      <c r="A1775" s="19" t="s">
        <v>3622</v>
      </c>
      <c r="B1775" s="19" t="s">
        <v>245</v>
      </c>
      <c r="C1775" s="2">
        <v>1</v>
      </c>
      <c r="D1775" s="19" t="s">
        <v>3618</v>
      </c>
      <c r="E1775" s="33">
        <v>5</v>
      </c>
      <c r="F1775" s="33"/>
      <c r="G1775" s="522"/>
      <c r="H1775" s="707"/>
      <c r="I1775" s="707">
        <f t="shared" si="54"/>
        <v>0</v>
      </c>
      <c r="J1775" s="707">
        <f t="shared" si="55"/>
        <v>0</v>
      </c>
      <c r="K1775" s="55"/>
    </row>
    <row r="1776" spans="1:11" ht="24" customHeight="1">
      <c r="A1776" s="19" t="s">
        <v>3622</v>
      </c>
      <c r="B1776" s="19" t="s">
        <v>245</v>
      </c>
      <c r="C1776" s="2">
        <v>1</v>
      </c>
      <c r="D1776" s="19" t="s">
        <v>3636</v>
      </c>
      <c r="E1776" s="33">
        <v>2</v>
      </c>
      <c r="F1776" s="33"/>
      <c r="G1776" s="522"/>
      <c r="H1776" s="707"/>
      <c r="I1776" s="707">
        <f t="shared" si="54"/>
        <v>0</v>
      </c>
      <c r="J1776" s="707">
        <f t="shared" si="55"/>
        <v>0</v>
      </c>
      <c r="K1776" s="55"/>
    </row>
    <row r="1777" spans="1:11" ht="24" customHeight="1">
      <c r="A1777" s="19" t="s">
        <v>3625</v>
      </c>
      <c r="B1777" s="19" t="s">
        <v>245</v>
      </c>
      <c r="C1777" s="2">
        <v>1</v>
      </c>
      <c r="D1777" s="19" t="s">
        <v>3618</v>
      </c>
      <c r="E1777" s="33">
        <v>5</v>
      </c>
      <c r="F1777" s="33"/>
      <c r="G1777" s="522"/>
      <c r="H1777" s="707"/>
      <c r="I1777" s="707">
        <f t="shared" si="54"/>
        <v>0</v>
      </c>
      <c r="J1777" s="707">
        <f t="shared" si="55"/>
        <v>0</v>
      </c>
      <c r="K1777" s="55"/>
    </row>
    <row r="1778" spans="1:11" ht="24" customHeight="1">
      <c r="A1778" s="16" t="s">
        <v>1779</v>
      </c>
      <c r="B1778" s="16" t="s">
        <v>1778</v>
      </c>
      <c r="C1778" s="17">
        <v>2</v>
      </c>
      <c r="D1778" s="14" t="s">
        <v>1775</v>
      </c>
      <c r="E1778" s="15">
        <v>5</v>
      </c>
      <c r="F1778" s="15"/>
      <c r="G1778" s="684"/>
      <c r="H1778" s="707"/>
      <c r="I1778" s="707">
        <f t="shared" si="54"/>
        <v>0</v>
      </c>
      <c r="J1778" s="707">
        <f t="shared" si="55"/>
        <v>0</v>
      </c>
      <c r="K1778" s="70"/>
    </row>
    <row r="1779" spans="1:11" ht="24" customHeight="1">
      <c r="A1779" s="391" t="s">
        <v>3002</v>
      </c>
      <c r="B1779" s="235" t="s">
        <v>1778</v>
      </c>
      <c r="C1779" s="59">
        <v>1</v>
      </c>
      <c r="D1779" s="234" t="s">
        <v>2947</v>
      </c>
      <c r="E1779" s="354">
        <v>5</v>
      </c>
      <c r="F1779" s="354"/>
      <c r="G1779" s="688"/>
      <c r="H1779" s="707">
        <v>200</v>
      </c>
      <c r="I1779" s="707">
        <f t="shared" si="54"/>
        <v>229.99999999999997</v>
      </c>
      <c r="J1779" s="707">
        <f t="shared" si="55"/>
        <v>260</v>
      </c>
      <c r="K1779" s="70"/>
    </row>
    <row r="1780" spans="1:11" ht="24" customHeight="1">
      <c r="A1780" s="7" t="s">
        <v>3076</v>
      </c>
      <c r="B1780" s="8" t="s">
        <v>1778</v>
      </c>
      <c r="C1780" s="10">
        <v>1</v>
      </c>
      <c r="D1780" s="222" t="s">
        <v>3053</v>
      </c>
      <c r="E1780" s="17">
        <v>2</v>
      </c>
      <c r="F1780" s="17"/>
      <c r="G1780" s="687"/>
      <c r="H1780" s="707"/>
      <c r="I1780" s="707">
        <f t="shared" si="54"/>
        <v>0</v>
      </c>
      <c r="J1780" s="707">
        <f t="shared" si="55"/>
        <v>0</v>
      </c>
      <c r="K1780" s="70"/>
    </row>
    <row r="1781" spans="1:11" ht="24" customHeight="1">
      <c r="A1781" s="235" t="s">
        <v>2987</v>
      </c>
      <c r="B1781" s="235" t="s">
        <v>1778</v>
      </c>
      <c r="C1781" s="59">
        <v>1</v>
      </c>
      <c r="D1781" s="234" t="s">
        <v>2947</v>
      </c>
      <c r="E1781" s="354">
        <v>5</v>
      </c>
      <c r="F1781" s="354"/>
      <c r="G1781" s="688"/>
      <c r="H1781" s="707"/>
      <c r="I1781" s="707">
        <f t="shared" si="54"/>
        <v>0</v>
      </c>
      <c r="J1781" s="707">
        <f t="shared" si="55"/>
        <v>0</v>
      </c>
      <c r="K1781" s="70"/>
    </row>
    <row r="1782" spans="1:11" ht="24" customHeight="1">
      <c r="A1782" s="233" t="s">
        <v>2804</v>
      </c>
      <c r="B1782" s="233" t="s">
        <v>2290</v>
      </c>
      <c r="C1782" s="3">
        <v>121</v>
      </c>
      <c r="D1782" s="236" t="s">
        <v>2802</v>
      </c>
      <c r="E1782" s="33">
        <v>2</v>
      </c>
      <c r="F1782" s="33"/>
      <c r="G1782" s="522"/>
      <c r="H1782" s="707"/>
      <c r="I1782" s="707">
        <f t="shared" si="54"/>
        <v>0</v>
      </c>
      <c r="J1782" s="707">
        <f t="shared" si="55"/>
        <v>0</v>
      </c>
      <c r="K1782" s="70"/>
    </row>
    <row r="1783" spans="1:11" ht="24" customHeight="1">
      <c r="A1783" s="222" t="s">
        <v>3289</v>
      </c>
      <c r="B1783" s="222" t="s">
        <v>3290</v>
      </c>
      <c r="C1783" s="33">
        <v>2</v>
      </c>
      <c r="D1783" s="222" t="s">
        <v>3279</v>
      </c>
      <c r="E1783" s="33">
        <v>3</v>
      </c>
      <c r="F1783" s="33"/>
      <c r="G1783" s="522"/>
      <c r="H1783" s="707">
        <v>400</v>
      </c>
      <c r="I1783" s="707">
        <f t="shared" si="54"/>
        <v>459.99999999999994</v>
      </c>
      <c r="J1783" s="707">
        <f t="shared" si="55"/>
        <v>520</v>
      </c>
      <c r="K1783" s="70"/>
    </row>
    <row r="1784" spans="1:11" ht="24" customHeight="1">
      <c r="A1784" s="222" t="s">
        <v>362</v>
      </c>
      <c r="B1784" s="222" t="s">
        <v>41</v>
      </c>
      <c r="C1784" s="33">
        <v>17</v>
      </c>
      <c r="D1784" s="19" t="s">
        <v>274</v>
      </c>
      <c r="E1784" s="33">
        <v>1</v>
      </c>
      <c r="F1784" s="33"/>
      <c r="G1784" s="522"/>
      <c r="H1784" s="709"/>
      <c r="I1784" s="709">
        <f t="shared" si="54"/>
        <v>0</v>
      </c>
      <c r="J1784" s="709">
        <f t="shared" si="55"/>
        <v>0</v>
      </c>
      <c r="K1784" s="70"/>
    </row>
    <row r="1785" spans="1:11" ht="24" customHeight="1">
      <c r="A1785" s="7" t="s">
        <v>2778</v>
      </c>
      <c r="B1785" s="9" t="s">
        <v>558</v>
      </c>
      <c r="C1785" s="11">
        <v>25</v>
      </c>
      <c r="D1785" s="14" t="s">
        <v>2772</v>
      </c>
      <c r="E1785" s="17">
        <v>4</v>
      </c>
      <c r="F1785" s="17"/>
      <c r="G1785" s="687"/>
      <c r="H1785" s="707"/>
      <c r="I1785" s="707">
        <f t="shared" si="54"/>
        <v>0</v>
      </c>
      <c r="J1785" s="707">
        <f t="shared" si="55"/>
        <v>0</v>
      </c>
      <c r="K1785" s="70"/>
    </row>
    <row r="1786" spans="1:11" ht="24" customHeight="1">
      <c r="A1786" s="222" t="s">
        <v>363</v>
      </c>
      <c r="B1786" s="234" t="s">
        <v>364</v>
      </c>
      <c r="C1786" s="71">
        <v>2</v>
      </c>
      <c r="D1786" s="19" t="s">
        <v>274</v>
      </c>
      <c r="E1786" s="71">
        <v>1</v>
      </c>
      <c r="F1786" s="71"/>
      <c r="G1786" s="686"/>
      <c r="H1786" s="709"/>
      <c r="I1786" s="709">
        <f t="shared" si="54"/>
        <v>0</v>
      </c>
      <c r="J1786" s="709">
        <f t="shared" si="55"/>
        <v>0</v>
      </c>
      <c r="K1786" s="70"/>
    </row>
    <row r="1787" spans="1:11" ht="24" customHeight="1">
      <c r="A1787" s="222" t="s">
        <v>2662</v>
      </c>
      <c r="B1787" s="222" t="s">
        <v>371</v>
      </c>
      <c r="C1787" s="33">
        <v>6</v>
      </c>
      <c r="D1787" s="222" t="s">
        <v>2624</v>
      </c>
      <c r="E1787" s="33">
        <v>4</v>
      </c>
      <c r="F1787" s="33"/>
      <c r="G1787" s="522"/>
      <c r="H1787" s="707"/>
      <c r="I1787" s="707">
        <f t="shared" si="54"/>
        <v>0</v>
      </c>
      <c r="J1787" s="707">
        <f t="shared" si="55"/>
        <v>0</v>
      </c>
      <c r="K1787" s="70"/>
    </row>
    <row r="1788" spans="1:11" ht="24" hidden="1" customHeight="1">
      <c r="A1788" s="19" t="s">
        <v>345</v>
      </c>
      <c r="B1788" s="19" t="s">
        <v>14</v>
      </c>
      <c r="C1788" s="2">
        <v>1</v>
      </c>
      <c r="D1788" s="19" t="s">
        <v>274</v>
      </c>
      <c r="E1788" s="33">
        <v>1</v>
      </c>
      <c r="F1788" s="33"/>
      <c r="G1788" s="522"/>
      <c r="H1788" s="56"/>
      <c r="I1788" s="56">
        <f t="shared" si="54"/>
        <v>0</v>
      </c>
      <c r="J1788" s="56">
        <f t="shared" si="55"/>
        <v>0</v>
      </c>
      <c r="K1788" s="70" t="s">
        <v>84</v>
      </c>
    </row>
    <row r="1789" spans="1:11" ht="24" customHeight="1">
      <c r="A1789" s="222" t="s">
        <v>856</v>
      </c>
      <c r="B1789" s="222" t="s">
        <v>857</v>
      </c>
      <c r="C1789" s="33">
        <v>1</v>
      </c>
      <c r="D1789" s="19" t="s">
        <v>593</v>
      </c>
      <c r="E1789" s="33">
        <v>3</v>
      </c>
      <c r="F1789" s="33"/>
      <c r="G1789" s="522"/>
      <c r="H1789" s="707"/>
      <c r="I1789" s="707">
        <f t="shared" si="54"/>
        <v>0</v>
      </c>
      <c r="J1789" s="707">
        <f t="shared" si="55"/>
        <v>0</v>
      </c>
      <c r="K1789" s="70"/>
    </row>
    <row r="1790" spans="1:11" ht="24" customHeight="1">
      <c r="A1790" s="222" t="s">
        <v>2124</v>
      </c>
      <c r="B1790" s="222" t="s">
        <v>10</v>
      </c>
      <c r="C1790" s="33">
        <v>10</v>
      </c>
      <c r="D1790" s="222" t="s">
        <v>2111</v>
      </c>
      <c r="E1790" s="33">
        <v>1</v>
      </c>
      <c r="F1790" s="33"/>
      <c r="G1790" s="522"/>
      <c r="H1790" s="707"/>
      <c r="I1790" s="707">
        <f t="shared" si="54"/>
        <v>0</v>
      </c>
      <c r="J1790" s="707">
        <f t="shared" si="55"/>
        <v>0</v>
      </c>
      <c r="K1790" s="70" t="s">
        <v>51</v>
      </c>
    </row>
    <row r="1791" spans="1:11" ht="24" customHeight="1">
      <c r="A1791" s="222" t="s">
        <v>80</v>
      </c>
      <c r="B1791" s="222" t="s">
        <v>81</v>
      </c>
      <c r="C1791" s="33">
        <v>28</v>
      </c>
      <c r="D1791" s="19" t="s">
        <v>11</v>
      </c>
      <c r="E1791" s="33">
        <v>1</v>
      </c>
      <c r="F1791" s="33"/>
      <c r="G1791" s="522"/>
      <c r="H1791" s="707"/>
      <c r="I1791" s="707">
        <f t="shared" si="54"/>
        <v>0</v>
      </c>
      <c r="J1791" s="707">
        <f t="shared" si="55"/>
        <v>0</v>
      </c>
      <c r="K1791" s="70"/>
    </row>
    <row r="1792" spans="1:11" ht="24" customHeight="1">
      <c r="A1792" s="222" t="s">
        <v>80</v>
      </c>
      <c r="B1792" s="222" t="s">
        <v>81</v>
      </c>
      <c r="C1792" s="33">
        <v>30</v>
      </c>
      <c r="D1792" s="19" t="s">
        <v>593</v>
      </c>
      <c r="E1792" s="33">
        <v>3</v>
      </c>
      <c r="F1792" s="33"/>
      <c r="G1792" s="522"/>
      <c r="H1792" s="707"/>
      <c r="I1792" s="707">
        <f t="shared" si="54"/>
        <v>0</v>
      </c>
      <c r="J1792" s="707">
        <f t="shared" si="55"/>
        <v>0</v>
      </c>
      <c r="K1792" s="70"/>
    </row>
    <row r="1793" spans="1:11" ht="24" customHeight="1">
      <c r="A1793" s="222" t="s">
        <v>3113</v>
      </c>
      <c r="B1793" s="222" t="s">
        <v>19</v>
      </c>
      <c r="C1793" s="33">
        <v>14</v>
      </c>
      <c r="D1793" s="222" t="s">
        <v>3053</v>
      </c>
      <c r="E1793" s="33">
        <v>3</v>
      </c>
      <c r="F1793" s="33"/>
      <c r="G1793" s="522"/>
      <c r="H1793" s="707"/>
      <c r="I1793" s="707">
        <f t="shared" si="54"/>
        <v>0</v>
      </c>
      <c r="J1793" s="707">
        <f t="shared" si="55"/>
        <v>0</v>
      </c>
      <c r="K1793" s="70"/>
    </row>
    <row r="1794" spans="1:11" ht="24" customHeight="1">
      <c r="A1794" s="222" t="s">
        <v>2042</v>
      </c>
      <c r="B1794" s="222" t="s">
        <v>27</v>
      </c>
      <c r="C1794" s="33">
        <v>21</v>
      </c>
      <c r="D1794" s="222" t="s">
        <v>2026</v>
      </c>
      <c r="E1794" s="33">
        <v>3</v>
      </c>
      <c r="F1794" s="33"/>
      <c r="G1794" s="522"/>
      <c r="H1794" s="707"/>
      <c r="I1794" s="707">
        <f t="shared" si="54"/>
        <v>0</v>
      </c>
      <c r="J1794" s="707">
        <f t="shared" si="55"/>
        <v>0</v>
      </c>
      <c r="K1794" s="70"/>
    </row>
    <row r="1795" spans="1:11" ht="24" customHeight="1">
      <c r="A1795" s="33" t="s">
        <v>8142</v>
      </c>
      <c r="B1795" s="33" t="s">
        <v>27</v>
      </c>
      <c r="C1795" s="33">
        <v>79</v>
      </c>
      <c r="D1795" s="222" t="s">
        <v>8137</v>
      </c>
      <c r="E1795" s="33">
        <v>5</v>
      </c>
      <c r="F1795" s="33"/>
      <c r="G1795" s="522"/>
      <c r="H1795" s="707">
        <v>0.11</v>
      </c>
      <c r="I1795" s="707">
        <f t="shared" ref="I1795:I1858" si="56">H1795 * 1.15</f>
        <v>0.1265</v>
      </c>
      <c r="J1795" s="707">
        <f t="shared" ref="J1795:J1858" si="57">H1795 * 1.3</f>
        <v>0.14300000000000002</v>
      </c>
      <c r="K1795" s="70"/>
    </row>
    <row r="1796" spans="1:11" ht="24" customHeight="1">
      <c r="A1796" s="33" t="s">
        <v>8141</v>
      </c>
      <c r="B1796" s="33" t="s">
        <v>27</v>
      </c>
      <c r="C1796" s="33">
        <v>27</v>
      </c>
      <c r="D1796" s="222" t="s">
        <v>8137</v>
      </c>
      <c r="E1796" s="33">
        <v>5</v>
      </c>
      <c r="F1796" s="33"/>
      <c r="G1796" s="522"/>
      <c r="H1796" s="707">
        <v>0.34</v>
      </c>
      <c r="I1796" s="707">
        <f t="shared" si="56"/>
        <v>0.39100000000000001</v>
      </c>
      <c r="J1796" s="707">
        <f t="shared" si="57"/>
        <v>0.44200000000000006</v>
      </c>
      <c r="K1796" s="70"/>
    </row>
    <row r="1797" spans="1:11" ht="24" customHeight="1">
      <c r="A1797" s="33" t="s">
        <v>1025</v>
      </c>
      <c r="B1797" s="33" t="s">
        <v>27</v>
      </c>
      <c r="C1797" s="33">
        <v>85</v>
      </c>
      <c r="D1797" s="222" t="s">
        <v>992</v>
      </c>
      <c r="E1797" s="33">
        <v>3</v>
      </c>
      <c r="F1797" s="33"/>
      <c r="G1797" s="522"/>
      <c r="H1797" s="707"/>
      <c r="I1797" s="707">
        <f t="shared" si="56"/>
        <v>0</v>
      </c>
      <c r="J1797" s="707">
        <f t="shared" si="57"/>
        <v>0</v>
      </c>
      <c r="K1797" s="70"/>
    </row>
    <row r="1798" spans="1:11" ht="24" customHeight="1">
      <c r="A1798" s="33" t="s">
        <v>1224</v>
      </c>
      <c r="B1798" s="33" t="s">
        <v>21</v>
      </c>
      <c r="C1798" s="33">
        <v>13</v>
      </c>
      <c r="D1798" s="222" t="s">
        <v>1201</v>
      </c>
      <c r="E1798" s="33">
        <v>3</v>
      </c>
      <c r="F1798" s="33"/>
      <c r="G1798" s="522"/>
      <c r="H1798" s="707"/>
      <c r="I1798" s="707">
        <f t="shared" si="56"/>
        <v>0</v>
      </c>
      <c r="J1798" s="707">
        <f t="shared" si="57"/>
        <v>0</v>
      </c>
      <c r="K1798" s="70"/>
    </row>
    <row r="1799" spans="1:11" ht="24" customHeight="1">
      <c r="A1799" s="2" t="s">
        <v>823</v>
      </c>
      <c r="B1799" s="2" t="s">
        <v>27</v>
      </c>
      <c r="C1799" s="2">
        <v>8</v>
      </c>
      <c r="D1799" s="19" t="s">
        <v>593</v>
      </c>
      <c r="E1799" s="33">
        <v>3</v>
      </c>
      <c r="F1799" s="33"/>
      <c r="G1799" s="522"/>
      <c r="H1799" s="707"/>
      <c r="I1799" s="707">
        <f t="shared" si="56"/>
        <v>0</v>
      </c>
      <c r="J1799" s="707">
        <f t="shared" si="57"/>
        <v>0</v>
      </c>
      <c r="K1799" s="70"/>
    </row>
    <row r="1800" spans="1:11" ht="24" customHeight="1">
      <c r="A1800" s="19" t="s">
        <v>79</v>
      </c>
      <c r="B1800" s="19" t="s">
        <v>21</v>
      </c>
      <c r="C1800" s="2">
        <v>9</v>
      </c>
      <c r="D1800" s="19" t="s">
        <v>11</v>
      </c>
      <c r="E1800" s="33">
        <v>1</v>
      </c>
      <c r="F1800" s="33"/>
      <c r="G1800" s="522"/>
      <c r="H1800" s="707"/>
      <c r="I1800" s="707">
        <f t="shared" si="56"/>
        <v>0</v>
      </c>
      <c r="J1800" s="707">
        <f t="shared" si="57"/>
        <v>0</v>
      </c>
      <c r="K1800" s="70"/>
    </row>
    <row r="1801" spans="1:11" ht="24" customHeight="1">
      <c r="A1801" s="431" t="s">
        <v>1122</v>
      </c>
      <c r="B1801" s="431" t="s">
        <v>21</v>
      </c>
      <c r="C1801" s="74">
        <v>9</v>
      </c>
      <c r="D1801" s="222" t="s">
        <v>992</v>
      </c>
      <c r="E1801" s="33">
        <v>5</v>
      </c>
      <c r="F1801" s="33"/>
      <c r="G1801" s="522"/>
      <c r="H1801" s="707">
        <v>25</v>
      </c>
      <c r="I1801" s="707">
        <f t="shared" si="56"/>
        <v>28.749999999999996</v>
      </c>
      <c r="J1801" s="707">
        <f t="shared" si="57"/>
        <v>32.5</v>
      </c>
      <c r="K1801" s="70"/>
    </row>
    <row r="1802" spans="1:11" ht="24" customHeight="1">
      <c r="A1802" s="33" t="s">
        <v>783</v>
      </c>
      <c r="B1802" s="33" t="s">
        <v>19</v>
      </c>
      <c r="C1802" s="33">
        <v>6</v>
      </c>
      <c r="D1802" s="33" t="s">
        <v>1548</v>
      </c>
      <c r="E1802" s="33">
        <v>3</v>
      </c>
      <c r="F1802" s="33"/>
      <c r="G1802" s="522"/>
      <c r="H1802" s="707">
        <v>1</v>
      </c>
      <c r="I1802" s="707">
        <f t="shared" si="56"/>
        <v>1.1499999999999999</v>
      </c>
      <c r="J1802" s="707">
        <f t="shared" si="57"/>
        <v>1.3</v>
      </c>
      <c r="K1802" s="70"/>
    </row>
    <row r="1803" spans="1:11" ht="24" customHeight="1">
      <c r="A1803" s="222" t="s">
        <v>1156</v>
      </c>
      <c r="B1803" s="222" t="s">
        <v>21</v>
      </c>
      <c r="C1803" s="33">
        <v>161</v>
      </c>
      <c r="D1803" s="222" t="s">
        <v>1141</v>
      </c>
      <c r="E1803" s="33">
        <v>1</v>
      </c>
      <c r="F1803" s="33"/>
      <c r="G1803" s="522"/>
      <c r="H1803" s="707"/>
      <c r="I1803" s="707">
        <f t="shared" si="56"/>
        <v>0</v>
      </c>
      <c r="J1803" s="707">
        <f t="shared" si="57"/>
        <v>0</v>
      </c>
      <c r="K1803" s="70"/>
    </row>
    <row r="1804" spans="1:11" ht="24" customHeight="1">
      <c r="A1804" s="33" t="s">
        <v>2064</v>
      </c>
      <c r="B1804" s="33" t="s">
        <v>21</v>
      </c>
      <c r="C1804" s="33">
        <v>1</v>
      </c>
      <c r="D1804" s="222" t="s">
        <v>2026</v>
      </c>
      <c r="E1804" s="33">
        <v>4</v>
      </c>
      <c r="F1804" s="33"/>
      <c r="G1804" s="522"/>
      <c r="H1804" s="707"/>
      <c r="I1804" s="707">
        <f t="shared" si="56"/>
        <v>0</v>
      </c>
      <c r="J1804" s="707">
        <f t="shared" si="57"/>
        <v>0</v>
      </c>
      <c r="K1804" s="70"/>
    </row>
    <row r="1805" spans="1:11" ht="24" customHeight="1">
      <c r="A1805" s="19" t="s">
        <v>488</v>
      </c>
      <c r="B1805" s="19" t="s">
        <v>21</v>
      </c>
      <c r="C1805" s="2">
        <v>1</v>
      </c>
      <c r="D1805" s="19" t="s">
        <v>274</v>
      </c>
      <c r="E1805" s="33">
        <v>3</v>
      </c>
      <c r="F1805" s="33"/>
      <c r="G1805" s="522"/>
      <c r="H1805" s="707"/>
      <c r="I1805" s="707">
        <f t="shared" si="56"/>
        <v>0</v>
      </c>
      <c r="J1805" s="707">
        <f t="shared" si="57"/>
        <v>0</v>
      </c>
      <c r="K1805" s="70"/>
    </row>
    <row r="1806" spans="1:11" ht="24" customHeight="1">
      <c r="A1806" s="65" t="s">
        <v>8143</v>
      </c>
      <c r="B1806" s="68" t="s">
        <v>27</v>
      </c>
      <c r="C1806" s="65">
        <v>43</v>
      </c>
      <c r="D1806" s="33" t="s">
        <v>8137</v>
      </c>
      <c r="E1806" s="33">
        <v>5</v>
      </c>
      <c r="F1806" s="33"/>
      <c r="G1806" s="522"/>
      <c r="H1806" s="707">
        <v>0.2</v>
      </c>
      <c r="I1806" s="707">
        <f t="shared" si="56"/>
        <v>0.22999999999999998</v>
      </c>
      <c r="J1806" s="707">
        <f t="shared" si="57"/>
        <v>0.26</v>
      </c>
      <c r="K1806" s="70"/>
    </row>
    <row r="1807" spans="1:11" ht="24" customHeight="1">
      <c r="A1807" s="222" t="s">
        <v>8139</v>
      </c>
      <c r="B1807" s="222" t="s">
        <v>27</v>
      </c>
      <c r="C1807" s="33">
        <v>100</v>
      </c>
      <c r="D1807" s="222" t="s">
        <v>8137</v>
      </c>
      <c r="E1807" s="33">
        <v>5</v>
      </c>
      <c r="F1807" s="33"/>
      <c r="G1807" s="522"/>
      <c r="H1807" s="707">
        <v>0.19</v>
      </c>
      <c r="I1807" s="707">
        <f t="shared" si="56"/>
        <v>0.21849999999999997</v>
      </c>
      <c r="J1807" s="707">
        <f t="shared" si="57"/>
        <v>0.24700000000000003</v>
      </c>
      <c r="K1807" s="70"/>
    </row>
    <row r="1808" spans="1:11" ht="24" customHeight="1">
      <c r="A1808" s="222" t="s">
        <v>8140</v>
      </c>
      <c r="B1808" s="222" t="s">
        <v>27</v>
      </c>
      <c r="C1808" s="33">
        <v>27</v>
      </c>
      <c r="D1808" s="222" t="s">
        <v>8137</v>
      </c>
      <c r="E1808" s="33">
        <v>5</v>
      </c>
      <c r="F1808" s="33"/>
      <c r="G1808" s="522"/>
      <c r="H1808" s="707">
        <v>0.35</v>
      </c>
      <c r="I1808" s="707">
        <f t="shared" si="56"/>
        <v>0.40249999999999997</v>
      </c>
      <c r="J1808" s="707">
        <f t="shared" si="57"/>
        <v>0.45499999999999996</v>
      </c>
      <c r="K1808" s="70"/>
    </row>
    <row r="1809" spans="1:11" ht="24" customHeight="1">
      <c r="A1809" s="222" t="s">
        <v>1951</v>
      </c>
      <c r="B1809" s="222" t="s">
        <v>105</v>
      </c>
      <c r="C1809" s="33">
        <v>19</v>
      </c>
      <c r="D1809" s="222" t="s">
        <v>1938</v>
      </c>
      <c r="E1809" s="33">
        <v>1</v>
      </c>
      <c r="F1809" s="33"/>
      <c r="G1809" s="522"/>
      <c r="H1809" s="707">
        <v>5</v>
      </c>
      <c r="I1809" s="707">
        <f t="shared" si="56"/>
        <v>5.75</v>
      </c>
      <c r="J1809" s="707">
        <f t="shared" si="57"/>
        <v>6.5</v>
      </c>
      <c r="K1809" s="70"/>
    </row>
    <row r="1810" spans="1:11" ht="24" customHeight="1">
      <c r="A1810" s="17" t="s">
        <v>2856</v>
      </c>
      <c r="B1810" s="17" t="s">
        <v>27</v>
      </c>
      <c r="C1810" s="17">
        <v>120</v>
      </c>
      <c r="D1810" s="14" t="s">
        <v>2802</v>
      </c>
      <c r="E1810" s="15">
        <v>3</v>
      </c>
      <c r="F1810" s="15"/>
      <c r="G1810" s="684"/>
      <c r="H1810" s="707"/>
      <c r="I1810" s="707">
        <f t="shared" si="56"/>
        <v>0</v>
      </c>
      <c r="J1810" s="707">
        <f t="shared" si="57"/>
        <v>0</v>
      </c>
      <c r="K1810" s="70"/>
    </row>
    <row r="1811" spans="1:11" ht="24" customHeight="1">
      <c r="A1811" s="33" t="s">
        <v>1387</v>
      </c>
      <c r="B1811" s="33" t="s">
        <v>27</v>
      </c>
      <c r="C1811" s="33">
        <v>98</v>
      </c>
      <c r="D1811" s="222" t="s">
        <v>1372</v>
      </c>
      <c r="E1811" s="33">
        <v>3</v>
      </c>
      <c r="F1811" s="33"/>
      <c r="G1811" s="522"/>
      <c r="H1811" s="707"/>
      <c r="I1811" s="707">
        <f t="shared" si="56"/>
        <v>0</v>
      </c>
      <c r="J1811" s="707">
        <f t="shared" si="57"/>
        <v>0</v>
      </c>
      <c r="K1811" s="70"/>
    </row>
    <row r="1812" spans="1:11" ht="24" customHeight="1">
      <c r="A1812" s="33" t="s">
        <v>2665</v>
      </c>
      <c r="B1812" s="33" t="s">
        <v>27</v>
      </c>
      <c r="C1812" s="33">
        <v>56</v>
      </c>
      <c r="D1812" s="222" t="s">
        <v>2624</v>
      </c>
      <c r="E1812" s="33">
        <v>4</v>
      </c>
      <c r="F1812" s="33"/>
      <c r="G1812" s="522"/>
      <c r="H1812" s="707">
        <v>10</v>
      </c>
      <c r="I1812" s="707">
        <f t="shared" si="56"/>
        <v>11.5</v>
      </c>
      <c r="J1812" s="707">
        <f t="shared" si="57"/>
        <v>13</v>
      </c>
      <c r="K1812" s="70"/>
    </row>
    <row r="1813" spans="1:11" ht="24" customHeight="1">
      <c r="A1813" s="2" t="s">
        <v>98</v>
      </c>
      <c r="B1813" s="2" t="s">
        <v>27</v>
      </c>
      <c r="C1813" s="2">
        <v>54</v>
      </c>
      <c r="D1813" s="19" t="s">
        <v>11</v>
      </c>
      <c r="E1813" s="33">
        <v>2</v>
      </c>
      <c r="F1813" s="33"/>
      <c r="G1813" s="522"/>
      <c r="H1813" s="707"/>
      <c r="I1813" s="707">
        <f t="shared" si="56"/>
        <v>0</v>
      </c>
      <c r="J1813" s="707">
        <f t="shared" si="57"/>
        <v>0</v>
      </c>
      <c r="K1813" s="70" t="s">
        <v>99</v>
      </c>
    </row>
    <row r="1814" spans="1:11" ht="24" customHeight="1">
      <c r="A1814" s="33" t="s">
        <v>1379</v>
      </c>
      <c r="B1814" s="33" t="s">
        <v>27</v>
      </c>
      <c r="C1814" s="33">
        <v>8</v>
      </c>
      <c r="D1814" s="222" t="s">
        <v>1372</v>
      </c>
      <c r="E1814" s="33">
        <v>3</v>
      </c>
      <c r="F1814" s="33"/>
      <c r="G1814" s="522"/>
      <c r="H1814" s="707"/>
      <c r="I1814" s="707">
        <f t="shared" si="56"/>
        <v>0</v>
      </c>
      <c r="J1814" s="707">
        <f t="shared" si="57"/>
        <v>0</v>
      </c>
      <c r="K1814" s="70"/>
    </row>
    <row r="1815" spans="1:11" ht="24" customHeight="1">
      <c r="A1815" s="33" t="s">
        <v>421</v>
      </c>
      <c r="B1815" s="33" t="s">
        <v>41</v>
      </c>
      <c r="C1815" s="33">
        <v>20</v>
      </c>
      <c r="D1815" s="19" t="s">
        <v>274</v>
      </c>
      <c r="E1815" s="33">
        <v>2</v>
      </c>
      <c r="F1815" s="33"/>
      <c r="G1815" s="522"/>
      <c r="H1815" s="707"/>
      <c r="I1815" s="707">
        <f t="shared" si="56"/>
        <v>0</v>
      </c>
      <c r="J1815" s="707">
        <f t="shared" si="57"/>
        <v>0</v>
      </c>
      <c r="K1815" s="70"/>
    </row>
    <row r="1816" spans="1:11" ht="24" customHeight="1">
      <c r="A1816" s="33" t="s">
        <v>156</v>
      </c>
      <c r="B1816" s="33" t="s">
        <v>27</v>
      </c>
      <c r="C1816" s="33">
        <v>51</v>
      </c>
      <c r="D1816" s="19" t="s">
        <v>11</v>
      </c>
      <c r="E1816" s="33">
        <v>3</v>
      </c>
      <c r="F1816" s="33"/>
      <c r="G1816" s="522"/>
      <c r="H1816" s="707">
        <v>2</v>
      </c>
      <c r="I1816" s="707">
        <f t="shared" si="56"/>
        <v>2.2999999999999998</v>
      </c>
      <c r="J1816" s="707">
        <f t="shared" si="57"/>
        <v>2.6</v>
      </c>
      <c r="K1816" s="70" t="s">
        <v>99</v>
      </c>
    </row>
    <row r="1817" spans="1:11" ht="24" customHeight="1">
      <c r="A1817" s="2" t="s">
        <v>156</v>
      </c>
      <c r="B1817" s="2" t="s">
        <v>27</v>
      </c>
      <c r="C1817" s="2">
        <v>13</v>
      </c>
      <c r="D1817" s="2" t="s">
        <v>274</v>
      </c>
      <c r="E1817" s="33">
        <v>3</v>
      </c>
      <c r="F1817" s="33"/>
      <c r="G1817" s="522"/>
      <c r="H1817" s="707"/>
      <c r="I1817" s="707">
        <f t="shared" si="56"/>
        <v>0</v>
      </c>
      <c r="J1817" s="707">
        <f t="shared" si="57"/>
        <v>0</v>
      </c>
      <c r="K1817" s="70" t="s">
        <v>99</v>
      </c>
    </row>
    <row r="1818" spans="1:11" ht="24" customHeight="1">
      <c r="A1818" s="33" t="s">
        <v>176</v>
      </c>
      <c r="B1818" s="33" t="s">
        <v>41</v>
      </c>
      <c r="C1818" s="33">
        <v>80</v>
      </c>
      <c r="D1818" s="2" t="s">
        <v>11</v>
      </c>
      <c r="E1818" s="33">
        <v>3</v>
      </c>
      <c r="F1818" s="33"/>
      <c r="G1818" s="522"/>
      <c r="H1818" s="707"/>
      <c r="I1818" s="707">
        <f t="shared" si="56"/>
        <v>0</v>
      </c>
      <c r="J1818" s="707">
        <f t="shared" si="57"/>
        <v>0</v>
      </c>
      <c r="K1818" s="70"/>
    </row>
    <row r="1819" spans="1:11" ht="24" customHeight="1">
      <c r="A1819" s="33" t="s">
        <v>176</v>
      </c>
      <c r="B1819" s="33" t="s">
        <v>41</v>
      </c>
      <c r="C1819" s="33">
        <v>78</v>
      </c>
      <c r="D1819" s="33" t="s">
        <v>1494</v>
      </c>
      <c r="E1819" s="33">
        <v>2</v>
      </c>
      <c r="F1819" s="33"/>
      <c r="G1819" s="522"/>
      <c r="H1819" s="707"/>
      <c r="I1819" s="707">
        <f t="shared" si="56"/>
        <v>0</v>
      </c>
      <c r="J1819" s="707">
        <f t="shared" si="57"/>
        <v>0</v>
      </c>
      <c r="K1819" s="70"/>
    </row>
    <row r="1820" spans="1:11" ht="24" customHeight="1">
      <c r="A1820" s="2" t="s">
        <v>565</v>
      </c>
      <c r="B1820" s="2" t="s">
        <v>41</v>
      </c>
      <c r="C1820" s="2">
        <v>38</v>
      </c>
      <c r="D1820" s="2" t="s">
        <v>536</v>
      </c>
      <c r="E1820" s="33">
        <v>5</v>
      </c>
      <c r="F1820" s="33"/>
      <c r="G1820" s="522"/>
      <c r="H1820" s="707"/>
      <c r="I1820" s="707">
        <f t="shared" si="56"/>
        <v>0</v>
      </c>
      <c r="J1820" s="707">
        <f t="shared" si="57"/>
        <v>0</v>
      </c>
      <c r="K1820" s="70"/>
    </row>
    <row r="1821" spans="1:11" ht="24" customHeight="1">
      <c r="A1821" s="33" t="s">
        <v>2175</v>
      </c>
      <c r="B1821" s="33" t="s">
        <v>41</v>
      </c>
      <c r="C1821" s="33">
        <v>177</v>
      </c>
      <c r="D1821" s="33" t="s">
        <v>2111</v>
      </c>
      <c r="E1821" s="33">
        <v>2</v>
      </c>
      <c r="F1821" s="33"/>
      <c r="G1821" s="522"/>
      <c r="H1821" s="707"/>
      <c r="I1821" s="707">
        <f t="shared" si="56"/>
        <v>0</v>
      </c>
      <c r="J1821" s="707">
        <f t="shared" si="57"/>
        <v>0</v>
      </c>
      <c r="K1821" s="70"/>
    </row>
    <row r="1822" spans="1:11" ht="24" customHeight="1">
      <c r="A1822" s="74" t="s">
        <v>2175</v>
      </c>
      <c r="B1822" s="74" t="s">
        <v>41</v>
      </c>
      <c r="C1822" s="74">
        <v>2</v>
      </c>
      <c r="D1822" s="33" t="s">
        <v>2363</v>
      </c>
      <c r="E1822" s="33">
        <v>5</v>
      </c>
      <c r="F1822" s="33"/>
      <c r="G1822" s="522"/>
      <c r="H1822" s="707"/>
      <c r="I1822" s="707">
        <f t="shared" si="56"/>
        <v>0</v>
      </c>
      <c r="J1822" s="707">
        <f t="shared" si="57"/>
        <v>0</v>
      </c>
      <c r="K1822" s="70"/>
    </row>
    <row r="1823" spans="1:11" ht="24" customHeight="1">
      <c r="A1823" s="33" t="s">
        <v>1606</v>
      </c>
      <c r="B1823" s="33" t="s">
        <v>41</v>
      </c>
      <c r="C1823" s="33">
        <v>11</v>
      </c>
      <c r="D1823" s="33" t="s">
        <v>1548</v>
      </c>
      <c r="E1823" s="33">
        <v>3</v>
      </c>
      <c r="F1823" s="33"/>
      <c r="G1823" s="522"/>
      <c r="H1823" s="707">
        <v>1.5</v>
      </c>
      <c r="I1823" s="707">
        <f t="shared" si="56"/>
        <v>1.7249999999999999</v>
      </c>
      <c r="J1823" s="707">
        <f t="shared" si="57"/>
        <v>1.9500000000000002</v>
      </c>
      <c r="K1823" s="70"/>
    </row>
    <row r="1824" spans="1:11" ht="24" customHeight="1">
      <c r="A1824" s="2" t="s">
        <v>164</v>
      </c>
      <c r="B1824" s="2" t="s">
        <v>41</v>
      </c>
      <c r="C1824" s="2">
        <v>96</v>
      </c>
      <c r="D1824" s="2" t="s">
        <v>11</v>
      </c>
      <c r="E1824" s="33">
        <v>3</v>
      </c>
      <c r="F1824" s="33"/>
      <c r="G1824" s="522"/>
      <c r="H1824" s="707"/>
      <c r="I1824" s="707">
        <f t="shared" si="56"/>
        <v>0</v>
      </c>
      <c r="J1824" s="707">
        <f t="shared" si="57"/>
        <v>0</v>
      </c>
      <c r="K1824" s="70"/>
    </row>
    <row r="1825" spans="1:11" ht="24" customHeight="1">
      <c r="A1825" s="33" t="s">
        <v>2040</v>
      </c>
      <c r="B1825" s="83" t="s">
        <v>41</v>
      </c>
      <c r="C1825" s="83">
        <v>88</v>
      </c>
      <c r="D1825" s="33" t="s">
        <v>2026</v>
      </c>
      <c r="E1825" s="33">
        <v>3</v>
      </c>
      <c r="F1825" s="33"/>
      <c r="G1825" s="522"/>
      <c r="H1825" s="707"/>
      <c r="I1825" s="707">
        <f t="shared" si="56"/>
        <v>0</v>
      </c>
      <c r="J1825" s="707">
        <f t="shared" si="57"/>
        <v>0</v>
      </c>
      <c r="K1825" s="70"/>
    </row>
    <row r="1826" spans="1:11" ht="24" customHeight="1">
      <c r="A1826" s="33" t="s">
        <v>3392</v>
      </c>
      <c r="B1826" s="33" t="s">
        <v>41</v>
      </c>
      <c r="C1826" s="33">
        <v>74</v>
      </c>
      <c r="D1826" s="33" t="s">
        <v>3348</v>
      </c>
      <c r="E1826" s="33">
        <v>4</v>
      </c>
      <c r="F1826" s="33"/>
      <c r="G1826" s="522"/>
      <c r="H1826" s="707"/>
      <c r="I1826" s="707">
        <f t="shared" si="56"/>
        <v>0</v>
      </c>
      <c r="J1826" s="707">
        <f t="shared" si="57"/>
        <v>0</v>
      </c>
      <c r="K1826" s="70"/>
    </row>
    <row r="1827" spans="1:11" ht="24" customHeight="1">
      <c r="A1827" s="33" t="s">
        <v>1501</v>
      </c>
      <c r="B1827" s="33" t="s">
        <v>41</v>
      </c>
      <c r="C1827" s="33">
        <v>90</v>
      </c>
      <c r="D1827" s="33" t="s">
        <v>1494</v>
      </c>
      <c r="E1827" s="33">
        <v>1</v>
      </c>
      <c r="F1827" s="33"/>
      <c r="G1827" s="522"/>
      <c r="H1827" s="707"/>
      <c r="I1827" s="707">
        <f t="shared" si="56"/>
        <v>0</v>
      </c>
      <c r="J1827" s="707">
        <f t="shared" si="57"/>
        <v>0</v>
      </c>
      <c r="K1827" s="70"/>
    </row>
    <row r="1828" spans="1:11" ht="24" customHeight="1">
      <c r="A1828" s="33" t="s">
        <v>1609</v>
      </c>
      <c r="B1828" s="33" t="s">
        <v>41</v>
      </c>
      <c r="C1828" s="33">
        <v>43</v>
      </c>
      <c r="D1828" s="33" t="s">
        <v>1548</v>
      </c>
      <c r="E1828" s="33">
        <v>3</v>
      </c>
      <c r="F1828" s="33"/>
      <c r="G1828" s="522"/>
      <c r="H1828" s="707"/>
      <c r="I1828" s="707">
        <f t="shared" si="56"/>
        <v>0</v>
      </c>
      <c r="J1828" s="707">
        <f t="shared" si="57"/>
        <v>0</v>
      </c>
      <c r="K1828" s="70"/>
    </row>
    <row r="1829" spans="1:11" ht="24" customHeight="1">
      <c r="A1829" s="33" t="s">
        <v>2734</v>
      </c>
      <c r="B1829" s="33" t="s">
        <v>2735</v>
      </c>
      <c r="C1829" s="33">
        <v>22</v>
      </c>
      <c r="D1829" s="33" t="s">
        <v>2716</v>
      </c>
      <c r="E1829" s="354">
        <v>3</v>
      </c>
      <c r="F1829" s="354"/>
      <c r="G1829" s="688"/>
      <c r="H1829" s="708"/>
      <c r="I1829" s="707">
        <f t="shared" si="56"/>
        <v>0</v>
      </c>
      <c r="J1829" s="708">
        <f t="shared" si="57"/>
        <v>0</v>
      </c>
      <c r="K1829" s="70" t="s">
        <v>2727</v>
      </c>
    </row>
    <row r="1830" spans="1:11" ht="24" customHeight="1">
      <c r="A1830" s="2" t="s">
        <v>30</v>
      </c>
      <c r="B1830" s="2" t="s">
        <v>27</v>
      </c>
      <c r="C1830" s="2">
        <v>10</v>
      </c>
      <c r="D1830" s="2" t="s">
        <v>11</v>
      </c>
      <c r="E1830" s="33">
        <v>1</v>
      </c>
      <c r="F1830" s="33"/>
      <c r="G1830" s="522"/>
      <c r="H1830" s="707"/>
      <c r="I1830" s="707">
        <f t="shared" si="56"/>
        <v>0</v>
      </c>
      <c r="J1830" s="707">
        <f t="shared" si="57"/>
        <v>0</v>
      </c>
      <c r="K1830" s="70"/>
    </row>
    <row r="1831" spans="1:11" ht="24" customHeight="1">
      <c r="A1831" s="2" t="s">
        <v>3727</v>
      </c>
      <c r="B1831" s="2" t="s">
        <v>81</v>
      </c>
      <c r="C1831" s="2">
        <v>2</v>
      </c>
      <c r="D1831" s="2" t="s">
        <v>3705</v>
      </c>
      <c r="E1831" s="33">
        <v>2</v>
      </c>
      <c r="F1831" s="33"/>
      <c r="G1831" s="522"/>
      <c r="H1831" s="707"/>
      <c r="I1831" s="707">
        <f t="shared" si="56"/>
        <v>0</v>
      </c>
      <c r="J1831" s="707">
        <f t="shared" si="57"/>
        <v>0</v>
      </c>
      <c r="K1831" s="55"/>
    </row>
    <row r="1832" spans="1:11" ht="24" customHeight="1">
      <c r="A1832" s="33" t="s">
        <v>1366</v>
      </c>
      <c r="B1832" s="33" t="s">
        <v>130</v>
      </c>
      <c r="C1832" s="33">
        <v>3</v>
      </c>
      <c r="D1832" s="33" t="s">
        <v>1325</v>
      </c>
      <c r="E1832" s="33">
        <v>2</v>
      </c>
      <c r="F1832" s="33"/>
      <c r="G1832" s="522"/>
      <c r="H1832" s="707"/>
      <c r="I1832" s="707">
        <f t="shared" si="56"/>
        <v>0</v>
      </c>
      <c r="J1832" s="707">
        <f t="shared" si="57"/>
        <v>0</v>
      </c>
      <c r="K1832" s="70"/>
    </row>
    <row r="1833" spans="1:11" ht="24" customHeight="1">
      <c r="A1833" s="33" t="s">
        <v>1531</v>
      </c>
      <c r="B1833" s="33" t="s">
        <v>27</v>
      </c>
      <c r="C1833" s="33">
        <v>33</v>
      </c>
      <c r="D1833" s="33" t="s">
        <v>1494</v>
      </c>
      <c r="E1833" s="33">
        <v>2</v>
      </c>
      <c r="F1833" s="33"/>
      <c r="G1833" s="522"/>
      <c r="H1833" s="707"/>
      <c r="I1833" s="707">
        <f t="shared" si="56"/>
        <v>0</v>
      </c>
      <c r="J1833" s="707">
        <f t="shared" si="57"/>
        <v>0</v>
      </c>
      <c r="K1833" s="70"/>
    </row>
    <row r="1834" spans="1:11" ht="24" customHeight="1">
      <c r="A1834" s="2" t="s">
        <v>3660</v>
      </c>
      <c r="B1834" s="2" t="s">
        <v>350</v>
      </c>
      <c r="C1834" s="2">
        <v>43</v>
      </c>
      <c r="D1834" s="2" t="s">
        <v>3636</v>
      </c>
      <c r="E1834" s="33">
        <v>2</v>
      </c>
      <c r="F1834" s="33"/>
      <c r="G1834" s="522"/>
      <c r="H1834" s="707"/>
      <c r="I1834" s="707">
        <f t="shared" si="56"/>
        <v>0</v>
      </c>
      <c r="J1834" s="707">
        <f t="shared" si="57"/>
        <v>0</v>
      </c>
      <c r="K1834" s="55"/>
    </row>
    <row r="1835" spans="1:11" ht="24" customHeight="1">
      <c r="A1835" s="33" t="s">
        <v>2003</v>
      </c>
      <c r="B1835" s="33" t="s">
        <v>350</v>
      </c>
      <c r="C1835" s="33">
        <v>9</v>
      </c>
      <c r="D1835" s="33" t="s">
        <v>1938</v>
      </c>
      <c r="E1835" s="33">
        <v>2</v>
      </c>
      <c r="F1835" s="33"/>
      <c r="G1835" s="522"/>
      <c r="H1835" s="707"/>
      <c r="I1835" s="707">
        <f t="shared" si="56"/>
        <v>0</v>
      </c>
      <c r="J1835" s="707">
        <f t="shared" si="57"/>
        <v>0</v>
      </c>
      <c r="K1835" s="70"/>
    </row>
    <row r="1836" spans="1:11" ht="14.4">
      <c r="A1836" s="33" t="s">
        <v>2968</v>
      </c>
      <c r="B1836" s="33" t="s">
        <v>350</v>
      </c>
      <c r="C1836" s="33">
        <v>9</v>
      </c>
      <c r="D1836" s="71" t="s">
        <v>2947</v>
      </c>
      <c r="E1836" s="33">
        <v>4</v>
      </c>
      <c r="F1836" s="33"/>
      <c r="G1836" s="522"/>
      <c r="H1836" s="707"/>
      <c r="I1836" s="707">
        <f t="shared" si="56"/>
        <v>0</v>
      </c>
      <c r="J1836" s="707">
        <f t="shared" si="57"/>
        <v>0</v>
      </c>
      <c r="K1836" s="70"/>
    </row>
    <row r="1837" spans="1:11" ht="14.4">
      <c r="A1837" s="33" t="s">
        <v>905</v>
      </c>
      <c r="B1837" s="33" t="s">
        <v>350</v>
      </c>
      <c r="C1837" s="33">
        <v>21</v>
      </c>
      <c r="D1837" s="2" t="s">
        <v>888</v>
      </c>
      <c r="E1837" s="33">
        <v>5</v>
      </c>
      <c r="F1837" s="33"/>
      <c r="G1837" s="522"/>
      <c r="H1837" s="707"/>
      <c r="I1837" s="707">
        <f t="shared" si="56"/>
        <v>0</v>
      </c>
      <c r="J1837" s="707">
        <f t="shared" si="57"/>
        <v>0</v>
      </c>
      <c r="K1837" s="70"/>
    </row>
    <row r="1838" spans="1:11" ht="14.4">
      <c r="A1838" s="33" t="s">
        <v>1612</v>
      </c>
      <c r="B1838" s="33" t="s">
        <v>350</v>
      </c>
      <c r="C1838" s="33">
        <v>10</v>
      </c>
      <c r="D1838" s="33" t="s">
        <v>1548</v>
      </c>
      <c r="E1838" s="33">
        <v>3</v>
      </c>
      <c r="F1838" s="33"/>
      <c r="G1838" s="522"/>
      <c r="H1838" s="707"/>
      <c r="I1838" s="707">
        <f t="shared" si="56"/>
        <v>0</v>
      </c>
      <c r="J1838" s="707">
        <f t="shared" si="57"/>
        <v>0</v>
      </c>
      <c r="K1838" s="70"/>
    </row>
    <row r="1839" spans="1:11" ht="24" customHeight="1">
      <c r="A1839" s="33" t="s">
        <v>2330</v>
      </c>
      <c r="B1839" s="33" t="s">
        <v>350</v>
      </c>
      <c r="C1839" s="33">
        <v>8</v>
      </c>
      <c r="D1839" s="33" t="s">
        <v>2276</v>
      </c>
      <c r="E1839" s="33">
        <v>1</v>
      </c>
      <c r="F1839" s="33"/>
      <c r="G1839" s="522"/>
      <c r="H1839" s="707"/>
      <c r="I1839" s="707">
        <f t="shared" si="56"/>
        <v>0</v>
      </c>
      <c r="J1839" s="707">
        <f t="shared" si="57"/>
        <v>0</v>
      </c>
      <c r="K1839" s="70"/>
    </row>
    <row r="1840" spans="1:11" ht="24" customHeight="1">
      <c r="A1840" s="2" t="s">
        <v>3734</v>
      </c>
      <c r="B1840" s="2" t="s">
        <v>3735</v>
      </c>
      <c r="C1840" s="2">
        <v>5</v>
      </c>
      <c r="D1840" s="2" t="s">
        <v>3705</v>
      </c>
      <c r="E1840" s="33">
        <v>3</v>
      </c>
      <c r="F1840" s="33"/>
      <c r="G1840" s="522"/>
      <c r="H1840" s="707"/>
      <c r="I1840" s="707">
        <f t="shared" si="56"/>
        <v>0</v>
      </c>
      <c r="J1840" s="707">
        <f t="shared" si="57"/>
        <v>0</v>
      </c>
      <c r="K1840" s="55"/>
    </row>
    <row r="1841" spans="1:12" ht="24" customHeight="1">
      <c r="A1841" s="2" t="s">
        <v>1815</v>
      </c>
      <c r="B1841" s="2" t="s">
        <v>1816</v>
      </c>
      <c r="C1841" s="2">
        <v>2</v>
      </c>
      <c r="D1841" s="2" t="s">
        <v>1785</v>
      </c>
      <c r="E1841" s="33">
        <v>2</v>
      </c>
      <c r="F1841" s="33"/>
      <c r="G1841" s="522"/>
      <c r="H1841" s="707"/>
      <c r="I1841" s="707">
        <f t="shared" si="56"/>
        <v>0</v>
      </c>
      <c r="J1841" s="707">
        <f t="shared" si="57"/>
        <v>0</v>
      </c>
      <c r="K1841" s="70"/>
    </row>
    <row r="1842" spans="1:12" ht="24" customHeight="1">
      <c r="A1842" s="2" t="s">
        <v>708</v>
      </c>
      <c r="B1842" s="2" t="s">
        <v>96</v>
      </c>
      <c r="C1842" s="2">
        <v>5</v>
      </c>
      <c r="D1842" s="2" t="s">
        <v>593</v>
      </c>
      <c r="E1842" s="33">
        <v>3</v>
      </c>
      <c r="F1842" s="33"/>
      <c r="G1842" s="522"/>
      <c r="H1842" s="707"/>
      <c r="I1842" s="707">
        <f t="shared" si="56"/>
        <v>0</v>
      </c>
      <c r="J1842" s="707">
        <f t="shared" si="57"/>
        <v>0</v>
      </c>
      <c r="K1842" s="70"/>
    </row>
    <row r="1843" spans="1:12" ht="24" customHeight="1">
      <c r="A1843" s="74" t="s">
        <v>1667</v>
      </c>
      <c r="B1843" s="74" t="s">
        <v>1668</v>
      </c>
      <c r="C1843" s="74">
        <v>3</v>
      </c>
      <c r="D1843" s="33" t="s">
        <v>1548</v>
      </c>
      <c r="E1843" s="33">
        <v>5</v>
      </c>
      <c r="F1843" s="33"/>
      <c r="G1843" s="522"/>
      <c r="H1843" s="707">
        <v>40</v>
      </c>
      <c r="I1843" s="707">
        <f t="shared" si="56"/>
        <v>46</v>
      </c>
      <c r="J1843" s="707">
        <f t="shared" si="57"/>
        <v>52</v>
      </c>
      <c r="K1843" s="70"/>
    </row>
    <row r="1844" spans="1:12" ht="24" customHeight="1">
      <c r="A1844" s="17" t="s">
        <v>2785</v>
      </c>
      <c r="B1844" s="244" t="s">
        <v>96</v>
      </c>
      <c r="C1844" s="17">
        <v>9</v>
      </c>
      <c r="D1844" s="131" t="s">
        <v>2772</v>
      </c>
      <c r="E1844" s="17">
        <v>4</v>
      </c>
      <c r="F1844" s="17"/>
      <c r="G1844" s="687"/>
      <c r="H1844" s="707"/>
      <c r="I1844" s="707">
        <f t="shared" si="56"/>
        <v>0</v>
      </c>
      <c r="J1844" s="707">
        <f t="shared" si="57"/>
        <v>0</v>
      </c>
      <c r="K1844" s="70"/>
    </row>
    <row r="1845" spans="1:12" ht="24" customHeight="1">
      <c r="A1845" s="33" t="s">
        <v>1948</v>
      </c>
      <c r="B1845" s="33" t="s">
        <v>137</v>
      </c>
      <c r="C1845" s="33">
        <v>5</v>
      </c>
      <c r="D1845" s="33" t="s">
        <v>1785</v>
      </c>
      <c r="E1845" s="33">
        <v>2</v>
      </c>
      <c r="F1845" s="33"/>
      <c r="G1845" s="522"/>
      <c r="H1845" s="707"/>
      <c r="I1845" s="707">
        <f t="shared" si="56"/>
        <v>0</v>
      </c>
      <c r="J1845" s="707">
        <f t="shared" si="57"/>
        <v>0</v>
      </c>
      <c r="K1845" s="70"/>
    </row>
    <row r="1846" spans="1:12" ht="24" customHeight="1">
      <c r="A1846" s="17" t="s">
        <v>1696</v>
      </c>
      <c r="B1846" s="17" t="s">
        <v>21</v>
      </c>
      <c r="C1846" s="17" t="s">
        <v>8077</v>
      </c>
      <c r="D1846" s="131" t="s">
        <v>1681</v>
      </c>
      <c r="E1846" s="15">
        <v>1</v>
      </c>
      <c r="F1846" s="15"/>
      <c r="G1846" s="684"/>
      <c r="H1846" s="708"/>
      <c r="I1846" s="707">
        <f t="shared" si="56"/>
        <v>0</v>
      </c>
      <c r="J1846" s="708">
        <f t="shared" si="57"/>
        <v>0</v>
      </c>
      <c r="K1846" s="70"/>
      <c r="L1846" s="52" t="s">
        <v>8078</v>
      </c>
    </row>
    <row r="1847" spans="1:12" ht="24" customHeight="1">
      <c r="A1847" s="33" t="s">
        <v>1855</v>
      </c>
      <c r="B1847" s="33" t="s">
        <v>21</v>
      </c>
      <c r="C1847" s="33">
        <v>56</v>
      </c>
      <c r="D1847" s="2" t="s">
        <v>1785</v>
      </c>
      <c r="E1847" s="33">
        <v>2</v>
      </c>
      <c r="F1847" s="33"/>
      <c r="G1847" s="522"/>
      <c r="H1847" s="707"/>
      <c r="I1847" s="707">
        <f t="shared" si="56"/>
        <v>0</v>
      </c>
      <c r="J1847" s="707">
        <f t="shared" si="57"/>
        <v>0</v>
      </c>
      <c r="K1847" s="70"/>
    </row>
    <row r="1848" spans="1:12" ht="24" customHeight="1">
      <c r="A1848" s="17" t="s">
        <v>1699</v>
      </c>
      <c r="B1848" s="17" t="s">
        <v>845</v>
      </c>
      <c r="C1848" s="17">
        <v>20</v>
      </c>
      <c r="D1848" s="131" t="s">
        <v>1681</v>
      </c>
      <c r="E1848" s="15">
        <v>1</v>
      </c>
      <c r="F1848" s="15"/>
      <c r="G1848" s="684"/>
      <c r="H1848" s="708"/>
      <c r="I1848" s="707">
        <f t="shared" si="56"/>
        <v>0</v>
      </c>
      <c r="J1848" s="708">
        <f t="shared" si="57"/>
        <v>0</v>
      </c>
      <c r="K1848" s="70"/>
    </row>
    <row r="1849" spans="1:12" ht="24" customHeight="1">
      <c r="A1849" s="33" t="s">
        <v>8082</v>
      </c>
      <c r="B1849" s="33" t="s">
        <v>845</v>
      </c>
      <c r="C1849" s="33">
        <v>95</v>
      </c>
      <c r="D1849" s="2" t="s">
        <v>1785</v>
      </c>
      <c r="E1849" s="33">
        <v>2</v>
      </c>
      <c r="F1849" s="33"/>
      <c r="G1849" s="522"/>
      <c r="H1849" s="707"/>
      <c r="I1849" s="707">
        <f t="shared" si="56"/>
        <v>0</v>
      </c>
      <c r="J1849" s="707">
        <f t="shared" si="57"/>
        <v>0</v>
      </c>
      <c r="K1849" s="55"/>
    </row>
    <row r="1850" spans="1:12" ht="24" customHeight="1">
      <c r="A1850" s="33" t="s">
        <v>3360</v>
      </c>
      <c r="B1850" s="33" t="s">
        <v>150</v>
      </c>
      <c r="C1850" s="33">
        <v>20</v>
      </c>
      <c r="D1850" s="33" t="s">
        <v>3348</v>
      </c>
      <c r="E1850" s="33">
        <v>3</v>
      </c>
      <c r="F1850" s="33"/>
      <c r="G1850" s="522"/>
      <c r="H1850" s="707">
        <v>2</v>
      </c>
      <c r="I1850" s="707">
        <f t="shared" si="56"/>
        <v>2.2999999999999998</v>
      </c>
      <c r="J1850" s="707">
        <f t="shared" si="57"/>
        <v>2.6</v>
      </c>
      <c r="K1850" s="70"/>
    </row>
    <row r="1851" spans="1:12" ht="24" customHeight="1">
      <c r="A1851" s="33" t="s">
        <v>1233</v>
      </c>
      <c r="B1851" s="33" t="s">
        <v>779</v>
      </c>
      <c r="C1851" s="33">
        <v>1</v>
      </c>
      <c r="D1851" s="33" t="s">
        <v>1201</v>
      </c>
      <c r="E1851" s="33">
        <v>3</v>
      </c>
      <c r="F1851" s="33"/>
      <c r="G1851" s="522"/>
      <c r="H1851" s="707"/>
      <c r="I1851" s="707">
        <f t="shared" si="56"/>
        <v>0</v>
      </c>
      <c r="J1851" s="707">
        <f t="shared" si="57"/>
        <v>0</v>
      </c>
      <c r="K1851" s="70"/>
    </row>
    <row r="1852" spans="1:12" ht="24" customHeight="1">
      <c r="A1852" s="33" t="s">
        <v>3120</v>
      </c>
      <c r="B1852" s="33" t="s">
        <v>1473</v>
      </c>
      <c r="C1852" s="33">
        <v>1</v>
      </c>
      <c r="D1852" s="33" t="s">
        <v>3053</v>
      </c>
      <c r="E1852" s="33">
        <v>3</v>
      </c>
      <c r="F1852" s="33"/>
      <c r="G1852" s="522"/>
      <c r="H1852" s="707"/>
      <c r="I1852" s="707">
        <f t="shared" si="56"/>
        <v>0</v>
      </c>
      <c r="J1852" s="707">
        <f t="shared" si="57"/>
        <v>0</v>
      </c>
      <c r="K1852" s="70"/>
    </row>
    <row r="1853" spans="1:12" ht="24" customHeight="1">
      <c r="A1853" s="2" t="s">
        <v>3714</v>
      </c>
      <c r="B1853" s="2" t="s">
        <v>10</v>
      </c>
      <c r="C1853" s="2">
        <v>200</v>
      </c>
      <c r="D1853" s="2" t="s">
        <v>3705</v>
      </c>
      <c r="E1853" s="33">
        <v>2</v>
      </c>
      <c r="F1853" s="33"/>
      <c r="G1853" s="522"/>
      <c r="H1853" s="707"/>
      <c r="I1853" s="707">
        <f t="shared" si="56"/>
        <v>0</v>
      </c>
      <c r="J1853" s="707">
        <f t="shared" si="57"/>
        <v>0</v>
      </c>
      <c r="K1853" s="55"/>
    </row>
    <row r="1854" spans="1:12" ht="24" customHeight="1">
      <c r="A1854" s="2" t="s">
        <v>3694</v>
      </c>
      <c r="B1854" s="2" t="s">
        <v>10</v>
      </c>
      <c r="C1854" s="2">
        <v>1</v>
      </c>
      <c r="D1854" s="2" t="s">
        <v>3671</v>
      </c>
      <c r="E1854" s="33">
        <v>2</v>
      </c>
      <c r="F1854" s="33"/>
      <c r="G1854" s="522"/>
      <c r="H1854" s="707"/>
      <c r="I1854" s="707">
        <f t="shared" si="56"/>
        <v>0</v>
      </c>
      <c r="J1854" s="707">
        <f t="shared" si="57"/>
        <v>0</v>
      </c>
      <c r="K1854" s="70"/>
    </row>
    <row r="1855" spans="1:12" ht="24" customHeight="1">
      <c r="A1855" s="74" t="s">
        <v>2451</v>
      </c>
      <c r="B1855" s="74" t="s">
        <v>485</v>
      </c>
      <c r="C1855" s="74">
        <v>20</v>
      </c>
      <c r="D1855" s="33" t="s">
        <v>2363</v>
      </c>
      <c r="E1855" s="33">
        <v>5</v>
      </c>
      <c r="F1855" s="33"/>
      <c r="G1855" s="522"/>
      <c r="H1855" s="707">
        <v>1</v>
      </c>
      <c r="I1855" s="707">
        <f t="shared" si="56"/>
        <v>1.1499999999999999</v>
      </c>
      <c r="J1855" s="707">
        <f t="shared" si="57"/>
        <v>1.3</v>
      </c>
      <c r="K1855" s="70"/>
    </row>
    <row r="1856" spans="1:12" ht="24" customHeight="1">
      <c r="A1856" s="2" t="s">
        <v>730</v>
      </c>
      <c r="B1856" s="2" t="s">
        <v>19</v>
      </c>
      <c r="C1856" s="2">
        <v>5</v>
      </c>
      <c r="D1856" s="2" t="s">
        <v>593</v>
      </c>
      <c r="E1856" s="33">
        <v>3</v>
      </c>
      <c r="F1856" s="33"/>
      <c r="G1856" s="522"/>
      <c r="H1856" s="707"/>
      <c r="I1856" s="707">
        <f t="shared" si="56"/>
        <v>0</v>
      </c>
      <c r="J1856" s="707">
        <f t="shared" si="57"/>
        <v>0</v>
      </c>
      <c r="K1856" s="70"/>
    </row>
    <row r="1857" spans="1:11" ht="24" customHeight="1">
      <c r="A1857" s="2" t="s">
        <v>771</v>
      </c>
      <c r="B1857" s="2" t="s">
        <v>19</v>
      </c>
      <c r="C1857" s="2">
        <v>5</v>
      </c>
      <c r="D1857" s="2" t="s">
        <v>593</v>
      </c>
      <c r="E1857" s="33">
        <v>3</v>
      </c>
      <c r="F1857" s="33"/>
      <c r="G1857" s="522"/>
      <c r="H1857" s="707">
        <v>20</v>
      </c>
      <c r="I1857" s="707">
        <f t="shared" si="56"/>
        <v>23</v>
      </c>
      <c r="J1857" s="707">
        <f t="shared" si="57"/>
        <v>26</v>
      </c>
      <c r="K1857" s="70"/>
    </row>
    <row r="1858" spans="1:11" ht="24" customHeight="1">
      <c r="A1858" s="222" t="s">
        <v>1365</v>
      </c>
      <c r="B1858" s="222" t="s">
        <v>19</v>
      </c>
      <c r="C1858" s="33">
        <v>182</v>
      </c>
      <c r="D1858" s="222" t="s">
        <v>1325</v>
      </c>
      <c r="E1858" s="33">
        <v>2</v>
      </c>
      <c r="F1858" s="33"/>
      <c r="G1858" s="522"/>
      <c r="H1858" s="707"/>
      <c r="I1858" s="707">
        <f t="shared" si="56"/>
        <v>0</v>
      </c>
      <c r="J1858" s="707">
        <f t="shared" si="57"/>
        <v>0</v>
      </c>
      <c r="K1858" s="70"/>
    </row>
    <row r="1859" spans="1:11" ht="24" customHeight="1">
      <c r="A1859" s="33" t="s">
        <v>2573</v>
      </c>
      <c r="B1859" s="33" t="s">
        <v>1471</v>
      </c>
      <c r="C1859" s="33">
        <v>12</v>
      </c>
      <c r="D1859" s="33" t="s">
        <v>2540</v>
      </c>
      <c r="E1859" s="33">
        <v>1</v>
      </c>
      <c r="F1859" s="33"/>
      <c r="G1859" s="522"/>
      <c r="H1859" s="707"/>
      <c r="I1859" s="707">
        <f t="shared" ref="I1859:I1922" si="58">H1859 * 1.15</f>
        <v>0</v>
      </c>
      <c r="J1859" s="707">
        <f t="shared" ref="J1859:J1922" si="59">H1859 * 1.3</f>
        <v>0</v>
      </c>
      <c r="K1859" s="70"/>
    </row>
    <row r="1860" spans="1:11" ht="24" customHeight="1">
      <c r="A1860" s="33" t="s">
        <v>2560</v>
      </c>
      <c r="B1860" s="33" t="s">
        <v>1336</v>
      </c>
      <c r="C1860" s="33">
        <v>8</v>
      </c>
      <c r="D1860" s="33" t="s">
        <v>2540</v>
      </c>
      <c r="E1860" s="33">
        <v>1</v>
      </c>
      <c r="F1860" s="33"/>
      <c r="G1860" s="522"/>
      <c r="H1860" s="707"/>
      <c r="I1860" s="707">
        <f t="shared" si="58"/>
        <v>0</v>
      </c>
      <c r="J1860" s="707">
        <f t="shared" si="59"/>
        <v>0</v>
      </c>
      <c r="K1860" s="70"/>
    </row>
    <row r="1861" spans="1:11" ht="24" customHeight="1">
      <c r="A1861" s="33" t="s">
        <v>1854</v>
      </c>
      <c r="B1861" s="33" t="s">
        <v>779</v>
      </c>
      <c r="C1861" s="33">
        <v>2</v>
      </c>
      <c r="D1861" s="2" t="s">
        <v>1785</v>
      </c>
      <c r="E1861" s="33">
        <v>2</v>
      </c>
      <c r="F1861" s="33"/>
      <c r="G1861" s="522"/>
      <c r="H1861" s="707"/>
      <c r="I1861" s="707">
        <f t="shared" si="58"/>
        <v>0</v>
      </c>
      <c r="J1861" s="707">
        <f t="shared" si="59"/>
        <v>0</v>
      </c>
      <c r="K1861" s="70"/>
    </row>
    <row r="1862" spans="1:11" ht="24" customHeight="1">
      <c r="A1862" s="33" t="s">
        <v>1854</v>
      </c>
      <c r="B1862" s="33" t="s">
        <v>2384</v>
      </c>
      <c r="C1862" s="33">
        <v>10</v>
      </c>
      <c r="D1862" s="33" t="s">
        <v>2363</v>
      </c>
      <c r="E1862" s="33">
        <v>3</v>
      </c>
      <c r="F1862" s="33"/>
      <c r="G1862" s="522"/>
      <c r="H1862" s="707"/>
      <c r="I1862" s="707">
        <f t="shared" si="58"/>
        <v>0</v>
      </c>
      <c r="J1862" s="707">
        <f t="shared" si="59"/>
        <v>0</v>
      </c>
      <c r="K1862" s="70"/>
    </row>
    <row r="1863" spans="1:11" ht="24" customHeight="1">
      <c r="A1863" s="17" t="s">
        <v>2863</v>
      </c>
      <c r="B1863" s="17" t="s">
        <v>19</v>
      </c>
      <c r="C1863" s="17">
        <v>10</v>
      </c>
      <c r="D1863" s="131" t="s">
        <v>2802</v>
      </c>
      <c r="E1863" s="15">
        <v>3</v>
      </c>
      <c r="F1863" s="15"/>
      <c r="G1863" s="684"/>
      <c r="H1863" s="707"/>
      <c r="I1863" s="707">
        <f t="shared" si="58"/>
        <v>0</v>
      </c>
      <c r="J1863" s="707">
        <f t="shared" si="59"/>
        <v>0</v>
      </c>
      <c r="K1863" s="70"/>
    </row>
    <row r="1864" spans="1:11" ht="24" customHeight="1">
      <c r="A1864" s="33" t="s">
        <v>160</v>
      </c>
      <c r="B1864" s="33" t="s">
        <v>19</v>
      </c>
      <c r="C1864" s="33">
        <v>92</v>
      </c>
      <c r="D1864" s="2" t="s">
        <v>11</v>
      </c>
      <c r="E1864" s="33">
        <v>3</v>
      </c>
      <c r="F1864" s="33"/>
      <c r="G1864" s="522"/>
      <c r="H1864" s="707">
        <v>1</v>
      </c>
      <c r="I1864" s="707">
        <f t="shared" si="58"/>
        <v>1.1499999999999999</v>
      </c>
      <c r="J1864" s="707">
        <f t="shared" si="59"/>
        <v>1.3</v>
      </c>
      <c r="K1864" s="70"/>
    </row>
    <row r="1865" spans="1:11" ht="24" customHeight="1">
      <c r="A1865" s="33" t="s">
        <v>1363</v>
      </c>
      <c r="B1865" s="33" t="s">
        <v>19</v>
      </c>
      <c r="C1865" s="33">
        <v>97</v>
      </c>
      <c r="D1865" s="33" t="s">
        <v>1325</v>
      </c>
      <c r="E1865" s="33">
        <v>2</v>
      </c>
      <c r="F1865" s="33"/>
      <c r="G1865" s="522"/>
      <c r="H1865" s="707"/>
      <c r="I1865" s="707">
        <f t="shared" si="58"/>
        <v>0</v>
      </c>
      <c r="J1865" s="707">
        <f t="shared" si="59"/>
        <v>0</v>
      </c>
      <c r="K1865" s="70"/>
    </row>
    <row r="1866" spans="1:11" ht="24" customHeight="1">
      <c r="A1866" s="2" t="s">
        <v>710</v>
      </c>
      <c r="B1866" s="2" t="s">
        <v>19</v>
      </c>
      <c r="C1866" s="2">
        <v>55</v>
      </c>
      <c r="D1866" s="2" t="s">
        <v>593</v>
      </c>
      <c r="E1866" s="33">
        <v>3</v>
      </c>
      <c r="F1866" s="33"/>
      <c r="G1866" s="522"/>
      <c r="H1866" s="707">
        <v>1.5</v>
      </c>
      <c r="I1866" s="707">
        <f t="shared" si="58"/>
        <v>1.7249999999999999</v>
      </c>
      <c r="J1866" s="707">
        <f t="shared" si="59"/>
        <v>1.9500000000000002</v>
      </c>
      <c r="K1866" s="70" t="s">
        <v>711</v>
      </c>
    </row>
    <row r="1867" spans="1:11" ht="24" customHeight="1">
      <c r="A1867" s="33" t="s">
        <v>2331</v>
      </c>
      <c r="B1867" s="33" t="s">
        <v>19</v>
      </c>
      <c r="C1867" s="33">
        <v>76</v>
      </c>
      <c r="D1867" s="33" t="s">
        <v>2276</v>
      </c>
      <c r="E1867" s="33">
        <v>1</v>
      </c>
      <c r="F1867" s="33"/>
      <c r="G1867" s="522"/>
      <c r="H1867" s="707">
        <v>1</v>
      </c>
      <c r="I1867" s="707">
        <f t="shared" si="58"/>
        <v>1.1499999999999999</v>
      </c>
      <c r="J1867" s="707">
        <f t="shared" si="59"/>
        <v>1.3</v>
      </c>
      <c r="K1867" s="70"/>
    </row>
    <row r="1868" spans="1:11" ht="24" customHeight="1">
      <c r="A1868" s="33" t="s">
        <v>523</v>
      </c>
      <c r="B1868" s="33" t="s">
        <v>19</v>
      </c>
      <c r="C1868" s="33">
        <v>18</v>
      </c>
      <c r="D1868" s="2" t="s">
        <v>274</v>
      </c>
      <c r="E1868" s="33">
        <v>3</v>
      </c>
      <c r="F1868" s="33"/>
      <c r="G1868" s="522"/>
      <c r="H1868" s="707"/>
      <c r="I1868" s="707">
        <f t="shared" si="58"/>
        <v>0</v>
      </c>
      <c r="J1868" s="707">
        <f t="shared" si="59"/>
        <v>0</v>
      </c>
      <c r="K1868" s="70"/>
    </row>
    <row r="1869" spans="1:11" ht="24" customHeight="1">
      <c r="A1869" s="2" t="s">
        <v>752</v>
      </c>
      <c r="B1869" s="2" t="s">
        <v>19</v>
      </c>
      <c r="C1869" s="2">
        <v>13</v>
      </c>
      <c r="D1869" s="2" t="s">
        <v>593</v>
      </c>
      <c r="E1869" s="33">
        <v>3</v>
      </c>
      <c r="F1869" s="33"/>
      <c r="G1869" s="522"/>
      <c r="H1869" s="707"/>
      <c r="I1869" s="707">
        <f t="shared" si="58"/>
        <v>0</v>
      </c>
      <c r="J1869" s="707">
        <f t="shared" si="59"/>
        <v>0</v>
      </c>
      <c r="K1869" s="70"/>
    </row>
    <row r="1870" spans="1:11" ht="24" customHeight="1">
      <c r="A1870" s="33" t="s">
        <v>155</v>
      </c>
      <c r="B1870" s="33" t="s">
        <v>19</v>
      </c>
      <c r="C1870" s="33">
        <v>171</v>
      </c>
      <c r="D1870" s="2" t="s">
        <v>11</v>
      </c>
      <c r="E1870" s="33">
        <v>3</v>
      </c>
      <c r="F1870" s="33"/>
      <c r="G1870" s="522"/>
      <c r="H1870" s="707">
        <v>7</v>
      </c>
      <c r="I1870" s="707">
        <f t="shared" si="58"/>
        <v>8.0499999999999989</v>
      </c>
      <c r="J1870" s="707">
        <f t="shared" si="59"/>
        <v>9.1</v>
      </c>
      <c r="K1870" s="70"/>
    </row>
    <row r="1871" spans="1:11" ht="24" customHeight="1">
      <c r="A1871" s="33" t="s">
        <v>235</v>
      </c>
      <c r="B1871" s="33" t="s">
        <v>19</v>
      </c>
      <c r="C1871" s="33">
        <v>40</v>
      </c>
      <c r="D1871" s="2" t="s">
        <v>188</v>
      </c>
      <c r="E1871" s="33">
        <v>4</v>
      </c>
      <c r="F1871" s="33"/>
      <c r="G1871" s="522"/>
      <c r="H1871" s="707"/>
      <c r="I1871" s="707">
        <f t="shared" si="58"/>
        <v>0</v>
      </c>
      <c r="J1871" s="707">
        <f t="shared" si="59"/>
        <v>0</v>
      </c>
      <c r="K1871" s="70"/>
    </row>
    <row r="1872" spans="1:11" ht="24" customHeight="1">
      <c r="A1872" s="74" t="s">
        <v>2145</v>
      </c>
      <c r="B1872" s="74" t="s">
        <v>19</v>
      </c>
      <c r="C1872" s="74">
        <v>75</v>
      </c>
      <c r="D1872" s="33" t="s">
        <v>2111</v>
      </c>
      <c r="E1872" s="33">
        <v>2</v>
      </c>
      <c r="F1872" s="33"/>
      <c r="G1872" s="522"/>
      <c r="H1872" s="707"/>
      <c r="I1872" s="707">
        <f t="shared" si="58"/>
        <v>0</v>
      </c>
      <c r="J1872" s="707">
        <f t="shared" si="59"/>
        <v>0</v>
      </c>
      <c r="K1872" s="70"/>
    </row>
    <row r="1873" spans="1:11" ht="24" customHeight="1">
      <c r="A1873" s="2" t="s">
        <v>487</v>
      </c>
      <c r="B1873" s="2" t="s">
        <v>19</v>
      </c>
      <c r="C1873" s="2">
        <v>8</v>
      </c>
      <c r="D1873" s="2" t="s">
        <v>274</v>
      </c>
      <c r="E1873" s="33">
        <v>3</v>
      </c>
      <c r="F1873" s="33"/>
      <c r="G1873" s="522"/>
      <c r="H1873" s="707"/>
      <c r="I1873" s="707">
        <f t="shared" si="58"/>
        <v>0</v>
      </c>
      <c r="J1873" s="707">
        <f t="shared" si="59"/>
        <v>0</v>
      </c>
      <c r="K1873" s="70"/>
    </row>
    <row r="1874" spans="1:11" ht="24" customHeight="1">
      <c r="A1874" s="74" t="s">
        <v>2471</v>
      </c>
      <c r="B1874" s="74" t="s">
        <v>19</v>
      </c>
      <c r="C1874" s="74">
        <v>54</v>
      </c>
      <c r="D1874" s="33" t="s">
        <v>2363</v>
      </c>
      <c r="E1874" s="33">
        <v>5</v>
      </c>
      <c r="F1874" s="33"/>
      <c r="G1874" s="522"/>
      <c r="H1874" s="707">
        <v>5</v>
      </c>
      <c r="I1874" s="707">
        <f t="shared" si="58"/>
        <v>5.75</v>
      </c>
      <c r="J1874" s="707">
        <f t="shared" si="59"/>
        <v>6.5</v>
      </c>
      <c r="K1874" s="70"/>
    </row>
    <row r="1875" spans="1:11" ht="24" customHeight="1">
      <c r="A1875" s="74" t="s">
        <v>1134</v>
      </c>
      <c r="B1875" s="74" t="s">
        <v>19</v>
      </c>
      <c r="C1875" s="74">
        <v>12</v>
      </c>
      <c r="D1875" s="33" t="s">
        <v>992</v>
      </c>
      <c r="E1875" s="33">
        <v>5</v>
      </c>
      <c r="F1875" s="33"/>
      <c r="G1875" s="522"/>
      <c r="H1875" s="707">
        <v>1</v>
      </c>
      <c r="I1875" s="707">
        <f t="shared" si="58"/>
        <v>1.1499999999999999</v>
      </c>
      <c r="J1875" s="707">
        <f t="shared" si="59"/>
        <v>1.3</v>
      </c>
      <c r="K1875" s="70"/>
    </row>
    <row r="1876" spans="1:11" ht="24" customHeight="1">
      <c r="A1876" s="2" t="s">
        <v>315</v>
      </c>
      <c r="B1876" s="2" t="s">
        <v>19</v>
      </c>
      <c r="C1876" s="2">
        <v>43</v>
      </c>
      <c r="D1876" s="2" t="s">
        <v>274</v>
      </c>
      <c r="E1876" s="33">
        <v>1</v>
      </c>
      <c r="F1876" s="33"/>
      <c r="G1876" s="522"/>
      <c r="H1876" s="707">
        <v>1</v>
      </c>
      <c r="I1876" s="707">
        <f t="shared" si="58"/>
        <v>1.1499999999999999</v>
      </c>
      <c r="J1876" s="707">
        <f t="shared" si="59"/>
        <v>1.3</v>
      </c>
      <c r="K1876" s="70"/>
    </row>
    <row r="1877" spans="1:11" ht="24" customHeight="1">
      <c r="A1877" s="33" t="s">
        <v>940</v>
      </c>
      <c r="B1877" s="33" t="s">
        <v>19</v>
      </c>
      <c r="C1877" s="33">
        <v>46</v>
      </c>
      <c r="D1877" s="33" t="s">
        <v>910</v>
      </c>
      <c r="E1877" s="33">
        <v>1</v>
      </c>
      <c r="F1877" s="33"/>
      <c r="G1877" s="522"/>
      <c r="H1877" s="711">
        <v>1</v>
      </c>
      <c r="I1877" s="711">
        <f t="shared" si="58"/>
        <v>1.1499999999999999</v>
      </c>
      <c r="J1877" s="711">
        <f t="shared" si="59"/>
        <v>1.3</v>
      </c>
      <c r="K1877" s="55"/>
    </row>
    <row r="1878" spans="1:11" ht="24" customHeight="1">
      <c r="A1878" s="3" t="s">
        <v>2819</v>
      </c>
      <c r="B1878" s="3" t="s">
        <v>19</v>
      </c>
      <c r="C1878" s="3">
        <v>350</v>
      </c>
      <c r="D1878" s="58" t="s">
        <v>2802</v>
      </c>
      <c r="E1878" s="33">
        <v>2</v>
      </c>
      <c r="F1878" s="33"/>
      <c r="G1878" s="522"/>
      <c r="H1878" s="707">
        <v>6</v>
      </c>
      <c r="I1878" s="707">
        <f t="shared" si="58"/>
        <v>6.8999999999999995</v>
      </c>
      <c r="J1878" s="707">
        <f t="shared" si="59"/>
        <v>7.8000000000000007</v>
      </c>
      <c r="K1878" s="70"/>
    </row>
    <row r="1879" spans="1:11" ht="24" customHeight="1">
      <c r="A1879" s="2" t="s">
        <v>3436</v>
      </c>
      <c r="B1879" s="2" t="s">
        <v>19</v>
      </c>
      <c r="C1879" s="2">
        <v>296</v>
      </c>
      <c r="D1879" s="65" t="s">
        <v>3348</v>
      </c>
      <c r="E1879" s="33">
        <v>5</v>
      </c>
      <c r="F1879" s="33"/>
      <c r="G1879" s="522"/>
      <c r="H1879" s="707">
        <v>4</v>
      </c>
      <c r="I1879" s="707">
        <f t="shared" si="58"/>
        <v>4.5999999999999996</v>
      </c>
      <c r="J1879" s="707">
        <f t="shared" si="59"/>
        <v>5.2</v>
      </c>
      <c r="K1879" s="70"/>
    </row>
    <row r="1880" spans="1:11" ht="24" customHeight="1">
      <c r="A1880" s="33" t="s">
        <v>949</v>
      </c>
      <c r="B1880" s="33" t="s">
        <v>19</v>
      </c>
      <c r="C1880" s="33">
        <v>98</v>
      </c>
      <c r="D1880" s="33" t="s">
        <v>910</v>
      </c>
      <c r="E1880" s="33">
        <v>2</v>
      </c>
      <c r="F1880" s="33"/>
      <c r="G1880" s="522"/>
      <c r="H1880" s="707">
        <v>2</v>
      </c>
      <c r="I1880" s="707">
        <f t="shared" si="58"/>
        <v>2.2999999999999998</v>
      </c>
      <c r="J1880" s="707">
        <f t="shared" si="59"/>
        <v>2.6</v>
      </c>
      <c r="K1880" s="70"/>
    </row>
    <row r="1881" spans="1:11" ht="24" customHeight="1">
      <c r="A1881" s="74" t="s">
        <v>2534</v>
      </c>
      <c r="B1881" s="74" t="s">
        <v>19</v>
      </c>
      <c r="C1881" s="74">
        <v>11</v>
      </c>
      <c r="D1881" s="33" t="s">
        <v>2504</v>
      </c>
      <c r="E1881" s="33">
        <v>5</v>
      </c>
      <c r="F1881" s="33"/>
      <c r="G1881" s="522"/>
      <c r="H1881" s="707">
        <v>3</v>
      </c>
      <c r="I1881" s="707">
        <f t="shared" si="58"/>
        <v>3.4499999999999997</v>
      </c>
      <c r="J1881" s="707">
        <f t="shared" si="59"/>
        <v>3.9000000000000004</v>
      </c>
      <c r="K1881" s="70"/>
    </row>
    <row r="1882" spans="1:11" ht="24" customHeight="1">
      <c r="A1882" s="17" t="s">
        <v>2867</v>
      </c>
      <c r="B1882" s="17" t="s">
        <v>19</v>
      </c>
      <c r="C1882" s="17">
        <v>544</v>
      </c>
      <c r="D1882" s="131" t="s">
        <v>2802</v>
      </c>
      <c r="E1882" s="15">
        <v>3</v>
      </c>
      <c r="F1882" s="15"/>
      <c r="G1882" s="684"/>
      <c r="H1882" s="707"/>
      <c r="I1882" s="707">
        <f t="shared" si="58"/>
        <v>0</v>
      </c>
      <c r="J1882" s="707">
        <f t="shared" si="59"/>
        <v>0</v>
      </c>
      <c r="K1882" s="70"/>
    </row>
    <row r="1883" spans="1:11" ht="24" customHeight="1">
      <c r="A1883" s="33" t="s">
        <v>1111</v>
      </c>
      <c r="B1883" s="33" t="s">
        <v>19</v>
      </c>
      <c r="C1883" s="33">
        <v>16</v>
      </c>
      <c r="D1883" s="33" t="s">
        <v>992</v>
      </c>
      <c r="E1883" s="33">
        <v>5</v>
      </c>
      <c r="F1883" s="33"/>
      <c r="G1883" s="522"/>
      <c r="H1883" s="707">
        <v>1</v>
      </c>
      <c r="I1883" s="707">
        <f t="shared" si="58"/>
        <v>1.1499999999999999</v>
      </c>
      <c r="J1883" s="707">
        <f t="shared" si="59"/>
        <v>1.3</v>
      </c>
      <c r="K1883" s="70"/>
    </row>
    <row r="1884" spans="1:11" ht="24" customHeight="1">
      <c r="A1884" s="10" t="s">
        <v>3172</v>
      </c>
      <c r="B1884" s="34" t="s">
        <v>19</v>
      </c>
      <c r="C1884" s="11">
        <v>17</v>
      </c>
      <c r="D1884" s="33" t="s">
        <v>3053</v>
      </c>
      <c r="E1884" s="33">
        <v>3</v>
      </c>
      <c r="F1884" s="33"/>
      <c r="G1884" s="522"/>
      <c r="H1884" s="707">
        <v>2</v>
      </c>
      <c r="I1884" s="707">
        <f t="shared" si="58"/>
        <v>2.2999999999999998</v>
      </c>
      <c r="J1884" s="707">
        <f t="shared" si="59"/>
        <v>2.6</v>
      </c>
      <c r="K1884" s="70"/>
    </row>
    <row r="1885" spans="1:11" ht="24" customHeight="1">
      <c r="A1885" s="33" t="s">
        <v>2837</v>
      </c>
      <c r="B1885" s="33" t="s">
        <v>19</v>
      </c>
      <c r="C1885" s="33">
        <v>94</v>
      </c>
      <c r="D1885" s="58" t="s">
        <v>2802</v>
      </c>
      <c r="E1885" s="33">
        <v>2</v>
      </c>
      <c r="F1885" s="33"/>
      <c r="G1885" s="522"/>
      <c r="H1885" s="707"/>
      <c r="I1885" s="707">
        <f t="shared" si="58"/>
        <v>0</v>
      </c>
      <c r="J1885" s="707">
        <f t="shared" si="59"/>
        <v>0</v>
      </c>
      <c r="K1885" s="70"/>
    </row>
    <row r="1886" spans="1:11" ht="24" customHeight="1">
      <c r="A1886" s="3" t="s">
        <v>2828</v>
      </c>
      <c r="B1886" s="3" t="s">
        <v>19</v>
      </c>
      <c r="C1886" s="3">
        <v>93</v>
      </c>
      <c r="D1886" s="58" t="s">
        <v>2802</v>
      </c>
      <c r="E1886" s="33">
        <v>2</v>
      </c>
      <c r="F1886" s="33"/>
      <c r="G1886" s="522"/>
      <c r="H1886" s="707">
        <v>1</v>
      </c>
      <c r="I1886" s="707">
        <f t="shared" si="58"/>
        <v>1.1499999999999999</v>
      </c>
      <c r="J1886" s="707">
        <f t="shared" si="59"/>
        <v>1.3</v>
      </c>
      <c r="K1886" s="70"/>
    </row>
    <row r="1887" spans="1:11" ht="24" customHeight="1">
      <c r="A1887" s="2" t="s">
        <v>2828</v>
      </c>
      <c r="B1887" s="2" t="s">
        <v>19</v>
      </c>
      <c r="C1887" s="2">
        <v>170</v>
      </c>
      <c r="D1887" s="2" t="s">
        <v>3636</v>
      </c>
      <c r="E1887" s="33">
        <v>2</v>
      </c>
      <c r="F1887" s="33"/>
      <c r="G1887" s="522"/>
      <c r="H1887" s="707"/>
      <c r="I1887" s="707">
        <f t="shared" si="58"/>
        <v>0</v>
      </c>
      <c r="J1887" s="707">
        <f t="shared" si="59"/>
        <v>0</v>
      </c>
      <c r="K1887" s="55"/>
    </row>
    <row r="1888" spans="1:11" ht="24" customHeight="1">
      <c r="A1888" s="2" t="s">
        <v>1841</v>
      </c>
      <c r="B1888" s="2" t="s">
        <v>19</v>
      </c>
      <c r="C1888" s="2">
        <v>21</v>
      </c>
      <c r="D1888" s="2" t="s">
        <v>1785</v>
      </c>
      <c r="E1888" s="33">
        <v>2</v>
      </c>
      <c r="F1888" s="33"/>
      <c r="G1888" s="522"/>
      <c r="H1888" s="707"/>
      <c r="I1888" s="707">
        <f t="shared" si="58"/>
        <v>0</v>
      </c>
      <c r="J1888" s="707">
        <f t="shared" si="59"/>
        <v>0</v>
      </c>
      <c r="K1888" s="70"/>
    </row>
    <row r="1889" spans="1:11" ht="24" customHeight="1">
      <c r="A1889" s="2" t="s">
        <v>834</v>
      </c>
      <c r="B1889" s="2" t="s">
        <v>19</v>
      </c>
      <c r="C1889" s="2">
        <v>250</v>
      </c>
      <c r="D1889" s="2" t="s">
        <v>593</v>
      </c>
      <c r="E1889" s="33">
        <v>3</v>
      </c>
      <c r="F1889" s="33"/>
      <c r="G1889" s="522"/>
      <c r="H1889" s="707"/>
      <c r="I1889" s="707">
        <f t="shared" si="58"/>
        <v>0</v>
      </c>
      <c r="J1889" s="707">
        <f t="shared" si="59"/>
        <v>0</v>
      </c>
      <c r="K1889" s="70"/>
    </row>
    <row r="1890" spans="1:11" ht="24" customHeight="1">
      <c r="A1890" s="33" t="s">
        <v>1518</v>
      </c>
      <c r="B1890" s="33" t="s">
        <v>19</v>
      </c>
      <c r="C1890" s="33">
        <v>395</v>
      </c>
      <c r="D1890" s="33" t="s">
        <v>1494</v>
      </c>
      <c r="E1890" s="33">
        <v>1</v>
      </c>
      <c r="F1890" s="33"/>
      <c r="G1890" s="522"/>
      <c r="H1890" s="707">
        <v>2</v>
      </c>
      <c r="I1890" s="707">
        <f t="shared" si="58"/>
        <v>2.2999999999999998</v>
      </c>
      <c r="J1890" s="707">
        <f t="shared" si="59"/>
        <v>2.6</v>
      </c>
      <c r="K1890" s="70"/>
    </row>
    <row r="1891" spans="1:11" ht="24" customHeight="1">
      <c r="A1891" s="33" t="s">
        <v>1518</v>
      </c>
      <c r="B1891" s="33" t="s">
        <v>19</v>
      </c>
      <c r="C1891" s="33">
        <v>46</v>
      </c>
      <c r="D1891" s="33" t="s">
        <v>1548</v>
      </c>
      <c r="E1891" s="33">
        <v>3</v>
      </c>
      <c r="F1891" s="33"/>
      <c r="G1891" s="522"/>
      <c r="H1891" s="707">
        <v>2</v>
      </c>
      <c r="I1891" s="707">
        <f t="shared" si="58"/>
        <v>2.2999999999999998</v>
      </c>
      <c r="J1891" s="707">
        <f t="shared" si="59"/>
        <v>2.6</v>
      </c>
      <c r="K1891" s="70"/>
    </row>
    <row r="1892" spans="1:11" ht="24" customHeight="1">
      <c r="A1892" s="10" t="s">
        <v>3482</v>
      </c>
      <c r="B1892" s="11" t="s">
        <v>2539</v>
      </c>
      <c r="C1892" s="11">
        <v>3</v>
      </c>
      <c r="D1892" s="131" t="s">
        <v>3451</v>
      </c>
      <c r="E1892" s="15">
        <v>3</v>
      </c>
      <c r="F1892" s="15"/>
      <c r="G1892" s="684"/>
      <c r="H1892" s="707"/>
      <c r="I1892" s="707">
        <f t="shared" si="58"/>
        <v>0</v>
      </c>
      <c r="J1892" s="707">
        <f t="shared" si="59"/>
        <v>0</v>
      </c>
      <c r="K1892" s="70"/>
    </row>
    <row r="1893" spans="1:11" ht="24" customHeight="1">
      <c r="A1893" s="3" t="s">
        <v>3222</v>
      </c>
      <c r="B1893" s="59" t="s">
        <v>2187</v>
      </c>
      <c r="C1893" s="59">
        <v>1</v>
      </c>
      <c r="D1893" s="33" t="s">
        <v>3053</v>
      </c>
      <c r="E1893" s="354">
        <v>5</v>
      </c>
      <c r="F1893" s="354"/>
      <c r="G1893" s="688"/>
      <c r="H1893" s="707"/>
      <c r="I1893" s="707">
        <f t="shared" si="58"/>
        <v>0</v>
      </c>
      <c r="J1893" s="707">
        <f t="shared" si="59"/>
        <v>0</v>
      </c>
      <c r="K1893" s="70"/>
    </row>
    <row r="1894" spans="1:11" ht="24" customHeight="1">
      <c r="A1894" s="33" t="s">
        <v>3308</v>
      </c>
      <c r="B1894" s="33" t="s">
        <v>1030</v>
      </c>
      <c r="C1894" s="33">
        <v>6</v>
      </c>
      <c r="D1894" s="33" t="s">
        <v>3279</v>
      </c>
      <c r="E1894" s="33">
        <v>3</v>
      </c>
      <c r="F1894" s="33"/>
      <c r="G1894" s="522"/>
      <c r="H1894" s="707"/>
      <c r="I1894" s="707">
        <f t="shared" si="58"/>
        <v>0</v>
      </c>
      <c r="J1894" s="707">
        <f t="shared" si="59"/>
        <v>0</v>
      </c>
      <c r="K1894" s="70"/>
    </row>
    <row r="1895" spans="1:11" ht="24" customHeight="1">
      <c r="A1895" s="399" t="s">
        <v>1919</v>
      </c>
      <c r="B1895" s="399" t="s">
        <v>1920</v>
      </c>
      <c r="C1895" s="399">
        <v>1</v>
      </c>
      <c r="D1895" s="400" t="s">
        <v>1898</v>
      </c>
      <c r="E1895" s="400">
        <v>4</v>
      </c>
      <c r="F1895" s="400" t="s">
        <v>1012</v>
      </c>
      <c r="G1895" s="690"/>
      <c r="H1895" s="713"/>
      <c r="I1895" s="713">
        <f t="shared" si="58"/>
        <v>0</v>
      </c>
      <c r="J1895" s="713">
        <f t="shared" si="59"/>
        <v>0</v>
      </c>
      <c r="K1895" s="401"/>
    </row>
    <row r="1896" spans="1:11" ht="24" customHeight="1">
      <c r="A1896" s="399" t="s">
        <v>1918</v>
      </c>
      <c r="B1896" s="399" t="s">
        <v>678</v>
      </c>
      <c r="C1896" s="399">
        <v>1</v>
      </c>
      <c r="D1896" s="400" t="s">
        <v>1898</v>
      </c>
      <c r="E1896" s="400">
        <v>4</v>
      </c>
      <c r="F1896" s="400" t="s">
        <v>1012</v>
      </c>
      <c r="G1896" s="690"/>
      <c r="H1896" s="713"/>
      <c r="I1896" s="713">
        <f t="shared" si="58"/>
        <v>0</v>
      </c>
      <c r="J1896" s="713">
        <f t="shared" si="59"/>
        <v>0</v>
      </c>
      <c r="K1896" s="401"/>
    </row>
    <row r="1897" spans="1:11" ht="24" customHeight="1">
      <c r="A1897" s="399" t="s">
        <v>1917</v>
      </c>
      <c r="B1897" s="399" t="s">
        <v>678</v>
      </c>
      <c r="C1897" s="399">
        <v>1</v>
      </c>
      <c r="D1897" s="400" t="s">
        <v>1898</v>
      </c>
      <c r="E1897" s="400">
        <v>4</v>
      </c>
      <c r="F1897" s="400" t="s">
        <v>1012</v>
      </c>
      <c r="G1897" s="690"/>
      <c r="H1897" s="713"/>
      <c r="I1897" s="713">
        <f t="shared" si="58"/>
        <v>0</v>
      </c>
      <c r="J1897" s="713">
        <f t="shared" si="59"/>
        <v>0</v>
      </c>
      <c r="K1897" s="401"/>
    </row>
    <row r="1898" spans="1:11" ht="24" customHeight="1">
      <c r="A1898" s="399" t="s">
        <v>1915</v>
      </c>
      <c r="B1898" s="399" t="s">
        <v>1916</v>
      </c>
      <c r="C1898" s="399">
        <v>1</v>
      </c>
      <c r="D1898" s="400" t="s">
        <v>1898</v>
      </c>
      <c r="E1898" s="400">
        <v>4</v>
      </c>
      <c r="F1898" s="400" t="s">
        <v>1012</v>
      </c>
      <c r="G1898" s="690"/>
      <c r="H1898" s="713"/>
      <c r="I1898" s="713">
        <f t="shared" si="58"/>
        <v>0</v>
      </c>
      <c r="J1898" s="713">
        <f t="shared" si="59"/>
        <v>0</v>
      </c>
      <c r="K1898" s="401"/>
    </row>
    <row r="1899" spans="1:11" ht="24" customHeight="1">
      <c r="A1899" s="33" t="s">
        <v>3373</v>
      </c>
      <c r="B1899" s="33" t="s">
        <v>27</v>
      </c>
      <c r="C1899" s="33">
        <v>1</v>
      </c>
      <c r="D1899" s="33" t="s">
        <v>3348</v>
      </c>
      <c r="E1899" s="33">
        <v>3</v>
      </c>
      <c r="F1899" s="33"/>
      <c r="G1899" s="522"/>
      <c r="H1899" s="707"/>
      <c r="I1899" s="707">
        <f t="shared" si="58"/>
        <v>0</v>
      </c>
      <c r="J1899" s="707">
        <f t="shared" si="59"/>
        <v>0</v>
      </c>
      <c r="K1899" s="70"/>
    </row>
    <row r="1900" spans="1:11" ht="24" customHeight="1">
      <c r="A1900" s="3" t="s">
        <v>2814</v>
      </c>
      <c r="B1900" s="3" t="s">
        <v>21</v>
      </c>
      <c r="C1900" s="3">
        <v>1</v>
      </c>
      <c r="D1900" s="58" t="s">
        <v>2802</v>
      </c>
      <c r="E1900" s="33">
        <v>2</v>
      </c>
      <c r="F1900" s="33"/>
      <c r="G1900" s="522"/>
      <c r="H1900" s="707"/>
      <c r="I1900" s="707">
        <f t="shared" si="58"/>
        <v>0</v>
      </c>
      <c r="J1900" s="707">
        <f t="shared" si="59"/>
        <v>0</v>
      </c>
      <c r="K1900" s="70"/>
    </row>
    <row r="1901" spans="1:11" ht="24" customHeight="1">
      <c r="A1901" s="33" t="s">
        <v>3332</v>
      </c>
      <c r="B1901" s="33" t="s">
        <v>678</v>
      </c>
      <c r="C1901" s="33">
        <v>1</v>
      </c>
      <c r="D1901" s="33" t="s">
        <v>3279</v>
      </c>
      <c r="E1901" s="33">
        <v>4</v>
      </c>
      <c r="F1901" s="33"/>
      <c r="G1901" s="522"/>
      <c r="H1901" s="707"/>
      <c r="I1901" s="707">
        <f t="shared" si="58"/>
        <v>0</v>
      </c>
      <c r="J1901" s="707">
        <f t="shared" si="59"/>
        <v>0</v>
      </c>
      <c r="K1901" s="70"/>
    </row>
    <row r="1902" spans="1:11" ht="24" customHeight="1">
      <c r="A1902" s="17" t="s">
        <v>1777</v>
      </c>
      <c r="B1902" s="17" t="s">
        <v>1778</v>
      </c>
      <c r="C1902" s="17">
        <v>3</v>
      </c>
      <c r="D1902" s="131" t="s">
        <v>1775</v>
      </c>
      <c r="E1902" s="15">
        <v>5</v>
      </c>
      <c r="F1902" s="15"/>
      <c r="G1902" s="684"/>
      <c r="H1902" s="707"/>
      <c r="I1902" s="707">
        <f t="shared" si="58"/>
        <v>0</v>
      </c>
      <c r="J1902" s="707">
        <f t="shared" si="59"/>
        <v>0</v>
      </c>
      <c r="K1902" s="70"/>
    </row>
    <row r="1903" spans="1:11" ht="24" customHeight="1">
      <c r="A1903" s="79" t="s">
        <v>1782</v>
      </c>
      <c r="B1903" s="79" t="s">
        <v>1778</v>
      </c>
      <c r="C1903" s="79">
        <v>1</v>
      </c>
      <c r="D1903" s="79" t="s">
        <v>2111</v>
      </c>
      <c r="E1903" s="79">
        <v>2</v>
      </c>
      <c r="F1903" s="79"/>
      <c r="G1903" s="60"/>
      <c r="H1903" s="708"/>
      <c r="I1903" s="707">
        <f t="shared" si="58"/>
        <v>0</v>
      </c>
      <c r="J1903" s="708">
        <f t="shared" si="59"/>
        <v>0</v>
      </c>
      <c r="K1903" s="70" t="s">
        <v>2179</v>
      </c>
    </row>
    <row r="1904" spans="1:11" ht="24" customHeight="1">
      <c r="A1904" s="17" t="s">
        <v>1782</v>
      </c>
      <c r="B1904" s="17" t="s">
        <v>1778</v>
      </c>
      <c r="C1904" s="17">
        <v>4</v>
      </c>
      <c r="D1904" s="131" t="s">
        <v>1775</v>
      </c>
      <c r="E1904" s="15">
        <v>5</v>
      </c>
      <c r="F1904" s="15"/>
      <c r="G1904" s="684"/>
      <c r="H1904" s="707"/>
      <c r="I1904" s="707">
        <f t="shared" si="58"/>
        <v>0</v>
      </c>
      <c r="J1904" s="707">
        <f t="shared" si="59"/>
        <v>0</v>
      </c>
      <c r="K1904" s="70"/>
    </row>
    <row r="1905" spans="1:11" ht="24" customHeight="1">
      <c r="A1905" s="17" t="s">
        <v>1781</v>
      </c>
      <c r="B1905" s="17" t="s">
        <v>1778</v>
      </c>
      <c r="C1905" s="17">
        <v>2</v>
      </c>
      <c r="D1905" s="131" t="s">
        <v>1775</v>
      </c>
      <c r="E1905" s="15">
        <v>5</v>
      </c>
      <c r="F1905" s="15"/>
      <c r="G1905" s="684"/>
      <c r="H1905" s="707"/>
      <c r="I1905" s="707">
        <f t="shared" si="58"/>
        <v>0</v>
      </c>
      <c r="J1905" s="707">
        <f t="shared" si="59"/>
        <v>0</v>
      </c>
      <c r="K1905" s="70"/>
    </row>
    <row r="1906" spans="1:11" ht="24" customHeight="1">
      <c r="A1906" s="17" t="s">
        <v>1780</v>
      </c>
      <c r="B1906" s="17" t="s">
        <v>1778</v>
      </c>
      <c r="C1906" s="17">
        <v>5</v>
      </c>
      <c r="D1906" s="131" t="s">
        <v>1775</v>
      </c>
      <c r="E1906" s="15">
        <v>5</v>
      </c>
      <c r="F1906" s="15"/>
      <c r="G1906" s="684"/>
      <c r="H1906" s="707"/>
      <c r="I1906" s="707">
        <f t="shared" si="58"/>
        <v>0</v>
      </c>
      <c r="J1906" s="707">
        <f t="shared" si="59"/>
        <v>0</v>
      </c>
      <c r="K1906" s="70"/>
    </row>
    <row r="1907" spans="1:11" ht="24" customHeight="1">
      <c r="A1907" s="79" t="s">
        <v>2186</v>
      </c>
      <c r="B1907" s="79" t="s">
        <v>2187</v>
      </c>
      <c r="C1907" s="79">
        <v>1</v>
      </c>
      <c r="D1907" s="79" t="s">
        <v>2111</v>
      </c>
      <c r="E1907" s="79">
        <v>2</v>
      </c>
      <c r="F1907" s="79"/>
      <c r="G1907" s="60"/>
      <c r="H1907" s="712"/>
      <c r="I1907" s="721">
        <f t="shared" si="58"/>
        <v>0</v>
      </c>
      <c r="J1907" s="712">
        <f t="shared" si="59"/>
        <v>0</v>
      </c>
      <c r="K1907" s="70"/>
    </row>
    <row r="1908" spans="1:11" ht="24" customHeight="1">
      <c r="A1908" s="17" t="s">
        <v>1783</v>
      </c>
      <c r="B1908" s="17" t="s">
        <v>1778</v>
      </c>
      <c r="C1908" s="17">
        <v>2</v>
      </c>
      <c r="D1908" s="131" t="s">
        <v>1775</v>
      </c>
      <c r="E1908" s="15">
        <v>5</v>
      </c>
      <c r="F1908" s="15"/>
      <c r="G1908" s="684"/>
      <c r="H1908" s="707"/>
      <c r="I1908" s="707">
        <f t="shared" si="58"/>
        <v>0</v>
      </c>
      <c r="J1908" s="707">
        <f t="shared" si="59"/>
        <v>0</v>
      </c>
      <c r="K1908" s="70"/>
    </row>
    <row r="1909" spans="1:11" ht="24" customHeight="1">
      <c r="A1909" s="33" t="s">
        <v>283</v>
      </c>
      <c r="B1909" s="33" t="s">
        <v>284</v>
      </c>
      <c r="C1909" s="33">
        <v>1</v>
      </c>
      <c r="D1909" s="2" t="s">
        <v>188</v>
      </c>
      <c r="E1909" s="33">
        <v>5</v>
      </c>
      <c r="F1909" s="33"/>
      <c r="G1909" s="522"/>
      <c r="H1909" s="707"/>
      <c r="I1909" s="707">
        <f t="shared" si="58"/>
        <v>0</v>
      </c>
      <c r="J1909" s="707">
        <f t="shared" si="59"/>
        <v>0</v>
      </c>
      <c r="K1909" s="70"/>
    </row>
    <row r="1910" spans="1:11" ht="24" customHeight="1">
      <c r="A1910" s="33" t="s">
        <v>1268</v>
      </c>
      <c r="B1910" s="33" t="s">
        <v>83</v>
      </c>
      <c r="C1910" s="33">
        <v>1</v>
      </c>
      <c r="D1910" s="33" t="s">
        <v>1201</v>
      </c>
      <c r="E1910" s="33">
        <v>4</v>
      </c>
      <c r="F1910" s="33"/>
      <c r="G1910" s="522"/>
      <c r="H1910" s="707"/>
      <c r="I1910" s="707">
        <f t="shared" si="58"/>
        <v>0</v>
      </c>
      <c r="J1910" s="707">
        <f t="shared" si="59"/>
        <v>0</v>
      </c>
      <c r="K1910" s="70"/>
    </row>
    <row r="1911" spans="1:11" ht="24" customHeight="1">
      <c r="A1911" s="74" t="s">
        <v>1470</v>
      </c>
      <c r="B1911" s="74" t="s">
        <v>1471</v>
      </c>
      <c r="C1911" s="74">
        <v>185</v>
      </c>
      <c r="D1911" s="33" t="s">
        <v>1372</v>
      </c>
      <c r="E1911" s="33">
        <v>5</v>
      </c>
      <c r="F1911" s="33"/>
      <c r="G1911" s="522"/>
      <c r="H1911" s="707">
        <v>10</v>
      </c>
      <c r="I1911" s="707">
        <f t="shared" si="58"/>
        <v>11.5</v>
      </c>
      <c r="J1911" s="707">
        <f t="shared" si="59"/>
        <v>13</v>
      </c>
      <c r="K1911" s="70"/>
    </row>
    <row r="1912" spans="1:11" ht="24" customHeight="1">
      <c r="A1912" s="2" t="s">
        <v>214</v>
      </c>
      <c r="B1912" s="2" t="s">
        <v>150</v>
      </c>
      <c r="C1912" s="2">
        <v>2</v>
      </c>
      <c r="D1912" s="2" t="s">
        <v>188</v>
      </c>
      <c r="E1912" s="33">
        <v>4</v>
      </c>
      <c r="F1912" s="33"/>
      <c r="G1912" s="522"/>
      <c r="H1912" s="707"/>
      <c r="I1912" s="707">
        <f t="shared" si="58"/>
        <v>0</v>
      </c>
      <c r="J1912" s="707">
        <f t="shared" si="59"/>
        <v>0</v>
      </c>
      <c r="K1912" s="70"/>
    </row>
    <row r="1913" spans="1:11" ht="24" customHeight="1">
      <c r="A1913" s="33" t="s">
        <v>3353</v>
      </c>
      <c r="B1913" s="33" t="s">
        <v>19</v>
      </c>
      <c r="C1913" s="33">
        <v>5</v>
      </c>
      <c r="D1913" s="33" t="s">
        <v>3348</v>
      </c>
      <c r="E1913" s="33">
        <v>3</v>
      </c>
      <c r="F1913" s="33"/>
      <c r="G1913" s="522"/>
      <c r="H1913" s="707"/>
      <c r="I1913" s="707">
        <f t="shared" si="58"/>
        <v>0</v>
      </c>
      <c r="J1913" s="707">
        <f t="shared" si="59"/>
        <v>0</v>
      </c>
      <c r="K1913" s="70"/>
    </row>
    <row r="1914" spans="1:11" ht="24" customHeight="1">
      <c r="A1914" s="3" t="s">
        <v>2696</v>
      </c>
      <c r="B1914" s="59" t="s">
        <v>83</v>
      </c>
      <c r="C1914" s="59">
        <v>2</v>
      </c>
      <c r="D1914" s="33" t="s">
        <v>2624</v>
      </c>
      <c r="E1914" s="354">
        <v>5</v>
      </c>
      <c r="F1914" s="354"/>
      <c r="G1914" s="688"/>
      <c r="H1914" s="707">
        <v>40</v>
      </c>
      <c r="I1914" s="707">
        <f t="shared" si="58"/>
        <v>46</v>
      </c>
      <c r="J1914" s="707">
        <f t="shared" si="59"/>
        <v>52</v>
      </c>
      <c r="K1914" s="70"/>
    </row>
    <row r="1915" spans="1:11" ht="24" customHeight="1">
      <c r="A1915" s="33" t="s">
        <v>1182</v>
      </c>
      <c r="B1915" s="33" t="s">
        <v>27</v>
      </c>
      <c r="C1915" s="33">
        <v>1</v>
      </c>
      <c r="D1915" s="33" t="s">
        <v>1141</v>
      </c>
      <c r="E1915" s="33">
        <v>2</v>
      </c>
      <c r="F1915" s="33"/>
      <c r="G1915" s="522"/>
      <c r="H1915" s="707"/>
      <c r="I1915" s="707">
        <f t="shared" si="58"/>
        <v>0</v>
      </c>
      <c r="J1915" s="707">
        <f t="shared" si="59"/>
        <v>0</v>
      </c>
      <c r="K1915" s="70"/>
    </row>
    <row r="1916" spans="1:11" ht="24" customHeight="1">
      <c r="A1916" s="33" t="s">
        <v>2027</v>
      </c>
      <c r="B1916" s="33" t="s">
        <v>27</v>
      </c>
      <c r="C1916" s="33">
        <v>3</v>
      </c>
      <c r="D1916" s="33" t="s">
        <v>2026</v>
      </c>
      <c r="E1916" s="33">
        <v>3</v>
      </c>
      <c r="F1916" s="33"/>
      <c r="G1916" s="522"/>
      <c r="H1916" s="707"/>
      <c r="I1916" s="707">
        <f t="shared" si="58"/>
        <v>0</v>
      </c>
      <c r="J1916" s="707">
        <f t="shared" si="59"/>
        <v>0</v>
      </c>
      <c r="K1916" s="70"/>
    </row>
    <row r="1917" spans="1:11" ht="24" customHeight="1">
      <c r="A1917" s="33" t="s">
        <v>2060</v>
      </c>
      <c r="B1917" s="33" t="s">
        <v>27</v>
      </c>
      <c r="C1917" s="33">
        <v>3</v>
      </c>
      <c r="D1917" s="33" t="s">
        <v>2026</v>
      </c>
      <c r="E1917" s="33">
        <v>4</v>
      </c>
      <c r="F1917" s="33"/>
      <c r="G1917" s="522"/>
      <c r="H1917" s="707"/>
      <c r="I1917" s="707">
        <f t="shared" si="58"/>
        <v>0</v>
      </c>
      <c r="J1917" s="707">
        <f t="shared" si="59"/>
        <v>0</v>
      </c>
      <c r="K1917" s="70"/>
    </row>
    <row r="1918" spans="1:11" ht="24" customHeight="1">
      <c r="A1918" s="74" t="s">
        <v>1482</v>
      </c>
      <c r="B1918" s="74" t="s">
        <v>658</v>
      </c>
      <c r="C1918" s="2">
        <v>101</v>
      </c>
      <c r="D1918" s="33" t="s">
        <v>1372</v>
      </c>
      <c r="E1918" s="33">
        <v>5</v>
      </c>
      <c r="F1918" s="33"/>
      <c r="G1918" s="522"/>
      <c r="H1918" s="707"/>
      <c r="I1918" s="707">
        <f t="shared" si="58"/>
        <v>0</v>
      </c>
      <c r="J1918" s="707">
        <f t="shared" si="59"/>
        <v>0</v>
      </c>
      <c r="K1918" s="70"/>
    </row>
    <row r="1919" spans="1:11" ht="24" customHeight="1">
      <c r="A1919" s="33" t="s">
        <v>2621</v>
      </c>
      <c r="B1919" s="33" t="s">
        <v>27</v>
      </c>
      <c r="C1919" s="33">
        <v>5</v>
      </c>
      <c r="D1919" s="33" t="s">
        <v>2540</v>
      </c>
      <c r="E1919" s="33">
        <v>2</v>
      </c>
      <c r="F1919" s="33"/>
      <c r="G1919" s="522"/>
      <c r="H1919" s="707">
        <v>15</v>
      </c>
      <c r="I1919" s="707">
        <f t="shared" si="58"/>
        <v>17.25</v>
      </c>
      <c r="J1919" s="707">
        <f t="shared" si="59"/>
        <v>19.5</v>
      </c>
      <c r="K1919" s="70"/>
    </row>
    <row r="1920" spans="1:11" ht="24" customHeight="1">
      <c r="A1920" s="33" t="s">
        <v>1512</v>
      </c>
      <c r="B1920" s="33" t="s">
        <v>21</v>
      </c>
      <c r="C1920" s="33">
        <v>44</v>
      </c>
      <c r="D1920" s="33" t="s">
        <v>1494</v>
      </c>
      <c r="E1920" s="33">
        <v>1</v>
      </c>
      <c r="F1920" s="33"/>
      <c r="G1920" s="522"/>
      <c r="H1920" s="707"/>
      <c r="I1920" s="707">
        <f t="shared" si="58"/>
        <v>0</v>
      </c>
      <c r="J1920" s="707">
        <f t="shared" si="59"/>
        <v>0</v>
      </c>
      <c r="K1920" s="70"/>
    </row>
    <row r="1921" spans="1:11" ht="24" customHeight="1">
      <c r="A1921" s="74" t="s">
        <v>2414</v>
      </c>
      <c r="B1921" s="74" t="s">
        <v>21</v>
      </c>
      <c r="C1921" s="74">
        <v>10</v>
      </c>
      <c r="D1921" s="33" t="s">
        <v>2363</v>
      </c>
      <c r="E1921" s="33">
        <v>5</v>
      </c>
      <c r="F1921" s="33"/>
      <c r="G1921" s="522"/>
      <c r="H1921" s="707">
        <v>2</v>
      </c>
      <c r="I1921" s="707">
        <f t="shared" si="58"/>
        <v>2.2999999999999998</v>
      </c>
      <c r="J1921" s="707">
        <f t="shared" si="59"/>
        <v>2.6</v>
      </c>
      <c r="K1921" s="70"/>
    </row>
    <row r="1922" spans="1:11" ht="24" customHeight="1">
      <c r="A1922" s="2" t="s">
        <v>297</v>
      </c>
      <c r="B1922" s="2" t="s">
        <v>10</v>
      </c>
      <c r="C1922" s="2">
        <v>112</v>
      </c>
      <c r="D1922" s="2" t="s">
        <v>274</v>
      </c>
      <c r="E1922" s="33">
        <v>1</v>
      </c>
      <c r="F1922" s="33"/>
      <c r="G1922" s="522"/>
      <c r="H1922" s="707">
        <v>5</v>
      </c>
      <c r="I1922" s="707">
        <f t="shared" si="58"/>
        <v>5.75</v>
      </c>
      <c r="J1922" s="707">
        <f t="shared" si="59"/>
        <v>6.5</v>
      </c>
      <c r="K1922" s="70"/>
    </row>
    <row r="1923" spans="1:11" ht="24" customHeight="1">
      <c r="A1923" s="2" t="s">
        <v>297</v>
      </c>
      <c r="B1923" s="33" t="s">
        <v>10</v>
      </c>
      <c r="C1923" s="2">
        <v>45</v>
      </c>
      <c r="D1923" s="2" t="s">
        <v>3553</v>
      </c>
      <c r="E1923" s="33">
        <v>2</v>
      </c>
      <c r="F1923" s="33"/>
      <c r="G1923" s="522"/>
      <c r="H1923" s="707"/>
      <c r="I1923" s="707">
        <f t="shared" ref="I1923:I1986" si="60">H1923 * 1.15</f>
        <v>0</v>
      </c>
      <c r="J1923" s="707">
        <f t="shared" ref="J1923:J1986" si="61">H1923 * 1.3</f>
        <v>0</v>
      </c>
      <c r="K1923" s="55"/>
    </row>
    <row r="1924" spans="1:11" ht="24" customHeight="1">
      <c r="A1924" s="2" t="s">
        <v>634</v>
      </c>
      <c r="B1924" s="2" t="s">
        <v>50</v>
      </c>
      <c r="C1924" s="2">
        <v>29</v>
      </c>
      <c r="D1924" s="2" t="s">
        <v>593</v>
      </c>
      <c r="E1924" s="33">
        <v>1</v>
      </c>
      <c r="F1924" s="33"/>
      <c r="G1924" s="522"/>
      <c r="H1924" s="707"/>
      <c r="I1924" s="707">
        <f t="shared" si="60"/>
        <v>0</v>
      </c>
      <c r="J1924" s="707">
        <f t="shared" si="61"/>
        <v>0</v>
      </c>
      <c r="K1924" s="70"/>
    </row>
    <row r="1925" spans="1:11" ht="24" customHeight="1">
      <c r="A1925" s="33" t="s">
        <v>367</v>
      </c>
      <c r="B1925" s="71" t="s">
        <v>10</v>
      </c>
      <c r="C1925" s="71">
        <v>28</v>
      </c>
      <c r="D1925" s="2" t="s">
        <v>274</v>
      </c>
      <c r="E1925" s="71">
        <v>1</v>
      </c>
      <c r="F1925" s="71"/>
      <c r="G1925" s="686"/>
      <c r="H1925" s="709"/>
      <c r="I1925" s="709">
        <f t="shared" si="60"/>
        <v>0</v>
      </c>
      <c r="J1925" s="709">
        <f t="shared" si="61"/>
        <v>0</v>
      </c>
      <c r="K1925" s="70"/>
    </row>
    <row r="1926" spans="1:11" ht="24" customHeight="1">
      <c r="A1926" s="59" t="s">
        <v>367</v>
      </c>
      <c r="B1926" s="59" t="s">
        <v>14</v>
      </c>
      <c r="C1926" s="59">
        <v>42</v>
      </c>
      <c r="D1926" s="33" t="s">
        <v>2624</v>
      </c>
      <c r="E1926" s="354">
        <v>5</v>
      </c>
      <c r="F1926" s="354"/>
      <c r="G1926" s="688"/>
      <c r="H1926" s="707">
        <v>2</v>
      </c>
      <c r="I1926" s="707">
        <f t="shared" si="60"/>
        <v>2.2999999999999998</v>
      </c>
      <c r="J1926" s="707">
        <f t="shared" si="61"/>
        <v>2.6</v>
      </c>
      <c r="K1926" s="70"/>
    </row>
    <row r="1927" spans="1:11" ht="24" customHeight="1">
      <c r="A1927" s="2" t="s">
        <v>367</v>
      </c>
      <c r="B1927" s="2" t="s">
        <v>10</v>
      </c>
      <c r="C1927" s="2">
        <v>100</v>
      </c>
      <c r="D1927" s="2" t="s">
        <v>3548</v>
      </c>
      <c r="E1927" s="33">
        <v>5</v>
      </c>
      <c r="F1927" s="33"/>
      <c r="G1927" s="522"/>
      <c r="H1927" s="707"/>
      <c r="I1927" s="707">
        <f t="shared" si="60"/>
        <v>0</v>
      </c>
      <c r="J1927" s="707">
        <f t="shared" si="61"/>
        <v>0</v>
      </c>
      <c r="K1927" s="70"/>
    </row>
    <row r="1928" spans="1:11" ht="24" customHeight="1">
      <c r="A1928" s="33" t="s">
        <v>2636</v>
      </c>
      <c r="B1928" s="33" t="s">
        <v>10</v>
      </c>
      <c r="C1928" s="33">
        <v>9</v>
      </c>
      <c r="D1928" s="33" t="s">
        <v>2624</v>
      </c>
      <c r="E1928" s="33">
        <v>4</v>
      </c>
      <c r="F1928" s="33"/>
      <c r="G1928" s="522"/>
      <c r="H1928" s="707">
        <v>1</v>
      </c>
      <c r="I1928" s="707">
        <f t="shared" si="60"/>
        <v>1.1499999999999999</v>
      </c>
      <c r="J1928" s="707">
        <f t="shared" si="61"/>
        <v>1.3</v>
      </c>
      <c r="K1928" s="70"/>
    </row>
    <row r="1929" spans="1:11" ht="24" customHeight="1">
      <c r="A1929" s="2" t="s">
        <v>306</v>
      </c>
      <c r="B1929" s="2" t="s">
        <v>10</v>
      </c>
      <c r="C1929" s="2">
        <v>70</v>
      </c>
      <c r="D1929" s="2" t="s">
        <v>274</v>
      </c>
      <c r="E1929" s="33">
        <v>1</v>
      </c>
      <c r="F1929" s="33"/>
      <c r="G1929" s="522"/>
      <c r="H1929" s="707">
        <v>10</v>
      </c>
      <c r="I1929" s="707">
        <f t="shared" si="60"/>
        <v>11.5</v>
      </c>
      <c r="J1929" s="707">
        <f t="shared" si="61"/>
        <v>13</v>
      </c>
      <c r="K1929" s="70"/>
    </row>
    <row r="1930" spans="1:11" ht="24" customHeight="1">
      <c r="A1930" s="33" t="s">
        <v>306</v>
      </c>
      <c r="B1930" s="33" t="s">
        <v>10</v>
      </c>
      <c r="C1930" s="33">
        <v>140</v>
      </c>
      <c r="D1930" s="2" t="s">
        <v>536</v>
      </c>
      <c r="E1930" s="33">
        <v>4</v>
      </c>
      <c r="F1930" s="33"/>
      <c r="G1930" s="522"/>
      <c r="H1930" s="707">
        <v>65</v>
      </c>
      <c r="I1930" s="707">
        <f t="shared" si="60"/>
        <v>74.75</v>
      </c>
      <c r="J1930" s="707">
        <f t="shared" si="61"/>
        <v>84.5</v>
      </c>
      <c r="K1930" s="70"/>
    </row>
    <row r="1931" spans="1:11" ht="24" customHeight="1">
      <c r="A1931" s="2" t="s">
        <v>306</v>
      </c>
      <c r="B1931" s="2" t="s">
        <v>10</v>
      </c>
      <c r="C1931" s="2">
        <v>100</v>
      </c>
      <c r="D1931" s="2" t="s">
        <v>3548</v>
      </c>
      <c r="E1931" s="33">
        <v>5</v>
      </c>
      <c r="F1931" s="33"/>
      <c r="G1931" s="522"/>
      <c r="H1931" s="707"/>
      <c r="I1931" s="707">
        <f t="shared" si="60"/>
        <v>0</v>
      </c>
      <c r="J1931" s="707">
        <f t="shared" si="61"/>
        <v>0</v>
      </c>
      <c r="K1931" s="70"/>
    </row>
    <row r="1932" spans="1:11" ht="24" customHeight="1">
      <c r="A1932" s="2" t="s">
        <v>306</v>
      </c>
      <c r="B1932" s="2" t="s">
        <v>10</v>
      </c>
      <c r="C1932" s="2">
        <v>100</v>
      </c>
      <c r="D1932" s="2" t="s">
        <v>3553</v>
      </c>
      <c r="E1932" s="33">
        <v>1</v>
      </c>
      <c r="F1932" s="33"/>
      <c r="G1932" s="522"/>
      <c r="H1932" s="707"/>
      <c r="I1932" s="707">
        <f t="shared" si="60"/>
        <v>0</v>
      </c>
      <c r="J1932" s="707">
        <f t="shared" si="61"/>
        <v>0</v>
      </c>
      <c r="K1932" s="70"/>
    </row>
    <row r="1933" spans="1:11" ht="24" customHeight="1">
      <c r="A1933" s="2" t="s">
        <v>301</v>
      </c>
      <c r="B1933" s="2" t="s">
        <v>10</v>
      </c>
      <c r="C1933" s="2">
        <v>70</v>
      </c>
      <c r="D1933" s="2" t="s">
        <v>274</v>
      </c>
      <c r="E1933" s="33">
        <v>1</v>
      </c>
      <c r="F1933" s="33"/>
      <c r="G1933" s="522"/>
      <c r="H1933" s="707"/>
      <c r="I1933" s="707">
        <f t="shared" si="60"/>
        <v>0</v>
      </c>
      <c r="J1933" s="707">
        <f t="shared" si="61"/>
        <v>0</v>
      </c>
      <c r="K1933" s="70"/>
    </row>
    <row r="1934" spans="1:11" ht="24" customHeight="1">
      <c r="A1934" s="2" t="s">
        <v>301</v>
      </c>
      <c r="B1934" s="2" t="s">
        <v>10</v>
      </c>
      <c r="C1934" s="2">
        <v>100</v>
      </c>
      <c r="D1934" s="2" t="s">
        <v>3553</v>
      </c>
      <c r="E1934" s="33">
        <v>1</v>
      </c>
      <c r="F1934" s="33"/>
      <c r="G1934" s="522"/>
      <c r="H1934" s="707"/>
      <c r="I1934" s="707">
        <f t="shared" si="60"/>
        <v>0</v>
      </c>
      <c r="J1934" s="707">
        <f t="shared" si="61"/>
        <v>0</v>
      </c>
      <c r="K1934" s="70"/>
    </row>
    <row r="1935" spans="1:11" ht="24" customHeight="1">
      <c r="A1935" s="2" t="s">
        <v>896</v>
      </c>
      <c r="B1935" s="2" t="s">
        <v>10</v>
      </c>
      <c r="C1935" s="2">
        <v>40</v>
      </c>
      <c r="D1935" s="2" t="s">
        <v>888</v>
      </c>
      <c r="E1935" s="33">
        <v>5</v>
      </c>
      <c r="F1935" s="33"/>
      <c r="G1935" s="522"/>
      <c r="H1935" s="707">
        <v>10</v>
      </c>
      <c r="I1935" s="707">
        <f t="shared" si="60"/>
        <v>11.5</v>
      </c>
      <c r="J1935" s="707">
        <f t="shared" si="61"/>
        <v>13</v>
      </c>
      <c r="K1935" s="55"/>
    </row>
    <row r="1936" spans="1:11" ht="24" customHeight="1">
      <c r="A1936" s="2" t="s">
        <v>896</v>
      </c>
      <c r="B1936" s="2" t="s">
        <v>10</v>
      </c>
      <c r="C1936" s="2">
        <v>100</v>
      </c>
      <c r="D1936" s="2" t="s">
        <v>3548</v>
      </c>
      <c r="E1936" s="33">
        <v>5</v>
      </c>
      <c r="F1936" s="33"/>
      <c r="G1936" s="522"/>
      <c r="H1936" s="707"/>
      <c r="I1936" s="707">
        <f t="shared" si="60"/>
        <v>0</v>
      </c>
      <c r="J1936" s="707">
        <f t="shared" si="61"/>
        <v>0</v>
      </c>
      <c r="K1936" s="70"/>
    </row>
    <row r="1937" spans="1:11" ht="24" customHeight="1">
      <c r="A1937" s="3" t="s">
        <v>2687</v>
      </c>
      <c r="B1937" s="59" t="s">
        <v>10</v>
      </c>
      <c r="C1937" s="59">
        <v>2</v>
      </c>
      <c r="D1937" s="33" t="s">
        <v>2624</v>
      </c>
      <c r="E1937" s="354">
        <v>5</v>
      </c>
      <c r="F1937" s="354"/>
      <c r="G1937" s="688"/>
      <c r="H1937" s="707">
        <v>1.5</v>
      </c>
      <c r="I1937" s="707">
        <f t="shared" si="60"/>
        <v>1.7249999999999999</v>
      </c>
      <c r="J1937" s="707">
        <f t="shared" si="61"/>
        <v>1.9500000000000002</v>
      </c>
      <c r="K1937" s="70"/>
    </row>
    <row r="1938" spans="1:11" ht="24" customHeight="1">
      <c r="A1938" s="33" t="s">
        <v>1639</v>
      </c>
      <c r="B1938" s="33" t="s">
        <v>10</v>
      </c>
      <c r="C1938" s="33">
        <v>95</v>
      </c>
      <c r="D1938" s="33" t="s">
        <v>1548</v>
      </c>
      <c r="E1938" s="33">
        <v>4</v>
      </c>
      <c r="F1938" s="33"/>
      <c r="G1938" s="522"/>
      <c r="H1938" s="707">
        <v>2</v>
      </c>
      <c r="I1938" s="707">
        <f t="shared" si="60"/>
        <v>2.2999999999999998</v>
      </c>
      <c r="J1938" s="707">
        <f t="shared" si="61"/>
        <v>2.6</v>
      </c>
      <c r="K1938" s="70"/>
    </row>
    <row r="1939" spans="1:11" ht="24" customHeight="1">
      <c r="A1939" s="33" t="s">
        <v>2541</v>
      </c>
      <c r="B1939" s="33" t="s">
        <v>10</v>
      </c>
      <c r="C1939" s="33">
        <v>63</v>
      </c>
      <c r="D1939" s="33" t="s">
        <v>2540</v>
      </c>
      <c r="E1939" s="33">
        <v>1</v>
      </c>
      <c r="F1939" s="33"/>
      <c r="G1939" s="522"/>
      <c r="H1939" s="707">
        <v>1</v>
      </c>
      <c r="I1939" s="707">
        <f t="shared" si="60"/>
        <v>1.1499999999999999</v>
      </c>
      <c r="J1939" s="707">
        <f t="shared" si="61"/>
        <v>1.3</v>
      </c>
      <c r="K1939" s="70"/>
    </row>
    <row r="1940" spans="1:11" ht="24" customHeight="1">
      <c r="A1940" s="11" t="s">
        <v>2541</v>
      </c>
      <c r="B1940" s="34" t="s">
        <v>10</v>
      </c>
      <c r="C1940" s="11">
        <v>4</v>
      </c>
      <c r="D1940" s="33" t="s">
        <v>3053</v>
      </c>
      <c r="E1940" s="33">
        <v>3</v>
      </c>
      <c r="F1940" s="33"/>
      <c r="G1940" s="522"/>
      <c r="H1940" s="707">
        <v>1.9</v>
      </c>
      <c r="I1940" s="707">
        <f t="shared" si="60"/>
        <v>2.1849999999999996</v>
      </c>
      <c r="J1940" s="707">
        <f t="shared" si="61"/>
        <v>2.4699999999999998</v>
      </c>
      <c r="K1940" s="70"/>
    </row>
    <row r="1941" spans="1:11" ht="24" customHeight="1">
      <c r="A1941" s="33" t="s">
        <v>2606</v>
      </c>
      <c r="B1941" s="33" t="s">
        <v>10</v>
      </c>
      <c r="C1941" s="33">
        <v>2</v>
      </c>
      <c r="D1941" s="33" t="s">
        <v>2540</v>
      </c>
      <c r="E1941" s="33">
        <v>2</v>
      </c>
      <c r="F1941" s="33"/>
      <c r="G1941" s="522"/>
      <c r="H1941" s="707">
        <v>2</v>
      </c>
      <c r="I1941" s="707">
        <f t="shared" si="60"/>
        <v>2.2999999999999998</v>
      </c>
      <c r="J1941" s="707">
        <f t="shared" si="61"/>
        <v>2.6</v>
      </c>
      <c r="K1941" s="70"/>
    </row>
    <row r="1942" spans="1:11" ht="24" customHeight="1">
      <c r="A1942" s="2" t="s">
        <v>216</v>
      </c>
      <c r="B1942" s="2" t="s">
        <v>217</v>
      </c>
      <c r="C1942" s="2">
        <v>100</v>
      </c>
      <c r="D1942" s="2" t="s">
        <v>188</v>
      </c>
      <c r="E1942" s="33">
        <v>4</v>
      </c>
      <c r="F1942" s="33"/>
      <c r="G1942" s="522"/>
      <c r="H1942" s="707">
        <v>15</v>
      </c>
      <c r="I1942" s="707">
        <f t="shared" si="60"/>
        <v>17.25</v>
      </c>
      <c r="J1942" s="707">
        <f t="shared" si="61"/>
        <v>19.5</v>
      </c>
      <c r="K1942" s="70"/>
    </row>
    <row r="1943" spans="1:11" ht="24" customHeight="1">
      <c r="A1943" s="33" t="s">
        <v>1604</v>
      </c>
      <c r="B1943" s="33" t="s">
        <v>10</v>
      </c>
      <c r="C1943" s="33">
        <v>2</v>
      </c>
      <c r="D1943" s="33" t="s">
        <v>1548</v>
      </c>
      <c r="E1943" s="33">
        <v>3</v>
      </c>
      <c r="F1943" s="33"/>
      <c r="G1943" s="522"/>
      <c r="H1943" s="707"/>
      <c r="I1943" s="707">
        <f t="shared" si="60"/>
        <v>0</v>
      </c>
      <c r="J1943" s="707">
        <f t="shared" si="61"/>
        <v>0</v>
      </c>
      <c r="K1943" s="70"/>
    </row>
    <row r="1944" spans="1:11" ht="24" customHeight="1">
      <c r="A1944" s="33" t="s">
        <v>1604</v>
      </c>
      <c r="B1944" s="33" t="s">
        <v>10</v>
      </c>
      <c r="C1944" s="33">
        <v>10</v>
      </c>
      <c r="D1944" s="33" t="s">
        <v>2191</v>
      </c>
      <c r="E1944" s="33">
        <v>4</v>
      </c>
      <c r="F1944" s="33"/>
      <c r="G1944" s="522"/>
      <c r="H1944" s="707"/>
      <c r="I1944" s="707">
        <f t="shared" si="60"/>
        <v>0</v>
      </c>
      <c r="J1944" s="707">
        <f t="shared" si="61"/>
        <v>0</v>
      </c>
      <c r="K1944" s="70"/>
    </row>
    <row r="1945" spans="1:11" ht="24" customHeight="1">
      <c r="A1945" s="11" t="s">
        <v>1604</v>
      </c>
      <c r="B1945" s="34" t="s">
        <v>10</v>
      </c>
      <c r="C1945" s="11">
        <v>7</v>
      </c>
      <c r="D1945" s="33" t="s">
        <v>3053</v>
      </c>
      <c r="E1945" s="33">
        <v>3</v>
      </c>
      <c r="F1945" s="33"/>
      <c r="G1945" s="522"/>
      <c r="H1945" s="707"/>
      <c r="I1945" s="707">
        <f t="shared" si="60"/>
        <v>0</v>
      </c>
      <c r="J1945" s="707">
        <f t="shared" si="61"/>
        <v>0</v>
      </c>
      <c r="K1945" s="70"/>
    </row>
    <row r="1946" spans="1:11" ht="24" customHeight="1">
      <c r="A1946" s="33" t="s">
        <v>1393</v>
      </c>
      <c r="B1946" s="33" t="s">
        <v>10</v>
      </c>
      <c r="C1946" s="33">
        <v>2</v>
      </c>
      <c r="D1946" s="33" t="s">
        <v>1372</v>
      </c>
      <c r="E1946" s="33">
        <v>3</v>
      </c>
      <c r="F1946" s="33"/>
      <c r="G1946" s="522"/>
      <c r="H1946" s="707"/>
      <c r="I1946" s="707">
        <f t="shared" si="60"/>
        <v>0</v>
      </c>
      <c r="J1946" s="707">
        <f t="shared" si="61"/>
        <v>0</v>
      </c>
      <c r="K1946" s="70"/>
    </row>
    <row r="1947" spans="1:11" ht="24" customHeight="1">
      <c r="A1947" s="2" t="s">
        <v>28</v>
      </c>
      <c r="B1947" s="2" t="s">
        <v>10</v>
      </c>
      <c r="C1947" s="2">
        <v>6</v>
      </c>
      <c r="D1947" s="2" t="s">
        <v>11</v>
      </c>
      <c r="E1947" s="33">
        <v>1</v>
      </c>
      <c r="F1947" s="33"/>
      <c r="G1947" s="522"/>
      <c r="H1947" s="707"/>
      <c r="I1947" s="707">
        <f t="shared" si="60"/>
        <v>0</v>
      </c>
      <c r="J1947" s="707">
        <f t="shared" si="61"/>
        <v>0</v>
      </c>
      <c r="K1947" s="70"/>
    </row>
    <row r="1948" spans="1:11" ht="24" customHeight="1">
      <c r="A1948" s="3" t="s">
        <v>2698</v>
      </c>
      <c r="B1948" s="59" t="s">
        <v>10</v>
      </c>
      <c r="C1948" s="59">
        <v>24</v>
      </c>
      <c r="D1948" s="33" t="s">
        <v>2624</v>
      </c>
      <c r="E1948" s="354">
        <v>5</v>
      </c>
      <c r="F1948" s="354"/>
      <c r="G1948" s="688"/>
      <c r="H1948" s="707"/>
      <c r="I1948" s="707">
        <f t="shared" si="60"/>
        <v>0</v>
      </c>
      <c r="J1948" s="707">
        <f t="shared" si="61"/>
        <v>0</v>
      </c>
      <c r="K1948" s="70"/>
    </row>
    <row r="1949" spans="1:11" ht="24" customHeight="1">
      <c r="A1949" s="2" t="s">
        <v>3440</v>
      </c>
      <c r="B1949" s="2" t="s">
        <v>10</v>
      </c>
      <c r="C1949" s="2">
        <v>74</v>
      </c>
      <c r="D1949" s="65" t="s">
        <v>3348</v>
      </c>
      <c r="E1949" s="33">
        <v>5</v>
      </c>
      <c r="F1949" s="33"/>
      <c r="G1949" s="522"/>
      <c r="H1949" s="707">
        <v>200</v>
      </c>
      <c r="I1949" s="707">
        <f t="shared" si="60"/>
        <v>229.99999999999997</v>
      </c>
      <c r="J1949" s="707">
        <f t="shared" si="61"/>
        <v>260</v>
      </c>
      <c r="K1949" s="70"/>
    </row>
    <row r="1950" spans="1:11" ht="24" customHeight="1">
      <c r="A1950" s="2" t="s">
        <v>3440</v>
      </c>
      <c r="B1950" s="33" t="s">
        <v>10</v>
      </c>
      <c r="C1950" s="2">
        <v>100</v>
      </c>
      <c r="D1950" s="2" t="s">
        <v>3553</v>
      </c>
      <c r="E1950" s="33">
        <v>2</v>
      </c>
      <c r="F1950" s="33"/>
      <c r="G1950" s="522"/>
      <c r="H1950" s="707"/>
      <c r="I1950" s="707">
        <f t="shared" si="60"/>
        <v>0</v>
      </c>
      <c r="J1950" s="707">
        <f t="shared" si="61"/>
        <v>0</v>
      </c>
      <c r="K1950" s="55"/>
    </row>
    <row r="1951" spans="1:11" ht="24" customHeight="1">
      <c r="A1951" s="59" t="s">
        <v>1098</v>
      </c>
      <c r="B1951" s="59" t="s">
        <v>14</v>
      </c>
      <c r="C1951" s="59">
        <v>1</v>
      </c>
      <c r="D1951" s="33" t="s">
        <v>3053</v>
      </c>
      <c r="E1951" s="354">
        <v>5</v>
      </c>
      <c r="F1951" s="354"/>
      <c r="G1951" s="688"/>
      <c r="H1951" s="707"/>
      <c r="I1951" s="707">
        <f t="shared" si="60"/>
        <v>0</v>
      </c>
      <c r="J1951" s="707">
        <f t="shared" si="61"/>
        <v>0</v>
      </c>
      <c r="K1951" s="70" t="s">
        <v>51</v>
      </c>
    </row>
    <row r="1952" spans="1:11" ht="24" customHeight="1">
      <c r="A1952" s="74" t="s">
        <v>1098</v>
      </c>
      <c r="B1952" s="74" t="s">
        <v>10</v>
      </c>
      <c r="C1952" s="74">
        <v>24</v>
      </c>
      <c r="D1952" s="33" t="s">
        <v>992</v>
      </c>
      <c r="E1952" s="33">
        <v>5</v>
      </c>
      <c r="F1952" s="33"/>
      <c r="G1952" s="522"/>
      <c r="H1952" s="707">
        <v>6</v>
      </c>
      <c r="I1952" s="707">
        <f t="shared" si="60"/>
        <v>6.8999999999999995</v>
      </c>
      <c r="J1952" s="707">
        <f t="shared" si="61"/>
        <v>7.8000000000000007</v>
      </c>
      <c r="K1952" s="70"/>
    </row>
    <row r="1953" spans="1:11" ht="24" customHeight="1">
      <c r="A1953" s="33" t="s">
        <v>1963</v>
      </c>
      <c r="B1953" s="33" t="s">
        <v>10</v>
      </c>
      <c r="C1953" s="33">
        <v>134</v>
      </c>
      <c r="D1953" s="33" t="s">
        <v>1938</v>
      </c>
      <c r="E1953" s="33">
        <v>1</v>
      </c>
      <c r="F1953" s="33"/>
      <c r="G1953" s="522"/>
      <c r="H1953" s="707">
        <v>1.5</v>
      </c>
      <c r="I1953" s="707">
        <f t="shared" si="60"/>
        <v>1.7249999999999999</v>
      </c>
      <c r="J1953" s="707">
        <f t="shared" si="61"/>
        <v>1.9500000000000002</v>
      </c>
      <c r="K1953" s="70"/>
    </row>
    <row r="1954" spans="1:11" ht="24" customHeight="1">
      <c r="A1954" s="33" t="s">
        <v>1963</v>
      </c>
      <c r="B1954" s="33" t="s">
        <v>10</v>
      </c>
      <c r="C1954" s="33">
        <v>16</v>
      </c>
      <c r="D1954" s="33" t="s">
        <v>1938</v>
      </c>
      <c r="E1954" s="33">
        <v>2</v>
      </c>
      <c r="F1954" s="33"/>
      <c r="G1954" s="522"/>
      <c r="H1954" s="707">
        <v>1.5</v>
      </c>
      <c r="I1954" s="707">
        <f t="shared" si="60"/>
        <v>1.7249999999999999</v>
      </c>
      <c r="J1954" s="707">
        <f t="shared" si="61"/>
        <v>1.9500000000000002</v>
      </c>
      <c r="K1954" s="70"/>
    </row>
    <row r="1955" spans="1:11" ht="24" customHeight="1">
      <c r="A1955" s="33" t="s">
        <v>1963</v>
      </c>
      <c r="B1955" s="33" t="s">
        <v>10</v>
      </c>
      <c r="C1955" s="33">
        <v>20</v>
      </c>
      <c r="D1955" s="33" t="s">
        <v>3348</v>
      </c>
      <c r="E1955" s="33">
        <v>4</v>
      </c>
      <c r="F1955" s="33"/>
      <c r="G1955" s="522"/>
      <c r="H1955" s="707">
        <v>1.5</v>
      </c>
      <c r="I1955" s="707">
        <f t="shared" si="60"/>
        <v>1.7249999999999999</v>
      </c>
      <c r="J1955" s="707">
        <f t="shared" si="61"/>
        <v>1.9500000000000002</v>
      </c>
      <c r="K1955" s="70"/>
    </row>
    <row r="1956" spans="1:11" ht="24" customHeight="1">
      <c r="A1956" s="2" t="s">
        <v>899</v>
      </c>
      <c r="B1956" s="2" t="s">
        <v>50</v>
      </c>
      <c r="C1956" s="2">
        <v>75</v>
      </c>
      <c r="D1956" s="2" t="s">
        <v>888</v>
      </c>
      <c r="E1956" s="33">
        <v>5</v>
      </c>
      <c r="F1956" s="33"/>
      <c r="G1956" s="522"/>
      <c r="H1956" s="707"/>
      <c r="I1956" s="707">
        <f t="shared" si="60"/>
        <v>0</v>
      </c>
      <c r="J1956" s="707">
        <f t="shared" si="61"/>
        <v>0</v>
      </c>
      <c r="K1956" s="55"/>
    </row>
    <row r="1957" spans="1:11" ht="24" customHeight="1">
      <c r="A1957" s="2" t="s">
        <v>899</v>
      </c>
      <c r="B1957" s="2" t="s">
        <v>10</v>
      </c>
      <c r="C1957" s="2">
        <v>100</v>
      </c>
      <c r="D1957" s="2" t="s">
        <v>3553</v>
      </c>
      <c r="E1957" s="33">
        <v>2</v>
      </c>
      <c r="F1957" s="33"/>
      <c r="G1957" s="522"/>
      <c r="H1957" s="707"/>
      <c r="I1957" s="707">
        <f t="shared" si="60"/>
        <v>0</v>
      </c>
      <c r="J1957" s="707">
        <f t="shared" si="61"/>
        <v>0</v>
      </c>
      <c r="K1957" s="55"/>
    </row>
    <row r="1958" spans="1:11" ht="24" customHeight="1">
      <c r="A1958" s="33" t="s">
        <v>366</v>
      </c>
      <c r="B1958" s="33" t="s">
        <v>10</v>
      </c>
      <c r="C1958" s="33">
        <v>2</v>
      </c>
      <c r="D1958" s="2" t="s">
        <v>274</v>
      </c>
      <c r="E1958" s="71">
        <v>1</v>
      </c>
      <c r="F1958" s="71"/>
      <c r="G1958" s="686"/>
      <c r="H1958" s="709"/>
      <c r="I1958" s="709">
        <f t="shared" si="60"/>
        <v>0</v>
      </c>
      <c r="J1958" s="709">
        <f t="shared" si="61"/>
        <v>0</v>
      </c>
      <c r="K1958" s="70"/>
    </row>
    <row r="1959" spans="1:11" ht="24" customHeight="1">
      <c r="A1959" s="59" t="s">
        <v>366</v>
      </c>
      <c r="B1959" s="59" t="s">
        <v>10</v>
      </c>
      <c r="C1959" s="59">
        <v>11</v>
      </c>
      <c r="D1959" s="33" t="s">
        <v>2624</v>
      </c>
      <c r="E1959" s="354">
        <v>5</v>
      </c>
      <c r="F1959" s="354"/>
      <c r="G1959" s="688"/>
      <c r="H1959" s="707">
        <v>10</v>
      </c>
      <c r="I1959" s="707">
        <f t="shared" si="60"/>
        <v>11.5</v>
      </c>
      <c r="J1959" s="707">
        <f t="shared" si="61"/>
        <v>13</v>
      </c>
      <c r="K1959" s="70"/>
    </row>
    <row r="1960" spans="1:11" ht="24" customHeight="1">
      <c r="A1960" s="33" t="s">
        <v>366</v>
      </c>
      <c r="B1960" s="2" t="s">
        <v>10</v>
      </c>
      <c r="C1960" s="33">
        <v>100</v>
      </c>
      <c r="D1960" s="2" t="s">
        <v>3553</v>
      </c>
      <c r="E1960" s="33">
        <v>2</v>
      </c>
      <c r="F1960" s="33"/>
      <c r="G1960" s="522"/>
      <c r="H1960" s="708"/>
      <c r="I1960" s="707">
        <f t="shared" si="60"/>
        <v>0</v>
      </c>
      <c r="J1960" s="708">
        <f t="shared" si="61"/>
        <v>0</v>
      </c>
      <c r="K1960" s="70"/>
    </row>
    <row r="1961" spans="1:11" ht="24" customHeight="1">
      <c r="A1961" s="2" t="s">
        <v>852</v>
      </c>
      <c r="B1961" s="2" t="s">
        <v>10</v>
      </c>
      <c r="C1961" s="2">
        <v>1</v>
      </c>
      <c r="D1961" s="2" t="s">
        <v>593</v>
      </c>
      <c r="E1961" s="33">
        <v>3</v>
      </c>
      <c r="F1961" s="33"/>
      <c r="G1961" s="522"/>
      <c r="H1961" s="707">
        <v>5</v>
      </c>
      <c r="I1961" s="707">
        <f t="shared" si="60"/>
        <v>5.75</v>
      </c>
      <c r="J1961" s="707">
        <f t="shared" si="61"/>
        <v>6.5</v>
      </c>
      <c r="K1961" s="70"/>
    </row>
    <row r="1962" spans="1:11" ht="24" customHeight="1">
      <c r="A1962" s="2" t="s">
        <v>852</v>
      </c>
      <c r="B1962" s="2" t="s">
        <v>10</v>
      </c>
      <c r="C1962" s="2">
        <v>100</v>
      </c>
      <c r="D1962" s="2" t="s">
        <v>3553</v>
      </c>
      <c r="E1962" s="33">
        <v>1</v>
      </c>
      <c r="F1962" s="33"/>
      <c r="G1962" s="522"/>
      <c r="H1962" s="707"/>
      <c r="I1962" s="707">
        <f t="shared" si="60"/>
        <v>0</v>
      </c>
      <c r="J1962" s="707">
        <f t="shared" si="61"/>
        <v>0</v>
      </c>
      <c r="K1962" s="70"/>
    </row>
    <row r="1963" spans="1:11" ht="24" customHeight="1">
      <c r="A1963" s="10" t="s">
        <v>1740</v>
      </c>
      <c r="B1963" s="11" t="s">
        <v>10</v>
      </c>
      <c r="C1963" s="11">
        <v>8</v>
      </c>
      <c r="D1963" s="131" t="s">
        <v>1723</v>
      </c>
      <c r="E1963" s="15">
        <v>1</v>
      </c>
      <c r="F1963" s="15"/>
      <c r="G1963" s="684"/>
      <c r="H1963" s="707"/>
      <c r="I1963" s="707">
        <f t="shared" si="60"/>
        <v>0</v>
      </c>
      <c r="J1963" s="707">
        <f t="shared" si="61"/>
        <v>0</v>
      </c>
      <c r="K1963" s="70"/>
    </row>
    <row r="1964" spans="1:11" ht="24" customHeight="1">
      <c r="A1964" s="2" t="s">
        <v>594</v>
      </c>
      <c r="B1964" s="2" t="s">
        <v>10</v>
      </c>
      <c r="C1964" s="2">
        <v>23</v>
      </c>
      <c r="D1964" s="2" t="s">
        <v>593</v>
      </c>
      <c r="E1964" s="33">
        <v>1</v>
      </c>
      <c r="F1964" s="33"/>
      <c r="G1964" s="522"/>
      <c r="H1964" s="707">
        <v>3</v>
      </c>
      <c r="I1964" s="707">
        <f t="shared" si="60"/>
        <v>3.4499999999999997</v>
      </c>
      <c r="J1964" s="707">
        <f t="shared" si="61"/>
        <v>3.9000000000000004</v>
      </c>
      <c r="K1964" s="70" t="s">
        <v>51</v>
      </c>
    </row>
    <row r="1965" spans="1:11" ht="24" customHeight="1">
      <c r="A1965" s="2" t="s">
        <v>594</v>
      </c>
      <c r="B1965" s="2" t="s">
        <v>10</v>
      </c>
      <c r="C1965" s="2">
        <v>100</v>
      </c>
      <c r="D1965" s="2" t="s">
        <v>3553</v>
      </c>
      <c r="E1965" s="33">
        <v>1</v>
      </c>
      <c r="F1965" s="33"/>
      <c r="G1965" s="522"/>
      <c r="H1965" s="707"/>
      <c r="I1965" s="707">
        <f t="shared" si="60"/>
        <v>0</v>
      </c>
      <c r="J1965" s="707">
        <f t="shared" si="61"/>
        <v>0</v>
      </c>
      <c r="K1965" s="70"/>
    </row>
    <row r="1966" spans="1:11" ht="24" customHeight="1">
      <c r="A1966" s="2" t="s">
        <v>1827</v>
      </c>
      <c r="B1966" s="2" t="s">
        <v>50</v>
      </c>
      <c r="C1966" s="2">
        <v>2</v>
      </c>
      <c r="D1966" s="2" t="s">
        <v>1785</v>
      </c>
      <c r="E1966" s="33">
        <v>2</v>
      </c>
      <c r="F1966" s="33"/>
      <c r="G1966" s="522"/>
      <c r="H1966" s="707">
        <v>5</v>
      </c>
      <c r="I1966" s="707">
        <f t="shared" si="60"/>
        <v>5.75</v>
      </c>
      <c r="J1966" s="707">
        <f t="shared" si="61"/>
        <v>6.5</v>
      </c>
      <c r="K1966" s="70"/>
    </row>
    <row r="1967" spans="1:11" ht="24" customHeight="1">
      <c r="A1967" s="2" t="s">
        <v>291</v>
      </c>
      <c r="B1967" s="2" t="s">
        <v>10</v>
      </c>
      <c r="C1967" s="2">
        <v>31</v>
      </c>
      <c r="D1967" s="2" t="s">
        <v>274</v>
      </c>
      <c r="E1967" s="33">
        <v>1</v>
      </c>
      <c r="F1967" s="33"/>
      <c r="G1967" s="522"/>
      <c r="H1967" s="707">
        <v>1</v>
      </c>
      <c r="I1967" s="707">
        <f t="shared" si="60"/>
        <v>1.1499999999999999</v>
      </c>
      <c r="J1967" s="707">
        <f t="shared" si="61"/>
        <v>1.3</v>
      </c>
      <c r="K1967" s="70"/>
    </row>
    <row r="1968" spans="1:11" ht="24" customHeight="1">
      <c r="A1968" s="33" t="s">
        <v>291</v>
      </c>
      <c r="B1968" s="2" t="s">
        <v>10</v>
      </c>
      <c r="C1968" s="33">
        <v>100</v>
      </c>
      <c r="D1968" s="2" t="s">
        <v>3553</v>
      </c>
      <c r="E1968" s="33">
        <v>1</v>
      </c>
      <c r="F1968" s="33"/>
      <c r="G1968" s="522"/>
      <c r="H1968" s="707"/>
      <c r="I1968" s="707">
        <f t="shared" si="60"/>
        <v>0</v>
      </c>
      <c r="J1968" s="707">
        <f t="shared" si="61"/>
        <v>0</v>
      </c>
      <c r="K1968" s="70"/>
    </row>
    <row r="1969" spans="1:11" ht="24" customHeight="1">
      <c r="A1969" s="33" t="s">
        <v>361</v>
      </c>
      <c r="B1969" s="71" t="s">
        <v>10</v>
      </c>
      <c r="C1969" s="71">
        <v>52</v>
      </c>
      <c r="D1969" s="2" t="s">
        <v>274</v>
      </c>
      <c r="E1969" s="71">
        <v>1</v>
      </c>
      <c r="F1969" s="71"/>
      <c r="G1969" s="686"/>
      <c r="H1969" s="709"/>
      <c r="I1969" s="709">
        <f t="shared" si="60"/>
        <v>0</v>
      </c>
      <c r="J1969" s="709">
        <f t="shared" si="61"/>
        <v>0</v>
      </c>
      <c r="K1969" s="70"/>
    </row>
    <row r="1970" spans="1:11" ht="24" customHeight="1">
      <c r="A1970" s="2" t="s">
        <v>1874</v>
      </c>
      <c r="B1970" s="2" t="s">
        <v>10</v>
      </c>
      <c r="C1970" s="2">
        <v>25</v>
      </c>
      <c r="D1970" s="2" t="s">
        <v>1785</v>
      </c>
      <c r="E1970" s="33">
        <v>3</v>
      </c>
      <c r="F1970" s="33"/>
      <c r="G1970" s="522"/>
      <c r="H1970" s="707"/>
      <c r="I1970" s="707">
        <f t="shared" si="60"/>
        <v>0</v>
      </c>
      <c r="J1970" s="707">
        <f t="shared" si="61"/>
        <v>0</v>
      </c>
      <c r="K1970" s="70"/>
    </row>
    <row r="1971" spans="1:11" ht="24" customHeight="1">
      <c r="A1971" s="17" t="s">
        <v>1874</v>
      </c>
      <c r="B1971" s="17" t="s">
        <v>10</v>
      </c>
      <c r="C1971" s="17">
        <v>57</v>
      </c>
      <c r="D1971" s="131" t="s">
        <v>2882</v>
      </c>
      <c r="E1971" s="15">
        <v>2</v>
      </c>
      <c r="F1971" s="15"/>
      <c r="G1971" s="684"/>
      <c r="H1971" s="707"/>
      <c r="I1971" s="707">
        <f t="shared" si="60"/>
        <v>0</v>
      </c>
      <c r="J1971" s="707">
        <f t="shared" si="61"/>
        <v>0</v>
      </c>
      <c r="K1971" s="70"/>
    </row>
    <row r="1972" spans="1:11" ht="24" customHeight="1">
      <c r="A1972" s="2" t="s">
        <v>1874</v>
      </c>
      <c r="B1972" s="2" t="s">
        <v>10</v>
      </c>
      <c r="C1972" s="2">
        <v>50</v>
      </c>
      <c r="D1972" s="2" t="s">
        <v>3553</v>
      </c>
      <c r="E1972" s="33">
        <v>1</v>
      </c>
      <c r="F1972" s="33"/>
      <c r="G1972" s="522"/>
      <c r="H1972" s="707"/>
      <c r="I1972" s="707">
        <f t="shared" si="60"/>
        <v>0</v>
      </c>
      <c r="J1972" s="707">
        <f t="shared" si="61"/>
        <v>0</v>
      </c>
      <c r="K1972" s="70"/>
    </row>
    <row r="1973" spans="1:11" ht="24" customHeight="1">
      <c r="A1973" s="2" t="s">
        <v>148</v>
      </c>
      <c r="B1973" s="2" t="s">
        <v>10</v>
      </c>
      <c r="C1973" s="2">
        <v>10</v>
      </c>
      <c r="D1973" s="2" t="s">
        <v>593</v>
      </c>
      <c r="E1973" s="33">
        <v>1</v>
      </c>
      <c r="F1973" s="33"/>
      <c r="G1973" s="522"/>
      <c r="H1973" s="707"/>
      <c r="I1973" s="707">
        <f t="shared" si="60"/>
        <v>0</v>
      </c>
      <c r="J1973" s="707">
        <f t="shared" si="61"/>
        <v>0</v>
      </c>
      <c r="K1973" s="70"/>
    </row>
    <row r="1974" spans="1:11" ht="24" customHeight="1">
      <c r="A1974" s="19" t="s">
        <v>148</v>
      </c>
      <c r="B1974" s="19" t="s">
        <v>10</v>
      </c>
      <c r="C1974" s="2">
        <v>50</v>
      </c>
      <c r="D1974" s="19" t="s">
        <v>3553</v>
      </c>
      <c r="E1974" s="33">
        <v>2</v>
      </c>
      <c r="F1974" s="33"/>
      <c r="G1974" s="522"/>
      <c r="H1974" s="707"/>
      <c r="I1974" s="707">
        <f t="shared" si="60"/>
        <v>0</v>
      </c>
      <c r="J1974" s="707">
        <f t="shared" si="61"/>
        <v>0</v>
      </c>
      <c r="K1974" s="55"/>
    </row>
    <row r="1975" spans="1:11" ht="19.5" customHeight="1">
      <c r="A1975" s="222" t="s">
        <v>892</v>
      </c>
      <c r="B1975" s="222" t="s">
        <v>10</v>
      </c>
      <c r="C1975" s="33">
        <v>23</v>
      </c>
      <c r="D1975" s="19" t="s">
        <v>888</v>
      </c>
      <c r="E1975" s="33">
        <v>5</v>
      </c>
      <c r="F1975" s="33"/>
      <c r="G1975" s="522"/>
      <c r="H1975" s="707">
        <v>2.75</v>
      </c>
      <c r="I1975" s="707">
        <f t="shared" si="60"/>
        <v>3.1624999999999996</v>
      </c>
      <c r="J1975" s="707">
        <f t="shared" si="61"/>
        <v>3.5750000000000002</v>
      </c>
      <c r="K1975" s="55"/>
    </row>
    <row r="1976" spans="1:11" ht="24" customHeight="1">
      <c r="A1976" s="19" t="s">
        <v>633</v>
      </c>
      <c r="B1976" s="19" t="s">
        <v>50</v>
      </c>
      <c r="C1976" s="2">
        <v>4</v>
      </c>
      <c r="D1976" s="19" t="s">
        <v>593</v>
      </c>
      <c r="E1976" s="33">
        <v>1</v>
      </c>
      <c r="F1976" s="33"/>
      <c r="G1976" s="522"/>
      <c r="H1976" s="707"/>
      <c r="I1976" s="707">
        <f t="shared" si="60"/>
        <v>0</v>
      </c>
      <c r="J1976" s="707">
        <f t="shared" si="61"/>
        <v>0</v>
      </c>
      <c r="K1976" s="70"/>
    </row>
    <row r="1977" spans="1:11" ht="24" customHeight="1">
      <c r="A1977" s="19" t="s">
        <v>13</v>
      </c>
      <c r="B1977" s="19" t="s">
        <v>14</v>
      </c>
      <c r="C1977" s="2">
        <v>7</v>
      </c>
      <c r="D1977" s="19" t="s">
        <v>11</v>
      </c>
      <c r="E1977" s="33">
        <v>1</v>
      </c>
      <c r="F1977" s="33"/>
      <c r="G1977" s="522"/>
      <c r="H1977" s="707">
        <v>4.97</v>
      </c>
      <c r="I1977" s="707">
        <f t="shared" si="60"/>
        <v>5.7154999999999996</v>
      </c>
      <c r="J1977" s="707">
        <f t="shared" si="61"/>
        <v>6.4610000000000003</v>
      </c>
      <c r="K1977" s="70"/>
    </row>
    <row r="1978" spans="1:11" ht="24" customHeight="1">
      <c r="A1978" s="19" t="s">
        <v>169</v>
      </c>
      <c r="B1978" s="19" t="s">
        <v>10</v>
      </c>
      <c r="C1978" s="2">
        <v>51</v>
      </c>
      <c r="D1978" s="19" t="s">
        <v>11</v>
      </c>
      <c r="E1978" s="33">
        <v>3</v>
      </c>
      <c r="F1978" s="33"/>
      <c r="G1978" s="522"/>
      <c r="H1978" s="707"/>
      <c r="I1978" s="707">
        <f t="shared" si="60"/>
        <v>0</v>
      </c>
      <c r="J1978" s="707">
        <f t="shared" si="61"/>
        <v>0</v>
      </c>
      <c r="K1978" s="70"/>
    </row>
    <row r="1979" spans="1:11" ht="24" customHeight="1">
      <c r="A1979" s="222" t="s">
        <v>2326</v>
      </c>
      <c r="B1979" s="222" t="s">
        <v>10</v>
      </c>
      <c r="C1979" s="33">
        <v>2</v>
      </c>
      <c r="D1979" s="222" t="s">
        <v>2276</v>
      </c>
      <c r="E1979" s="33">
        <v>1</v>
      </c>
      <c r="F1979" s="33"/>
      <c r="G1979" s="522"/>
      <c r="H1979" s="707"/>
      <c r="I1979" s="707">
        <f t="shared" si="60"/>
        <v>0</v>
      </c>
      <c r="J1979" s="707">
        <f t="shared" si="61"/>
        <v>0</v>
      </c>
      <c r="K1979" s="70"/>
    </row>
    <row r="1980" spans="1:11" ht="24" customHeight="1">
      <c r="A1980" s="233" t="s">
        <v>2326</v>
      </c>
      <c r="B1980" s="233" t="s">
        <v>10</v>
      </c>
      <c r="C1980" s="3">
        <v>15</v>
      </c>
      <c r="D1980" s="18" t="s">
        <v>2918</v>
      </c>
      <c r="E1980" s="15">
        <v>1</v>
      </c>
      <c r="F1980" s="15"/>
      <c r="G1980" s="684"/>
      <c r="H1980" s="707"/>
      <c r="I1980" s="707">
        <f t="shared" si="60"/>
        <v>0</v>
      </c>
      <c r="J1980" s="707">
        <f t="shared" si="61"/>
        <v>0</v>
      </c>
      <c r="K1980" s="70"/>
    </row>
    <row r="1981" spans="1:11" ht="24" customHeight="1">
      <c r="A1981" s="33" t="s">
        <v>2326</v>
      </c>
      <c r="B1981" s="33" t="s">
        <v>10</v>
      </c>
      <c r="C1981" s="33">
        <v>7</v>
      </c>
      <c r="D1981" s="33" t="s">
        <v>3348</v>
      </c>
      <c r="E1981" s="33">
        <v>4</v>
      </c>
      <c r="F1981" s="33"/>
      <c r="G1981" s="522"/>
      <c r="H1981" s="707"/>
      <c r="I1981" s="707">
        <f t="shared" si="60"/>
        <v>0</v>
      </c>
      <c r="J1981" s="707">
        <f t="shared" si="61"/>
        <v>0</v>
      </c>
      <c r="K1981" s="70"/>
    </row>
    <row r="1982" spans="1:11" ht="24" customHeight="1">
      <c r="A1982" s="33" t="s">
        <v>132</v>
      </c>
      <c r="B1982" s="33" t="s">
        <v>10</v>
      </c>
      <c r="C1982" s="33">
        <v>25</v>
      </c>
      <c r="D1982" s="2" t="s">
        <v>11</v>
      </c>
      <c r="E1982" s="33">
        <v>2</v>
      </c>
      <c r="F1982" s="33"/>
      <c r="G1982" s="522"/>
      <c r="H1982" s="707"/>
      <c r="I1982" s="707">
        <f t="shared" si="60"/>
        <v>0</v>
      </c>
      <c r="J1982" s="707">
        <f t="shared" si="61"/>
        <v>0</v>
      </c>
      <c r="K1982" s="70"/>
    </row>
    <row r="1983" spans="1:11" ht="24" customHeight="1">
      <c r="A1983" s="33" t="s">
        <v>132</v>
      </c>
      <c r="B1983" s="33" t="s">
        <v>10</v>
      </c>
      <c r="C1983" s="33">
        <v>80</v>
      </c>
      <c r="D1983" s="2" t="s">
        <v>188</v>
      </c>
      <c r="E1983" s="33">
        <v>4</v>
      </c>
      <c r="F1983" s="33"/>
      <c r="G1983" s="522"/>
      <c r="H1983" s="707"/>
      <c r="I1983" s="707">
        <f t="shared" si="60"/>
        <v>0</v>
      </c>
      <c r="J1983" s="707">
        <f t="shared" si="61"/>
        <v>0</v>
      </c>
      <c r="K1983" s="70"/>
    </row>
    <row r="1984" spans="1:11" ht="24" customHeight="1">
      <c r="A1984" s="2" t="s">
        <v>132</v>
      </c>
      <c r="B1984" s="2" t="s">
        <v>10</v>
      </c>
      <c r="C1984" s="2">
        <v>100</v>
      </c>
      <c r="D1984" s="2" t="s">
        <v>3553</v>
      </c>
      <c r="E1984" s="33">
        <v>2</v>
      </c>
      <c r="F1984" s="33"/>
      <c r="G1984" s="522"/>
      <c r="H1984" s="707"/>
      <c r="I1984" s="707">
        <f t="shared" si="60"/>
        <v>0</v>
      </c>
      <c r="J1984" s="707">
        <f t="shared" si="61"/>
        <v>0</v>
      </c>
      <c r="K1984" s="55"/>
    </row>
    <row r="1985" spans="1:11" ht="24" customHeight="1">
      <c r="A1985" s="33" t="s">
        <v>891</v>
      </c>
      <c r="B1985" s="33" t="s">
        <v>10</v>
      </c>
      <c r="C1985" s="33">
        <v>10</v>
      </c>
      <c r="D1985" s="2" t="s">
        <v>888</v>
      </c>
      <c r="E1985" s="33">
        <v>5</v>
      </c>
      <c r="F1985" s="33"/>
      <c r="G1985" s="522"/>
      <c r="H1985" s="707">
        <v>5</v>
      </c>
      <c r="I1985" s="707">
        <f t="shared" si="60"/>
        <v>5.75</v>
      </c>
      <c r="J1985" s="707">
        <f t="shared" si="61"/>
        <v>6.5</v>
      </c>
      <c r="K1985" s="55"/>
    </row>
    <row r="1986" spans="1:11" ht="24" customHeight="1">
      <c r="A1986" s="2" t="s">
        <v>891</v>
      </c>
      <c r="B1986" s="2" t="s">
        <v>10</v>
      </c>
      <c r="C1986" s="2">
        <v>100</v>
      </c>
      <c r="D1986" s="2" t="s">
        <v>3548</v>
      </c>
      <c r="E1986" s="33">
        <v>5</v>
      </c>
      <c r="F1986" s="33"/>
      <c r="G1986" s="522"/>
      <c r="H1986" s="707"/>
      <c r="I1986" s="707">
        <f t="shared" si="60"/>
        <v>0</v>
      </c>
      <c r="J1986" s="707">
        <f t="shared" si="61"/>
        <v>0</v>
      </c>
      <c r="K1986" s="70"/>
    </row>
    <row r="1987" spans="1:11" ht="24" customHeight="1">
      <c r="A1987" s="33" t="s">
        <v>891</v>
      </c>
      <c r="B1987" s="2" t="s">
        <v>10</v>
      </c>
      <c r="C1987" s="33">
        <v>100</v>
      </c>
      <c r="D1987" s="2" t="s">
        <v>3553</v>
      </c>
      <c r="E1987" s="33">
        <v>2</v>
      </c>
      <c r="F1987" s="33"/>
      <c r="G1987" s="522"/>
      <c r="H1987" s="707"/>
      <c r="I1987" s="707">
        <f t="shared" ref="I1987:I2050" si="62">H1987 * 1.15</f>
        <v>0</v>
      </c>
      <c r="J1987" s="707">
        <f t="shared" ref="J1987:J2050" si="63">H1987 * 1.3</f>
        <v>0</v>
      </c>
      <c r="K1987" s="70"/>
    </row>
    <row r="1988" spans="1:11" ht="24" customHeight="1">
      <c r="A1988" s="96" t="s">
        <v>1760</v>
      </c>
      <c r="B1988" s="11" t="s">
        <v>10</v>
      </c>
      <c r="C1988" s="11">
        <v>50</v>
      </c>
      <c r="D1988" s="131" t="s">
        <v>1723</v>
      </c>
      <c r="E1988" s="15">
        <v>2</v>
      </c>
      <c r="F1988" s="15"/>
      <c r="G1988" s="684"/>
      <c r="H1988" s="707">
        <v>5</v>
      </c>
      <c r="I1988" s="707">
        <f t="shared" si="62"/>
        <v>5.75</v>
      </c>
      <c r="J1988" s="707">
        <f t="shared" si="63"/>
        <v>6.5</v>
      </c>
      <c r="K1988" s="70"/>
    </row>
    <row r="1989" spans="1:11" ht="24" customHeight="1">
      <c r="A1989" s="2" t="s">
        <v>1829</v>
      </c>
      <c r="B1989" s="2" t="s">
        <v>50</v>
      </c>
      <c r="C1989" s="2">
        <v>1</v>
      </c>
      <c r="D1989" s="2" t="s">
        <v>1785</v>
      </c>
      <c r="E1989" s="33">
        <v>2</v>
      </c>
      <c r="F1989" s="33"/>
      <c r="G1989" s="522"/>
      <c r="H1989" s="707"/>
      <c r="I1989" s="707">
        <f t="shared" si="62"/>
        <v>0</v>
      </c>
      <c r="J1989" s="707">
        <f t="shared" si="63"/>
        <v>0</v>
      </c>
      <c r="K1989" s="70"/>
    </row>
    <row r="1990" spans="1:11" ht="24" customHeight="1">
      <c r="A1990" s="2" t="s">
        <v>430</v>
      </c>
      <c r="B1990" s="2" t="s">
        <v>10</v>
      </c>
      <c r="C1990" s="2">
        <v>5</v>
      </c>
      <c r="D1990" s="2" t="s">
        <v>274</v>
      </c>
      <c r="E1990" s="33">
        <v>3</v>
      </c>
      <c r="F1990" s="33"/>
      <c r="G1990" s="522"/>
      <c r="H1990" s="707">
        <v>2</v>
      </c>
      <c r="I1990" s="707">
        <f t="shared" si="62"/>
        <v>2.2999999999999998</v>
      </c>
      <c r="J1990" s="707">
        <f t="shared" si="63"/>
        <v>2.6</v>
      </c>
      <c r="K1990" s="70"/>
    </row>
    <row r="1991" spans="1:11" ht="24" customHeight="1">
      <c r="A1991" s="33" t="s">
        <v>430</v>
      </c>
      <c r="B1991" s="33" t="s">
        <v>481</v>
      </c>
      <c r="C1991" s="33">
        <v>75</v>
      </c>
      <c r="D1991" s="2" t="s">
        <v>536</v>
      </c>
      <c r="E1991" s="33">
        <v>4</v>
      </c>
      <c r="F1991" s="33"/>
      <c r="G1991" s="522"/>
      <c r="H1991" s="707">
        <v>2</v>
      </c>
      <c r="I1991" s="707">
        <f t="shared" si="62"/>
        <v>2.2999999999999998</v>
      </c>
      <c r="J1991" s="707">
        <f t="shared" si="63"/>
        <v>2.6</v>
      </c>
      <c r="K1991" s="70"/>
    </row>
    <row r="1992" spans="1:11" ht="24" customHeight="1">
      <c r="A1992" s="2" t="s">
        <v>430</v>
      </c>
      <c r="B1992" s="2" t="s">
        <v>10</v>
      </c>
      <c r="C1992" s="2">
        <v>100</v>
      </c>
      <c r="D1992" s="2" t="s">
        <v>3548</v>
      </c>
      <c r="E1992" s="33">
        <v>5</v>
      </c>
      <c r="F1992" s="33"/>
      <c r="G1992" s="522"/>
      <c r="H1992" s="707"/>
      <c r="I1992" s="707">
        <f t="shared" si="62"/>
        <v>0</v>
      </c>
      <c r="J1992" s="707">
        <f t="shared" si="63"/>
        <v>0</v>
      </c>
      <c r="K1992" s="70"/>
    </row>
    <row r="1993" spans="1:11" ht="24" customHeight="1">
      <c r="A1993" s="33" t="s">
        <v>897</v>
      </c>
      <c r="B1993" s="33" t="s">
        <v>10</v>
      </c>
      <c r="C1993" s="33">
        <v>8</v>
      </c>
      <c r="D1993" s="33" t="s">
        <v>1938</v>
      </c>
      <c r="E1993" s="33">
        <v>2</v>
      </c>
      <c r="F1993" s="33"/>
      <c r="G1993" s="522"/>
      <c r="H1993" s="707">
        <v>10</v>
      </c>
      <c r="I1993" s="707">
        <f t="shared" si="62"/>
        <v>11.5</v>
      </c>
      <c r="J1993" s="707">
        <f t="shared" si="63"/>
        <v>13</v>
      </c>
      <c r="K1993" s="70" t="s">
        <v>2002</v>
      </c>
    </row>
    <row r="1994" spans="1:11" ht="24" customHeight="1">
      <c r="A1994" s="2" t="s">
        <v>897</v>
      </c>
      <c r="B1994" s="2" t="s">
        <v>50</v>
      </c>
      <c r="C1994" s="2">
        <v>18</v>
      </c>
      <c r="D1994" s="2" t="s">
        <v>888</v>
      </c>
      <c r="E1994" s="33">
        <v>5</v>
      </c>
      <c r="F1994" s="33"/>
      <c r="G1994" s="522"/>
      <c r="H1994" s="707">
        <v>10</v>
      </c>
      <c r="I1994" s="707">
        <f t="shared" si="62"/>
        <v>11.5</v>
      </c>
      <c r="J1994" s="707">
        <f t="shared" si="63"/>
        <v>13</v>
      </c>
      <c r="K1994" s="55"/>
    </row>
    <row r="1995" spans="1:11" ht="24" customHeight="1">
      <c r="A1995" s="33" t="s">
        <v>897</v>
      </c>
      <c r="B1995" s="33" t="s">
        <v>81</v>
      </c>
      <c r="C1995" s="33">
        <v>84</v>
      </c>
      <c r="D1995" s="33" t="s">
        <v>1141</v>
      </c>
      <c r="E1995" s="33">
        <v>1</v>
      </c>
      <c r="F1995" s="33"/>
      <c r="G1995" s="522"/>
      <c r="H1995" s="707">
        <v>10</v>
      </c>
      <c r="I1995" s="707">
        <f t="shared" si="62"/>
        <v>11.5</v>
      </c>
      <c r="J1995" s="707">
        <f t="shared" si="63"/>
        <v>13</v>
      </c>
      <c r="K1995" s="70"/>
    </row>
    <row r="1996" spans="1:11" ht="24" customHeight="1">
      <c r="A1996" s="2" t="s">
        <v>897</v>
      </c>
      <c r="B1996" s="2" t="s">
        <v>10</v>
      </c>
      <c r="C1996" s="2">
        <v>200</v>
      </c>
      <c r="D1996" s="2" t="s">
        <v>3553</v>
      </c>
      <c r="E1996" s="33">
        <v>1</v>
      </c>
      <c r="F1996" s="33"/>
      <c r="G1996" s="522"/>
      <c r="H1996" s="707">
        <v>10</v>
      </c>
      <c r="I1996" s="707">
        <f t="shared" si="62"/>
        <v>11.5</v>
      </c>
      <c r="J1996" s="707">
        <f t="shared" si="63"/>
        <v>13</v>
      </c>
      <c r="K1996" s="70"/>
    </row>
    <row r="1997" spans="1:11" ht="24" customHeight="1">
      <c r="A1997" s="33" t="s">
        <v>535</v>
      </c>
      <c r="B1997" s="33" t="s">
        <v>10</v>
      </c>
      <c r="C1997" s="33">
        <v>15</v>
      </c>
      <c r="D1997" s="2" t="s">
        <v>536</v>
      </c>
      <c r="E1997" s="33">
        <v>4</v>
      </c>
      <c r="F1997" s="33"/>
      <c r="G1997" s="522"/>
      <c r="H1997" s="707"/>
      <c r="I1997" s="707">
        <f t="shared" si="62"/>
        <v>0</v>
      </c>
      <c r="J1997" s="707">
        <f t="shared" si="63"/>
        <v>0</v>
      </c>
      <c r="K1997" s="70"/>
    </row>
    <row r="1998" spans="1:11" ht="24" customHeight="1">
      <c r="A1998" s="2" t="s">
        <v>535</v>
      </c>
      <c r="B1998" s="2" t="s">
        <v>10</v>
      </c>
      <c r="C1998" s="2">
        <v>100</v>
      </c>
      <c r="D1998" s="2" t="s">
        <v>3548</v>
      </c>
      <c r="E1998" s="33">
        <v>5</v>
      </c>
      <c r="F1998" s="33"/>
      <c r="G1998" s="522"/>
      <c r="H1998" s="707"/>
      <c r="I1998" s="707">
        <f t="shared" si="62"/>
        <v>0</v>
      </c>
      <c r="J1998" s="707">
        <f t="shared" si="63"/>
        <v>0</v>
      </c>
      <c r="K1998" s="70"/>
    </row>
    <row r="1999" spans="1:11" ht="24" customHeight="1">
      <c r="A1999" s="2" t="s">
        <v>300</v>
      </c>
      <c r="B1999" s="2" t="s">
        <v>10</v>
      </c>
      <c r="C1999" s="2">
        <v>31</v>
      </c>
      <c r="D1999" s="2" t="s">
        <v>274</v>
      </c>
      <c r="E1999" s="33">
        <v>1</v>
      </c>
      <c r="F1999" s="33"/>
      <c r="G1999" s="522"/>
      <c r="H1999" s="707">
        <v>1</v>
      </c>
      <c r="I1999" s="707">
        <f t="shared" si="62"/>
        <v>1.1499999999999999</v>
      </c>
      <c r="J1999" s="707">
        <f t="shared" si="63"/>
        <v>1.3</v>
      </c>
      <c r="K1999" s="70"/>
    </row>
    <row r="2000" spans="1:11" ht="24" customHeight="1">
      <c r="A2000" s="2" t="s">
        <v>320</v>
      </c>
      <c r="B2000" s="2" t="s">
        <v>50</v>
      </c>
      <c r="C2000" s="2">
        <v>96</v>
      </c>
      <c r="D2000" s="2" t="s">
        <v>274</v>
      </c>
      <c r="E2000" s="33">
        <v>1</v>
      </c>
      <c r="F2000" s="33"/>
      <c r="G2000" s="522"/>
      <c r="H2000" s="707">
        <v>3</v>
      </c>
      <c r="I2000" s="707">
        <f t="shared" si="62"/>
        <v>3.4499999999999997</v>
      </c>
      <c r="J2000" s="707">
        <f t="shared" si="63"/>
        <v>3.9000000000000004</v>
      </c>
      <c r="K2000" s="70"/>
    </row>
    <row r="2001" spans="1:11" ht="24" customHeight="1">
      <c r="A2001" s="59" t="s">
        <v>320</v>
      </c>
      <c r="B2001" s="59" t="s">
        <v>10</v>
      </c>
      <c r="C2001" s="59">
        <v>1</v>
      </c>
      <c r="D2001" s="33" t="s">
        <v>2624</v>
      </c>
      <c r="E2001" s="354">
        <v>5</v>
      </c>
      <c r="F2001" s="354"/>
      <c r="G2001" s="688"/>
      <c r="H2001" s="707">
        <v>3</v>
      </c>
      <c r="I2001" s="707">
        <f t="shared" si="62"/>
        <v>3.4499999999999997</v>
      </c>
      <c r="J2001" s="707">
        <f t="shared" si="63"/>
        <v>3.9000000000000004</v>
      </c>
      <c r="K2001" s="70"/>
    </row>
    <row r="2002" spans="1:11" ht="24" customHeight="1">
      <c r="A2002" s="33" t="s">
        <v>1605</v>
      </c>
      <c r="B2002" s="33" t="s">
        <v>10</v>
      </c>
      <c r="C2002" s="33">
        <v>3</v>
      </c>
      <c r="D2002" s="33" t="s">
        <v>1548</v>
      </c>
      <c r="E2002" s="33">
        <v>3</v>
      </c>
      <c r="F2002" s="33"/>
      <c r="G2002" s="522"/>
      <c r="H2002" s="707">
        <v>1</v>
      </c>
      <c r="I2002" s="707">
        <f t="shared" si="62"/>
        <v>1.1499999999999999</v>
      </c>
      <c r="J2002" s="707">
        <f t="shared" si="63"/>
        <v>1.3</v>
      </c>
      <c r="K2002" s="70"/>
    </row>
    <row r="2003" spans="1:11" ht="24" customHeight="1">
      <c r="A2003" s="2" t="s">
        <v>1820</v>
      </c>
      <c r="B2003" s="2" t="s">
        <v>10</v>
      </c>
      <c r="C2003" s="2">
        <v>5</v>
      </c>
      <c r="D2003" s="2" t="s">
        <v>1785</v>
      </c>
      <c r="E2003" s="33">
        <v>2</v>
      </c>
      <c r="F2003" s="33"/>
      <c r="G2003" s="522"/>
      <c r="H2003" s="707"/>
      <c r="I2003" s="707">
        <f t="shared" si="62"/>
        <v>0</v>
      </c>
      <c r="J2003" s="707">
        <f t="shared" si="63"/>
        <v>0</v>
      </c>
      <c r="K2003" s="70" t="s">
        <v>51</v>
      </c>
    </row>
    <row r="2004" spans="1:11" ht="24" customHeight="1">
      <c r="A2004" s="10" t="s">
        <v>1736</v>
      </c>
      <c r="B2004" s="11" t="s">
        <v>10</v>
      </c>
      <c r="C2004" s="11">
        <v>14</v>
      </c>
      <c r="D2004" s="131" t="s">
        <v>1723</v>
      </c>
      <c r="E2004" s="15">
        <v>1</v>
      </c>
      <c r="F2004" s="15"/>
      <c r="G2004" s="684"/>
      <c r="H2004" s="707">
        <v>3</v>
      </c>
      <c r="I2004" s="707">
        <f t="shared" si="62"/>
        <v>3.4499999999999997</v>
      </c>
      <c r="J2004" s="707">
        <f t="shared" si="63"/>
        <v>3.9000000000000004</v>
      </c>
      <c r="K2004" s="70"/>
    </row>
    <row r="2005" spans="1:11" ht="24" customHeight="1">
      <c r="A2005" s="33" t="s">
        <v>424</v>
      </c>
      <c r="B2005" s="33" t="s">
        <v>10</v>
      </c>
      <c r="C2005" s="33">
        <v>25</v>
      </c>
      <c r="D2005" s="2" t="s">
        <v>274</v>
      </c>
      <c r="E2005" s="33">
        <v>2</v>
      </c>
      <c r="F2005" s="33"/>
      <c r="G2005" s="522"/>
      <c r="H2005" s="707"/>
      <c r="I2005" s="707">
        <f t="shared" si="62"/>
        <v>0</v>
      </c>
      <c r="J2005" s="707">
        <f t="shared" si="63"/>
        <v>0</v>
      </c>
      <c r="K2005" s="70"/>
    </row>
    <row r="2006" spans="1:11" ht="24" customHeight="1">
      <c r="A2006" s="33" t="s">
        <v>424</v>
      </c>
      <c r="B2006" s="33" t="s">
        <v>481</v>
      </c>
      <c r="C2006" s="33">
        <v>45</v>
      </c>
      <c r="D2006" s="2" t="s">
        <v>536</v>
      </c>
      <c r="E2006" s="33">
        <v>4</v>
      </c>
      <c r="F2006" s="33"/>
      <c r="G2006" s="522"/>
      <c r="H2006" s="707">
        <v>20</v>
      </c>
      <c r="I2006" s="707">
        <f t="shared" si="62"/>
        <v>23</v>
      </c>
      <c r="J2006" s="707">
        <f t="shared" si="63"/>
        <v>26</v>
      </c>
      <c r="K2006" s="70"/>
    </row>
    <row r="2007" spans="1:11" ht="24" customHeight="1">
      <c r="A2007" s="33" t="s">
        <v>360</v>
      </c>
      <c r="B2007" s="71" t="s">
        <v>10</v>
      </c>
      <c r="C2007" s="71">
        <v>26</v>
      </c>
      <c r="D2007" s="2" t="s">
        <v>274</v>
      </c>
      <c r="E2007" s="71">
        <v>1</v>
      </c>
      <c r="F2007" s="71"/>
      <c r="G2007" s="686"/>
      <c r="H2007" s="709"/>
      <c r="I2007" s="709">
        <f t="shared" si="62"/>
        <v>0</v>
      </c>
      <c r="J2007" s="709">
        <f t="shared" si="63"/>
        <v>0</v>
      </c>
      <c r="K2007" s="70"/>
    </row>
    <row r="2008" spans="1:11" ht="24" customHeight="1">
      <c r="A2008" s="2" t="s">
        <v>360</v>
      </c>
      <c r="B2008" s="2" t="s">
        <v>10</v>
      </c>
      <c r="C2008" s="2">
        <v>50</v>
      </c>
      <c r="D2008" s="2" t="s">
        <v>3553</v>
      </c>
      <c r="E2008" s="33">
        <v>1</v>
      </c>
      <c r="F2008" s="33"/>
      <c r="G2008" s="522"/>
      <c r="H2008" s="707"/>
      <c r="I2008" s="707">
        <f t="shared" si="62"/>
        <v>0</v>
      </c>
      <c r="J2008" s="707">
        <f t="shared" si="63"/>
        <v>0</v>
      </c>
      <c r="K2008" s="70"/>
    </row>
    <row r="2009" spans="1:11" ht="24" customHeight="1">
      <c r="A2009" s="10" t="s">
        <v>3128</v>
      </c>
      <c r="B2009" s="34" t="s">
        <v>379</v>
      </c>
      <c r="C2009" s="11">
        <v>15</v>
      </c>
      <c r="D2009" s="33" t="s">
        <v>3053</v>
      </c>
      <c r="E2009" s="33">
        <v>3</v>
      </c>
      <c r="F2009" s="33"/>
      <c r="G2009" s="522"/>
      <c r="H2009" s="707">
        <v>7</v>
      </c>
      <c r="I2009" s="707">
        <f t="shared" si="62"/>
        <v>8.0499999999999989</v>
      </c>
      <c r="J2009" s="707">
        <f t="shared" si="63"/>
        <v>9.1</v>
      </c>
      <c r="K2009" s="70"/>
    </row>
    <row r="2010" spans="1:11" ht="24" customHeight="1">
      <c r="A2010" s="2" t="s">
        <v>3696</v>
      </c>
      <c r="B2010" s="2" t="s">
        <v>10</v>
      </c>
      <c r="C2010" s="2">
        <v>1</v>
      </c>
      <c r="D2010" s="2" t="s">
        <v>3671</v>
      </c>
      <c r="E2010" s="33">
        <v>2</v>
      </c>
      <c r="F2010" s="33"/>
      <c r="G2010" s="522"/>
      <c r="H2010" s="707"/>
      <c r="I2010" s="707">
        <f t="shared" si="62"/>
        <v>0</v>
      </c>
      <c r="J2010" s="707">
        <f t="shared" si="63"/>
        <v>0</v>
      </c>
      <c r="K2010" s="70"/>
    </row>
    <row r="2011" spans="1:11" ht="24" customHeight="1">
      <c r="A2011" s="59" t="s">
        <v>3038</v>
      </c>
      <c r="B2011" s="59" t="s">
        <v>10</v>
      </c>
      <c r="C2011" s="59">
        <v>80</v>
      </c>
      <c r="D2011" s="33" t="s">
        <v>3027</v>
      </c>
      <c r="E2011" s="33">
        <v>1</v>
      </c>
      <c r="F2011" s="33"/>
      <c r="G2011" s="522"/>
      <c r="H2011" s="707"/>
      <c r="I2011" s="707">
        <f t="shared" si="62"/>
        <v>0</v>
      </c>
      <c r="J2011" s="707">
        <f t="shared" si="63"/>
        <v>0</v>
      </c>
      <c r="K2011" s="70"/>
    </row>
    <row r="2012" spans="1:11" ht="24" customHeight="1">
      <c r="A2012" s="2" t="s">
        <v>903</v>
      </c>
      <c r="B2012" s="2" t="s">
        <v>10</v>
      </c>
      <c r="C2012" s="2">
        <v>90</v>
      </c>
      <c r="D2012" s="2" t="s">
        <v>888</v>
      </c>
      <c r="E2012" s="33">
        <v>5</v>
      </c>
      <c r="F2012" s="33"/>
      <c r="G2012" s="522"/>
      <c r="H2012" s="707"/>
      <c r="I2012" s="707">
        <f t="shared" si="62"/>
        <v>0</v>
      </c>
      <c r="J2012" s="707">
        <f t="shared" si="63"/>
        <v>0</v>
      </c>
      <c r="K2012" s="55"/>
    </row>
    <row r="2013" spans="1:11" ht="24" customHeight="1">
      <c r="A2013" s="2" t="s">
        <v>3572</v>
      </c>
      <c r="B2013" s="2" t="s">
        <v>10</v>
      </c>
      <c r="C2013" s="2">
        <v>60</v>
      </c>
      <c r="D2013" s="33" t="s">
        <v>3568</v>
      </c>
      <c r="E2013" s="33">
        <v>2</v>
      </c>
      <c r="F2013" s="33"/>
      <c r="G2013" s="522"/>
      <c r="H2013" s="707"/>
      <c r="I2013" s="707">
        <f t="shared" si="62"/>
        <v>0</v>
      </c>
      <c r="J2013" s="707">
        <f t="shared" si="63"/>
        <v>0</v>
      </c>
      <c r="K2013" s="70"/>
    </row>
    <row r="2014" spans="1:11" ht="24" customHeight="1">
      <c r="A2014" s="3" t="s">
        <v>3037</v>
      </c>
      <c r="B2014" s="59" t="s">
        <v>10</v>
      </c>
      <c r="C2014" s="59">
        <v>91</v>
      </c>
      <c r="D2014" s="33" t="s">
        <v>3027</v>
      </c>
      <c r="E2014" s="33">
        <v>1</v>
      </c>
      <c r="F2014" s="33"/>
      <c r="G2014" s="522"/>
      <c r="H2014" s="707"/>
      <c r="I2014" s="707">
        <f t="shared" si="62"/>
        <v>0</v>
      </c>
      <c r="J2014" s="707">
        <f t="shared" si="63"/>
        <v>0</v>
      </c>
      <c r="K2014" s="70"/>
    </row>
    <row r="2015" spans="1:11" ht="24" customHeight="1">
      <c r="A2015" s="2" t="s">
        <v>3686</v>
      </c>
      <c r="B2015" s="2" t="s">
        <v>10</v>
      </c>
      <c r="C2015" s="2">
        <v>4</v>
      </c>
      <c r="D2015" s="2" t="s">
        <v>3671</v>
      </c>
      <c r="E2015" s="33">
        <v>2</v>
      </c>
      <c r="F2015" s="33"/>
      <c r="G2015" s="522"/>
      <c r="H2015" s="707"/>
      <c r="I2015" s="707">
        <f t="shared" si="62"/>
        <v>0</v>
      </c>
      <c r="J2015" s="707">
        <f t="shared" si="63"/>
        <v>0</v>
      </c>
      <c r="K2015" s="70"/>
    </row>
    <row r="2016" spans="1:11" ht="24" customHeight="1">
      <c r="A2016" s="33" t="s">
        <v>2200</v>
      </c>
      <c r="B2016" s="33" t="s">
        <v>10</v>
      </c>
      <c r="C2016" s="33">
        <v>27</v>
      </c>
      <c r="D2016" s="33" t="s">
        <v>2624</v>
      </c>
      <c r="E2016" s="33">
        <v>4</v>
      </c>
      <c r="F2016" s="33"/>
      <c r="G2016" s="522"/>
      <c r="H2016" s="707"/>
      <c r="I2016" s="707">
        <f t="shared" si="62"/>
        <v>0</v>
      </c>
      <c r="J2016" s="707">
        <f t="shared" si="63"/>
        <v>0</v>
      </c>
      <c r="K2016" s="70" t="s">
        <v>1970</v>
      </c>
    </row>
    <row r="2017" spans="1:11" ht="24" customHeight="1">
      <c r="A2017" s="33" t="s">
        <v>2200</v>
      </c>
      <c r="B2017" s="33" t="s">
        <v>50</v>
      </c>
      <c r="C2017" s="33">
        <v>50</v>
      </c>
      <c r="D2017" s="33" t="s">
        <v>2191</v>
      </c>
      <c r="E2017" s="33">
        <v>3</v>
      </c>
      <c r="F2017" s="33"/>
      <c r="G2017" s="522"/>
      <c r="H2017" s="707"/>
      <c r="I2017" s="707">
        <f t="shared" si="62"/>
        <v>0</v>
      </c>
      <c r="J2017" s="707">
        <f t="shared" si="63"/>
        <v>0</v>
      </c>
      <c r="K2017" s="70" t="s">
        <v>51</v>
      </c>
    </row>
    <row r="2018" spans="1:11" ht="24" customHeight="1">
      <c r="A2018" s="33" t="s">
        <v>1024</v>
      </c>
      <c r="B2018" s="33" t="s">
        <v>10</v>
      </c>
      <c r="C2018" s="33">
        <v>85</v>
      </c>
      <c r="D2018" s="33" t="s">
        <v>992</v>
      </c>
      <c r="E2018" s="33">
        <v>3</v>
      </c>
      <c r="F2018" s="33"/>
      <c r="G2018" s="522"/>
      <c r="H2018" s="707"/>
      <c r="I2018" s="707">
        <f t="shared" si="62"/>
        <v>0</v>
      </c>
      <c r="J2018" s="707">
        <f t="shared" si="63"/>
        <v>0</v>
      </c>
      <c r="K2018" s="70"/>
    </row>
    <row r="2019" spans="1:11" ht="24" customHeight="1">
      <c r="A2019" s="33" t="s">
        <v>2120</v>
      </c>
      <c r="B2019" s="33" t="s">
        <v>10</v>
      </c>
      <c r="C2019" s="33">
        <v>147</v>
      </c>
      <c r="D2019" s="33" t="s">
        <v>2111</v>
      </c>
      <c r="E2019" s="33">
        <v>1</v>
      </c>
      <c r="F2019" s="33"/>
      <c r="G2019" s="522"/>
      <c r="H2019" s="707">
        <v>10</v>
      </c>
      <c r="I2019" s="707">
        <f t="shared" si="62"/>
        <v>11.5</v>
      </c>
      <c r="J2019" s="707">
        <f t="shared" si="63"/>
        <v>13</v>
      </c>
      <c r="K2019" s="70"/>
    </row>
    <row r="2020" spans="1:11" ht="24" customHeight="1">
      <c r="A2020" s="33" t="s">
        <v>2120</v>
      </c>
      <c r="B2020" s="33" t="s">
        <v>10</v>
      </c>
      <c r="C2020" s="33">
        <v>60</v>
      </c>
      <c r="D2020" s="33" t="s">
        <v>2624</v>
      </c>
      <c r="E2020" s="33">
        <v>3</v>
      </c>
      <c r="F2020" s="33"/>
      <c r="G2020" s="522"/>
      <c r="H2020" s="707">
        <v>10</v>
      </c>
      <c r="I2020" s="707">
        <f t="shared" si="62"/>
        <v>11.5</v>
      </c>
      <c r="J2020" s="707">
        <f t="shared" si="63"/>
        <v>13</v>
      </c>
      <c r="K2020" s="70"/>
    </row>
    <row r="2021" spans="1:11" ht="24" customHeight="1">
      <c r="A2021" s="33" t="s">
        <v>2120</v>
      </c>
      <c r="B2021" s="71" t="s">
        <v>10</v>
      </c>
      <c r="C2021" s="71">
        <v>214</v>
      </c>
      <c r="D2021" s="71" t="s">
        <v>2947</v>
      </c>
      <c r="E2021" s="71">
        <v>3</v>
      </c>
      <c r="F2021" s="71"/>
      <c r="G2021" s="686"/>
      <c r="H2021" s="709">
        <v>10</v>
      </c>
      <c r="I2021" s="709">
        <f t="shared" si="62"/>
        <v>11.5</v>
      </c>
      <c r="J2021" s="709">
        <f t="shared" si="63"/>
        <v>13</v>
      </c>
      <c r="K2021" s="70"/>
    </row>
    <row r="2022" spans="1:11" ht="24" customHeight="1">
      <c r="A2022" s="33" t="s">
        <v>2630</v>
      </c>
      <c r="B2022" s="33" t="s">
        <v>10</v>
      </c>
      <c r="C2022" s="33">
        <v>9</v>
      </c>
      <c r="D2022" s="33" t="s">
        <v>2624</v>
      </c>
      <c r="E2022" s="33">
        <v>3</v>
      </c>
      <c r="F2022" s="33"/>
      <c r="G2022" s="522"/>
      <c r="H2022" s="707"/>
      <c r="I2022" s="707">
        <f t="shared" si="62"/>
        <v>0</v>
      </c>
      <c r="J2022" s="707">
        <f t="shared" si="63"/>
        <v>0</v>
      </c>
      <c r="K2022" s="70"/>
    </row>
    <row r="2023" spans="1:11" ht="24" customHeight="1">
      <c r="A2023" s="2" t="s">
        <v>1842</v>
      </c>
      <c r="B2023" s="2" t="s">
        <v>10</v>
      </c>
      <c r="C2023" s="2">
        <v>9</v>
      </c>
      <c r="D2023" s="2" t="s">
        <v>1785</v>
      </c>
      <c r="E2023" s="33">
        <v>2</v>
      </c>
      <c r="F2023" s="33"/>
      <c r="G2023" s="522"/>
      <c r="H2023" s="707"/>
      <c r="I2023" s="707">
        <f t="shared" si="62"/>
        <v>0</v>
      </c>
      <c r="J2023" s="707">
        <f t="shared" si="63"/>
        <v>0</v>
      </c>
      <c r="K2023" s="70"/>
    </row>
    <row r="2024" spans="1:11" ht="24" customHeight="1">
      <c r="A2024" s="2" t="s">
        <v>1842</v>
      </c>
      <c r="B2024" s="2" t="s">
        <v>10</v>
      </c>
      <c r="C2024" s="2">
        <v>20</v>
      </c>
      <c r="D2024" s="65" t="s">
        <v>3348</v>
      </c>
      <c r="E2024" s="33">
        <v>5</v>
      </c>
      <c r="F2024" s="33"/>
      <c r="G2024" s="522"/>
      <c r="H2024" s="707"/>
      <c r="I2024" s="707">
        <f t="shared" si="62"/>
        <v>0</v>
      </c>
      <c r="J2024" s="707">
        <f t="shared" si="63"/>
        <v>0</v>
      </c>
      <c r="K2024" s="70"/>
    </row>
    <row r="2025" spans="1:11" ht="24" customHeight="1">
      <c r="A2025" s="33" t="s">
        <v>894</v>
      </c>
      <c r="B2025" s="33" t="s">
        <v>10</v>
      </c>
      <c r="C2025" s="33">
        <v>46</v>
      </c>
      <c r="D2025" s="2" t="s">
        <v>888</v>
      </c>
      <c r="E2025" s="33">
        <v>5</v>
      </c>
      <c r="F2025" s="33"/>
      <c r="G2025" s="522"/>
      <c r="H2025" s="707">
        <v>3</v>
      </c>
      <c r="I2025" s="707">
        <f t="shared" si="62"/>
        <v>3.4499999999999997</v>
      </c>
      <c r="J2025" s="707">
        <f t="shared" si="63"/>
        <v>3.9000000000000004</v>
      </c>
      <c r="K2025" s="55" t="s">
        <v>51</v>
      </c>
    </row>
    <row r="2026" spans="1:11" ht="24" customHeight="1">
      <c r="A2026" s="33" t="s">
        <v>894</v>
      </c>
      <c r="B2026" s="33" t="s">
        <v>10</v>
      </c>
      <c r="C2026" s="33">
        <v>19</v>
      </c>
      <c r="D2026" s="33" t="s">
        <v>1201</v>
      </c>
      <c r="E2026" s="33">
        <v>3</v>
      </c>
      <c r="F2026" s="33"/>
      <c r="G2026" s="522"/>
      <c r="H2026" s="707">
        <v>1</v>
      </c>
      <c r="I2026" s="707">
        <f t="shared" si="62"/>
        <v>1.1499999999999999</v>
      </c>
      <c r="J2026" s="707">
        <f t="shared" si="63"/>
        <v>1.3</v>
      </c>
      <c r="K2026" s="70"/>
    </row>
    <row r="2027" spans="1:11" ht="24" customHeight="1">
      <c r="A2027" s="33" t="s">
        <v>1603</v>
      </c>
      <c r="B2027" s="33" t="s">
        <v>10</v>
      </c>
      <c r="C2027" s="33">
        <v>10</v>
      </c>
      <c r="D2027" s="33" t="s">
        <v>1548</v>
      </c>
      <c r="E2027" s="33">
        <v>3</v>
      </c>
      <c r="F2027" s="33"/>
      <c r="G2027" s="522"/>
      <c r="H2027" s="707"/>
      <c r="I2027" s="707">
        <f t="shared" si="62"/>
        <v>0</v>
      </c>
      <c r="J2027" s="707">
        <f t="shared" si="63"/>
        <v>0</v>
      </c>
      <c r="K2027" s="70"/>
    </row>
    <row r="2028" spans="1:11" ht="24" customHeight="1">
      <c r="A2028" s="2" t="s">
        <v>1603</v>
      </c>
      <c r="B2028" s="2" t="s">
        <v>10</v>
      </c>
      <c r="C2028" s="2">
        <v>26</v>
      </c>
      <c r="D2028" s="2" t="s">
        <v>1785</v>
      </c>
      <c r="E2028" s="33">
        <v>3</v>
      </c>
      <c r="F2028" s="33"/>
      <c r="G2028" s="522"/>
      <c r="H2028" s="707">
        <v>65</v>
      </c>
      <c r="I2028" s="707">
        <f t="shared" si="62"/>
        <v>74.75</v>
      </c>
      <c r="J2028" s="707">
        <f t="shared" si="63"/>
        <v>84.5</v>
      </c>
      <c r="K2028" s="70"/>
    </row>
    <row r="2029" spans="1:11" ht="24" customHeight="1">
      <c r="A2029" s="33" t="s">
        <v>1603</v>
      </c>
      <c r="B2029" s="71" t="s">
        <v>10</v>
      </c>
      <c r="C2029" s="71">
        <v>85</v>
      </c>
      <c r="D2029" s="71" t="s">
        <v>2947</v>
      </c>
      <c r="E2029" s="71">
        <v>3</v>
      </c>
      <c r="F2029" s="71"/>
      <c r="G2029" s="686"/>
      <c r="H2029" s="709"/>
      <c r="I2029" s="709">
        <f t="shared" si="62"/>
        <v>0</v>
      </c>
      <c r="J2029" s="709">
        <f t="shared" si="63"/>
        <v>0</v>
      </c>
      <c r="K2029" s="70"/>
    </row>
    <row r="2030" spans="1:11" ht="24" customHeight="1">
      <c r="A2030" s="33" t="s">
        <v>2937</v>
      </c>
      <c r="B2030" s="33" t="s">
        <v>10</v>
      </c>
      <c r="C2030" s="33">
        <v>4</v>
      </c>
      <c r="D2030" s="33" t="s">
        <v>3279</v>
      </c>
      <c r="E2030" s="33">
        <v>3</v>
      </c>
      <c r="F2030" s="33"/>
      <c r="G2030" s="522"/>
      <c r="H2030" s="707"/>
      <c r="I2030" s="707">
        <f t="shared" si="62"/>
        <v>0</v>
      </c>
      <c r="J2030" s="707">
        <f t="shared" si="63"/>
        <v>0</v>
      </c>
      <c r="K2030" s="70"/>
    </row>
    <row r="2031" spans="1:11" ht="24" customHeight="1">
      <c r="A2031" s="33" t="s">
        <v>1507</v>
      </c>
      <c r="B2031" s="33" t="s">
        <v>10</v>
      </c>
      <c r="C2031" s="33">
        <v>114</v>
      </c>
      <c r="D2031" s="33" t="s">
        <v>1494</v>
      </c>
      <c r="E2031" s="33">
        <v>1</v>
      </c>
      <c r="F2031" s="33"/>
      <c r="G2031" s="522"/>
      <c r="H2031" s="707"/>
      <c r="I2031" s="707">
        <f t="shared" si="62"/>
        <v>0</v>
      </c>
      <c r="J2031" s="707">
        <f t="shared" si="63"/>
        <v>0</v>
      </c>
      <c r="K2031" s="70"/>
    </row>
    <row r="2032" spans="1:11" ht="24" customHeight="1">
      <c r="A2032" s="10" t="s">
        <v>3466</v>
      </c>
      <c r="B2032" s="11" t="s">
        <v>14</v>
      </c>
      <c r="C2032" s="11">
        <v>20</v>
      </c>
      <c r="D2032" s="131" t="s">
        <v>3451</v>
      </c>
      <c r="E2032" s="15">
        <v>2</v>
      </c>
      <c r="F2032" s="15"/>
      <c r="G2032" s="684"/>
      <c r="H2032" s="707">
        <v>1.5</v>
      </c>
      <c r="I2032" s="707">
        <f t="shared" si="62"/>
        <v>1.7249999999999999</v>
      </c>
      <c r="J2032" s="707">
        <f t="shared" si="63"/>
        <v>1.9500000000000002</v>
      </c>
      <c r="K2032" s="70"/>
    </row>
    <row r="2033" spans="1:11" ht="24" customHeight="1">
      <c r="A2033" s="17" t="s">
        <v>2783</v>
      </c>
      <c r="B2033" s="244" t="s">
        <v>10</v>
      </c>
      <c r="C2033" s="17">
        <v>4</v>
      </c>
      <c r="D2033" s="131" t="s">
        <v>2772</v>
      </c>
      <c r="E2033" s="17">
        <v>4</v>
      </c>
      <c r="F2033" s="17"/>
      <c r="G2033" s="687"/>
      <c r="H2033" s="707"/>
      <c r="I2033" s="707">
        <f t="shared" si="62"/>
        <v>0</v>
      </c>
      <c r="J2033" s="707">
        <f t="shared" si="63"/>
        <v>0</v>
      </c>
      <c r="K2033" s="70"/>
    </row>
    <row r="2034" spans="1:11" ht="24" customHeight="1">
      <c r="A2034" s="33" t="s">
        <v>1538</v>
      </c>
      <c r="B2034" s="33" t="s">
        <v>10</v>
      </c>
      <c r="C2034" s="33">
        <v>70</v>
      </c>
      <c r="D2034" s="33" t="s">
        <v>1494</v>
      </c>
      <c r="E2034" s="33">
        <v>2</v>
      </c>
      <c r="F2034" s="33"/>
      <c r="G2034" s="522"/>
      <c r="H2034" s="707">
        <v>10</v>
      </c>
      <c r="I2034" s="707">
        <f t="shared" si="62"/>
        <v>11.5</v>
      </c>
      <c r="J2034" s="707">
        <f t="shared" si="63"/>
        <v>13</v>
      </c>
      <c r="K2034" s="70"/>
    </row>
    <row r="2035" spans="1:11" ht="24" customHeight="1">
      <c r="A2035" s="10" t="s">
        <v>2883</v>
      </c>
      <c r="B2035" s="11" t="s">
        <v>10</v>
      </c>
      <c r="C2035" s="11">
        <v>11</v>
      </c>
      <c r="D2035" s="131" t="s">
        <v>2882</v>
      </c>
      <c r="E2035" s="15">
        <v>1</v>
      </c>
      <c r="F2035" s="15"/>
      <c r="G2035" s="684"/>
      <c r="H2035" s="707">
        <v>15</v>
      </c>
      <c r="I2035" s="707">
        <f t="shared" si="62"/>
        <v>17.25</v>
      </c>
      <c r="J2035" s="707">
        <f t="shared" si="63"/>
        <v>19.5</v>
      </c>
      <c r="K2035" s="70"/>
    </row>
    <row r="2036" spans="1:11" ht="24" customHeight="1">
      <c r="A2036" s="33" t="s">
        <v>2220</v>
      </c>
      <c r="B2036" s="33" t="s">
        <v>10</v>
      </c>
      <c r="C2036" s="33">
        <v>6</v>
      </c>
      <c r="D2036" s="33" t="s">
        <v>2191</v>
      </c>
      <c r="E2036" s="33">
        <v>4</v>
      </c>
      <c r="F2036" s="33"/>
      <c r="G2036" s="522"/>
      <c r="H2036" s="707">
        <v>1</v>
      </c>
      <c r="I2036" s="707">
        <f t="shared" si="62"/>
        <v>1.1499999999999999</v>
      </c>
      <c r="J2036" s="707">
        <f t="shared" si="63"/>
        <v>1.3</v>
      </c>
      <c r="K2036" s="70"/>
    </row>
    <row r="2037" spans="1:11" ht="24" customHeight="1">
      <c r="A2037" s="10" t="s">
        <v>2881</v>
      </c>
      <c r="B2037" s="11" t="s">
        <v>10</v>
      </c>
      <c r="C2037" s="11">
        <v>31</v>
      </c>
      <c r="D2037" s="131" t="s">
        <v>2882</v>
      </c>
      <c r="E2037" s="15">
        <v>1</v>
      </c>
      <c r="F2037" s="15"/>
      <c r="G2037" s="684"/>
      <c r="H2037" s="707"/>
      <c r="I2037" s="707">
        <f t="shared" si="62"/>
        <v>0</v>
      </c>
      <c r="J2037" s="707">
        <f t="shared" si="63"/>
        <v>0</v>
      </c>
      <c r="K2037" s="70"/>
    </row>
    <row r="2038" spans="1:11" ht="24" customHeight="1">
      <c r="A2038" s="74" t="s">
        <v>1316</v>
      </c>
      <c r="B2038" s="74" t="s">
        <v>96</v>
      </c>
      <c r="C2038" s="74">
        <v>48</v>
      </c>
      <c r="D2038" s="33" t="s">
        <v>1201</v>
      </c>
      <c r="E2038" s="33">
        <v>5</v>
      </c>
      <c r="F2038" s="33"/>
      <c r="G2038" s="522"/>
      <c r="H2038" s="707"/>
      <c r="I2038" s="707">
        <f t="shared" si="62"/>
        <v>0</v>
      </c>
      <c r="J2038" s="707">
        <f t="shared" si="63"/>
        <v>0</v>
      </c>
      <c r="K2038" s="70"/>
    </row>
    <row r="2039" spans="1:11" ht="24" customHeight="1">
      <c r="A2039" s="33" t="s">
        <v>3186</v>
      </c>
      <c r="B2039" s="71" t="s">
        <v>1016</v>
      </c>
      <c r="C2039" s="71">
        <v>19</v>
      </c>
      <c r="D2039" s="33" t="s">
        <v>3053</v>
      </c>
      <c r="E2039" s="71">
        <v>4</v>
      </c>
      <c r="F2039" s="71"/>
      <c r="G2039" s="686"/>
      <c r="H2039" s="707"/>
      <c r="I2039" s="707">
        <f t="shared" si="62"/>
        <v>0</v>
      </c>
      <c r="J2039" s="707">
        <f t="shared" si="63"/>
        <v>0</v>
      </c>
      <c r="K2039" s="70"/>
    </row>
    <row r="2040" spans="1:11" ht="24" customHeight="1">
      <c r="A2040" s="2" t="s">
        <v>3689</v>
      </c>
      <c r="B2040" s="2" t="s">
        <v>10</v>
      </c>
      <c r="C2040" s="2">
        <v>3</v>
      </c>
      <c r="D2040" s="2" t="s">
        <v>3671</v>
      </c>
      <c r="E2040" s="33">
        <v>2</v>
      </c>
      <c r="F2040" s="33"/>
      <c r="G2040" s="522"/>
      <c r="H2040" s="707"/>
      <c r="I2040" s="707">
        <f t="shared" si="62"/>
        <v>0</v>
      </c>
      <c r="J2040" s="707">
        <f t="shared" si="63"/>
        <v>0</v>
      </c>
      <c r="K2040" s="70"/>
    </row>
    <row r="2041" spans="1:11" ht="24" customHeight="1">
      <c r="A2041" s="2" t="s">
        <v>3549</v>
      </c>
      <c r="B2041" s="2" t="s">
        <v>10</v>
      </c>
      <c r="C2041" s="2">
        <v>50</v>
      </c>
      <c r="D2041" s="2" t="s">
        <v>3548</v>
      </c>
      <c r="E2041" s="33">
        <v>5</v>
      </c>
      <c r="F2041" s="33"/>
      <c r="G2041" s="522"/>
      <c r="H2041" s="707"/>
      <c r="I2041" s="707">
        <f t="shared" si="62"/>
        <v>0</v>
      </c>
      <c r="J2041" s="707">
        <f t="shared" si="63"/>
        <v>0</v>
      </c>
      <c r="K2041" s="70"/>
    </row>
    <row r="2042" spans="1:11" ht="24" customHeight="1">
      <c r="A2042" s="10" t="s">
        <v>3496</v>
      </c>
      <c r="B2042" s="11" t="s">
        <v>41</v>
      </c>
      <c r="C2042" s="11">
        <v>16</v>
      </c>
      <c r="D2042" s="131" t="s">
        <v>3451</v>
      </c>
      <c r="E2042" s="15">
        <v>3</v>
      </c>
      <c r="F2042" s="15"/>
      <c r="G2042" s="684"/>
      <c r="H2042" s="707"/>
      <c r="I2042" s="707">
        <f t="shared" si="62"/>
        <v>0</v>
      </c>
      <c r="J2042" s="707">
        <f t="shared" si="63"/>
        <v>0</v>
      </c>
      <c r="K2042" s="70"/>
    </row>
    <row r="2043" spans="1:11" ht="24" customHeight="1">
      <c r="A2043" s="10" t="s">
        <v>3121</v>
      </c>
      <c r="B2043" s="34" t="s">
        <v>41</v>
      </c>
      <c r="C2043" s="11">
        <v>87</v>
      </c>
      <c r="D2043" s="33" t="s">
        <v>3053</v>
      </c>
      <c r="E2043" s="33">
        <v>3</v>
      </c>
      <c r="F2043" s="33"/>
      <c r="G2043" s="522"/>
      <c r="H2043" s="707"/>
      <c r="I2043" s="707">
        <f t="shared" si="62"/>
        <v>0</v>
      </c>
      <c r="J2043" s="707">
        <f t="shared" si="63"/>
        <v>0</v>
      </c>
      <c r="K2043" s="70"/>
    </row>
    <row r="2044" spans="1:11" ht="24" customHeight="1">
      <c r="A2044" s="11" t="s">
        <v>3160</v>
      </c>
      <c r="B2044" s="34" t="s">
        <v>41</v>
      </c>
      <c r="C2044" s="11">
        <v>353</v>
      </c>
      <c r="D2044" s="33" t="s">
        <v>3053</v>
      </c>
      <c r="E2044" s="33">
        <v>3</v>
      </c>
      <c r="F2044" s="33"/>
      <c r="G2044" s="522"/>
      <c r="H2044" s="707">
        <v>2</v>
      </c>
      <c r="I2044" s="707">
        <f t="shared" si="62"/>
        <v>2.2999999999999998</v>
      </c>
      <c r="J2044" s="707">
        <f t="shared" si="63"/>
        <v>2.6</v>
      </c>
      <c r="K2044" s="70"/>
    </row>
    <row r="2045" spans="1:11" ht="24" customHeight="1">
      <c r="A2045" s="10" t="s">
        <v>3155</v>
      </c>
      <c r="B2045" s="34" t="s">
        <v>41</v>
      </c>
      <c r="C2045" s="11">
        <v>200</v>
      </c>
      <c r="D2045" s="33" t="s">
        <v>3053</v>
      </c>
      <c r="E2045" s="33">
        <v>3</v>
      </c>
      <c r="F2045" s="33"/>
      <c r="G2045" s="522"/>
      <c r="H2045" s="707"/>
      <c r="I2045" s="707">
        <f t="shared" si="62"/>
        <v>0</v>
      </c>
      <c r="J2045" s="707">
        <f t="shared" si="63"/>
        <v>0</v>
      </c>
      <c r="K2045" s="70"/>
    </row>
    <row r="2046" spans="1:11" ht="24" customHeight="1">
      <c r="A2046" s="11" t="s">
        <v>3147</v>
      </c>
      <c r="B2046" s="34" t="s">
        <v>41</v>
      </c>
      <c r="C2046" s="11">
        <v>250</v>
      </c>
      <c r="D2046" s="33" t="s">
        <v>3053</v>
      </c>
      <c r="E2046" s="33">
        <v>3</v>
      </c>
      <c r="F2046" s="33"/>
      <c r="G2046" s="522"/>
      <c r="H2046" s="707"/>
      <c r="I2046" s="707">
        <f t="shared" si="62"/>
        <v>0</v>
      </c>
      <c r="J2046" s="707">
        <f t="shared" si="63"/>
        <v>0</v>
      </c>
      <c r="K2046" s="70"/>
    </row>
    <row r="2047" spans="1:11" ht="24" customHeight="1">
      <c r="A2047" s="10" t="s">
        <v>3129</v>
      </c>
      <c r="B2047" s="34" t="s">
        <v>41</v>
      </c>
      <c r="C2047" s="11">
        <v>100</v>
      </c>
      <c r="D2047" s="33" t="s">
        <v>3053</v>
      </c>
      <c r="E2047" s="33">
        <v>3</v>
      </c>
      <c r="F2047" s="33"/>
      <c r="G2047" s="522"/>
      <c r="H2047" s="707"/>
      <c r="I2047" s="707">
        <f t="shared" si="62"/>
        <v>0</v>
      </c>
      <c r="J2047" s="707">
        <f t="shared" si="63"/>
        <v>0</v>
      </c>
      <c r="K2047" s="70"/>
    </row>
    <row r="2048" spans="1:11" ht="24" customHeight="1">
      <c r="A2048" s="10" t="s">
        <v>3139</v>
      </c>
      <c r="B2048" s="34" t="s">
        <v>41</v>
      </c>
      <c r="C2048" s="11">
        <v>200</v>
      </c>
      <c r="D2048" s="33" t="s">
        <v>3053</v>
      </c>
      <c r="E2048" s="33">
        <v>3</v>
      </c>
      <c r="F2048" s="33"/>
      <c r="G2048" s="522"/>
      <c r="H2048" s="707"/>
      <c r="I2048" s="707">
        <f t="shared" si="62"/>
        <v>0</v>
      </c>
      <c r="J2048" s="707">
        <f t="shared" si="63"/>
        <v>0</v>
      </c>
      <c r="K2048" s="70"/>
    </row>
    <row r="2049" spans="1:11" ht="24" customHeight="1">
      <c r="A2049" s="3" t="s">
        <v>3022</v>
      </c>
      <c r="B2049" s="3" t="s">
        <v>41</v>
      </c>
      <c r="C2049" s="3">
        <v>89</v>
      </c>
      <c r="D2049" s="71" t="s">
        <v>2947</v>
      </c>
      <c r="E2049" s="354">
        <v>5</v>
      </c>
      <c r="F2049" s="354"/>
      <c r="G2049" s="688"/>
      <c r="H2049" s="707"/>
      <c r="I2049" s="707">
        <f t="shared" si="62"/>
        <v>0</v>
      </c>
      <c r="J2049" s="707">
        <f t="shared" si="63"/>
        <v>0</v>
      </c>
      <c r="K2049" s="70"/>
    </row>
    <row r="2050" spans="1:11" ht="24" customHeight="1">
      <c r="A2050" s="3" t="s">
        <v>3019</v>
      </c>
      <c r="B2050" s="3" t="s">
        <v>41</v>
      </c>
      <c r="C2050" s="3">
        <v>105</v>
      </c>
      <c r="D2050" s="71" t="s">
        <v>2947</v>
      </c>
      <c r="E2050" s="354">
        <v>5</v>
      </c>
      <c r="F2050" s="354"/>
      <c r="G2050" s="688"/>
      <c r="H2050" s="707"/>
      <c r="I2050" s="707">
        <f t="shared" si="62"/>
        <v>0</v>
      </c>
      <c r="J2050" s="707">
        <f t="shared" si="63"/>
        <v>0</v>
      </c>
      <c r="K2050" s="70"/>
    </row>
    <row r="2051" spans="1:11" ht="24" customHeight="1">
      <c r="A2051" s="3" t="s">
        <v>2994</v>
      </c>
      <c r="B2051" s="59" t="s">
        <v>14</v>
      </c>
      <c r="C2051" s="59">
        <v>2</v>
      </c>
      <c r="D2051" s="71" t="s">
        <v>2947</v>
      </c>
      <c r="E2051" s="354">
        <v>5</v>
      </c>
      <c r="F2051" s="354"/>
      <c r="G2051" s="688"/>
      <c r="H2051" s="707">
        <v>12</v>
      </c>
      <c r="I2051" s="707">
        <f t="shared" ref="I2051:I2114" si="64">H2051 * 1.15</f>
        <v>13.799999999999999</v>
      </c>
      <c r="J2051" s="707">
        <f t="shared" ref="J2051:J2114" si="65">H2051 * 1.3</f>
        <v>15.600000000000001</v>
      </c>
      <c r="K2051" s="70" t="s">
        <v>51</v>
      </c>
    </row>
    <row r="2052" spans="1:11" ht="24" customHeight="1">
      <c r="A2052" s="33" t="s">
        <v>2656</v>
      </c>
      <c r="B2052" s="33" t="s">
        <v>1926</v>
      </c>
      <c r="C2052" s="33">
        <v>2</v>
      </c>
      <c r="D2052" s="33" t="s">
        <v>2624</v>
      </c>
      <c r="E2052" s="33">
        <v>4</v>
      </c>
      <c r="F2052" s="33"/>
      <c r="G2052" s="522"/>
      <c r="H2052" s="707"/>
      <c r="I2052" s="707">
        <f t="shared" si="64"/>
        <v>0</v>
      </c>
      <c r="J2052" s="707">
        <f t="shared" si="65"/>
        <v>0</v>
      </c>
      <c r="K2052" s="70"/>
    </row>
    <row r="2053" spans="1:11" ht="24" customHeight="1">
      <c r="A2053" s="10" t="s">
        <v>3080</v>
      </c>
      <c r="B2053" s="34" t="s">
        <v>3081</v>
      </c>
      <c r="C2053" s="11">
        <v>1</v>
      </c>
      <c r="D2053" s="33" t="s">
        <v>3053</v>
      </c>
      <c r="E2053" s="17">
        <v>2</v>
      </c>
      <c r="F2053" s="17"/>
      <c r="G2053" s="687"/>
      <c r="H2053" s="707"/>
      <c r="I2053" s="707">
        <f t="shared" si="64"/>
        <v>0</v>
      </c>
      <c r="J2053" s="707">
        <f t="shared" si="65"/>
        <v>0</v>
      </c>
      <c r="K2053" s="70"/>
    </row>
    <row r="2054" spans="1:11" ht="24" customHeight="1">
      <c r="A2054" s="3" t="s">
        <v>3234</v>
      </c>
      <c r="B2054" s="59" t="s">
        <v>867</v>
      </c>
      <c r="C2054" s="59">
        <v>2</v>
      </c>
      <c r="D2054" s="33" t="s">
        <v>3053</v>
      </c>
      <c r="E2054" s="354">
        <v>5</v>
      </c>
      <c r="F2054" s="354"/>
      <c r="G2054" s="688"/>
      <c r="H2054" s="707"/>
      <c r="I2054" s="707">
        <f t="shared" si="64"/>
        <v>0</v>
      </c>
      <c r="J2054" s="707">
        <f t="shared" si="65"/>
        <v>0</v>
      </c>
      <c r="K2054" s="70"/>
    </row>
    <row r="2055" spans="1:11" ht="24" customHeight="1">
      <c r="A2055" s="10" t="s">
        <v>3458</v>
      </c>
      <c r="B2055" s="11" t="s">
        <v>43</v>
      </c>
      <c r="C2055" s="11">
        <v>1</v>
      </c>
      <c r="D2055" s="131" t="s">
        <v>3451</v>
      </c>
      <c r="E2055" s="15">
        <v>2</v>
      </c>
      <c r="F2055" s="15"/>
      <c r="G2055" s="684"/>
      <c r="H2055" s="707"/>
      <c r="I2055" s="707">
        <f t="shared" si="64"/>
        <v>0</v>
      </c>
      <c r="J2055" s="707">
        <f t="shared" si="65"/>
        <v>0</v>
      </c>
      <c r="K2055" s="70"/>
    </row>
    <row r="2056" spans="1:11" ht="24" customHeight="1">
      <c r="A2056" s="33" t="s">
        <v>3285</v>
      </c>
      <c r="B2056" s="33" t="s">
        <v>3286</v>
      </c>
      <c r="C2056" s="33">
        <v>4</v>
      </c>
      <c r="D2056" s="33" t="s">
        <v>3279</v>
      </c>
      <c r="E2056" s="33">
        <v>3</v>
      </c>
      <c r="F2056" s="33"/>
      <c r="G2056" s="522"/>
      <c r="H2056" s="707"/>
      <c r="I2056" s="707">
        <f t="shared" si="64"/>
        <v>0</v>
      </c>
      <c r="J2056" s="707">
        <f t="shared" si="65"/>
        <v>0</v>
      </c>
      <c r="K2056" s="70"/>
    </row>
    <row r="2057" spans="1:11" ht="24" customHeight="1">
      <c r="A2057" s="10" t="s">
        <v>3085</v>
      </c>
      <c r="B2057" s="34" t="s">
        <v>150</v>
      </c>
      <c r="C2057" s="11">
        <v>4</v>
      </c>
      <c r="D2057" s="33" t="s">
        <v>3053</v>
      </c>
      <c r="E2057" s="17">
        <v>2</v>
      </c>
      <c r="F2057" s="17"/>
      <c r="G2057" s="687"/>
      <c r="H2057" s="707"/>
      <c r="I2057" s="707">
        <f t="shared" si="64"/>
        <v>0</v>
      </c>
      <c r="J2057" s="707">
        <f t="shared" si="65"/>
        <v>0</v>
      </c>
      <c r="K2057" s="70"/>
    </row>
    <row r="2058" spans="1:11" ht="24" customHeight="1">
      <c r="A2058" s="33" t="s">
        <v>1029</v>
      </c>
      <c r="B2058" s="33" t="s">
        <v>1030</v>
      </c>
      <c r="C2058" s="33">
        <v>2</v>
      </c>
      <c r="D2058" s="33" t="s">
        <v>992</v>
      </c>
      <c r="E2058" s="33">
        <v>3</v>
      </c>
      <c r="F2058" s="33"/>
      <c r="G2058" s="522"/>
      <c r="H2058" s="707"/>
      <c r="I2058" s="707">
        <f t="shared" si="64"/>
        <v>0</v>
      </c>
      <c r="J2058" s="707">
        <f t="shared" si="65"/>
        <v>0</v>
      </c>
      <c r="K2058" s="70"/>
    </row>
    <row r="2059" spans="1:11" ht="24" customHeight="1">
      <c r="A2059" s="33" t="s">
        <v>1029</v>
      </c>
      <c r="B2059" s="33" t="s">
        <v>150</v>
      </c>
      <c r="C2059" s="33">
        <v>5</v>
      </c>
      <c r="D2059" s="33" t="s">
        <v>1548</v>
      </c>
      <c r="E2059" s="33">
        <v>4</v>
      </c>
      <c r="F2059" s="33"/>
      <c r="G2059" s="522"/>
      <c r="H2059" s="707"/>
      <c r="I2059" s="707">
        <f t="shared" si="64"/>
        <v>0</v>
      </c>
      <c r="J2059" s="707">
        <f t="shared" si="65"/>
        <v>0</v>
      </c>
      <c r="K2059" s="70"/>
    </row>
    <row r="2060" spans="1:11" ht="24" customHeight="1">
      <c r="A2060" s="74" t="s">
        <v>2434</v>
      </c>
      <c r="B2060" s="74" t="s">
        <v>115</v>
      </c>
      <c r="C2060" s="74">
        <v>1</v>
      </c>
      <c r="D2060" s="33" t="s">
        <v>2363</v>
      </c>
      <c r="E2060" s="33">
        <v>5</v>
      </c>
      <c r="F2060" s="33"/>
      <c r="G2060" s="522"/>
      <c r="H2060" s="707"/>
      <c r="I2060" s="707">
        <f t="shared" si="64"/>
        <v>0</v>
      </c>
      <c r="J2060" s="707">
        <f t="shared" si="65"/>
        <v>0</v>
      </c>
      <c r="K2060" s="70"/>
    </row>
    <row r="2061" spans="1:11" ht="24" customHeight="1">
      <c r="A2061" s="33" t="s">
        <v>2097</v>
      </c>
      <c r="B2061" s="33" t="s">
        <v>83</v>
      </c>
      <c r="C2061" s="33">
        <v>2</v>
      </c>
      <c r="D2061" s="33" t="s">
        <v>2094</v>
      </c>
      <c r="E2061" s="33">
        <v>5</v>
      </c>
      <c r="F2061" s="33"/>
      <c r="G2061" s="522"/>
      <c r="H2061" s="707"/>
      <c r="I2061" s="707">
        <f t="shared" si="64"/>
        <v>0</v>
      </c>
      <c r="J2061" s="707">
        <f t="shared" si="65"/>
        <v>0</v>
      </c>
      <c r="K2061" s="70"/>
    </row>
    <row r="2062" spans="1:11" ht="24" customHeight="1">
      <c r="A2062" s="33" t="s">
        <v>3312</v>
      </c>
      <c r="B2062" s="33" t="s">
        <v>81</v>
      </c>
      <c r="C2062" s="33">
        <v>12</v>
      </c>
      <c r="D2062" s="33" t="s">
        <v>3279</v>
      </c>
      <c r="E2062" s="33">
        <v>4</v>
      </c>
      <c r="F2062" s="33"/>
      <c r="G2062" s="522"/>
      <c r="H2062" s="707">
        <v>3</v>
      </c>
      <c r="I2062" s="707">
        <f t="shared" si="64"/>
        <v>3.4499999999999997</v>
      </c>
      <c r="J2062" s="707">
        <f t="shared" si="65"/>
        <v>3.9000000000000004</v>
      </c>
      <c r="K2062" s="70" t="s">
        <v>51</v>
      </c>
    </row>
    <row r="2063" spans="1:11" ht="24" customHeight="1">
      <c r="A2063" s="33" t="s">
        <v>1686</v>
      </c>
      <c r="B2063" s="33" t="s">
        <v>27</v>
      </c>
      <c r="C2063" s="33">
        <v>4</v>
      </c>
      <c r="D2063" s="131" t="s">
        <v>1681</v>
      </c>
      <c r="E2063" s="33">
        <v>3</v>
      </c>
      <c r="F2063" s="33"/>
      <c r="G2063" s="522"/>
      <c r="H2063" s="707"/>
      <c r="I2063" s="707">
        <f t="shared" si="64"/>
        <v>0</v>
      </c>
      <c r="J2063" s="707">
        <f t="shared" si="65"/>
        <v>0</v>
      </c>
      <c r="K2063" s="70"/>
    </row>
    <row r="2064" spans="1:11" ht="24" customHeight="1">
      <c r="A2064" s="2" t="s">
        <v>104</v>
      </c>
      <c r="B2064" s="2" t="s">
        <v>105</v>
      </c>
      <c r="C2064" s="2">
        <v>8</v>
      </c>
      <c r="D2064" s="2" t="s">
        <v>11</v>
      </c>
      <c r="E2064" s="33">
        <v>2</v>
      </c>
      <c r="F2064" s="33"/>
      <c r="G2064" s="522"/>
      <c r="H2064" s="707"/>
      <c r="I2064" s="707">
        <f t="shared" si="64"/>
        <v>0</v>
      </c>
      <c r="J2064" s="707">
        <f t="shared" si="65"/>
        <v>0</v>
      </c>
      <c r="K2064" s="70"/>
    </row>
    <row r="2065" spans="1:11" ht="24" customHeight="1">
      <c r="A2065" s="33" t="s">
        <v>1539</v>
      </c>
      <c r="B2065" s="33" t="s">
        <v>1540</v>
      </c>
      <c r="C2065" s="33">
        <v>4</v>
      </c>
      <c r="D2065" s="33" t="s">
        <v>1494</v>
      </c>
      <c r="E2065" s="33">
        <v>2</v>
      </c>
      <c r="F2065" s="33"/>
      <c r="G2065" s="522"/>
      <c r="H2065" s="707"/>
      <c r="I2065" s="707">
        <f t="shared" si="64"/>
        <v>0</v>
      </c>
      <c r="J2065" s="707">
        <f t="shared" si="65"/>
        <v>0</v>
      </c>
      <c r="K2065" s="70"/>
    </row>
    <row r="2066" spans="1:11" ht="24" customHeight="1">
      <c r="A2066" s="33" t="s">
        <v>1634</v>
      </c>
      <c r="B2066" s="33" t="s">
        <v>34</v>
      </c>
      <c r="C2066" s="33">
        <v>1</v>
      </c>
      <c r="D2066" s="33" t="s">
        <v>1548</v>
      </c>
      <c r="E2066" s="33">
        <v>4</v>
      </c>
      <c r="F2066" s="33"/>
      <c r="G2066" s="522"/>
      <c r="H2066" s="707">
        <v>6</v>
      </c>
      <c r="I2066" s="707">
        <f t="shared" si="64"/>
        <v>6.8999999999999995</v>
      </c>
      <c r="J2066" s="707">
        <f t="shared" si="65"/>
        <v>7.8000000000000007</v>
      </c>
      <c r="K2066" s="70"/>
    </row>
    <row r="2067" spans="1:11" ht="24" customHeight="1">
      <c r="A2067" s="17" t="s">
        <v>3512</v>
      </c>
      <c r="B2067" s="17" t="s">
        <v>3513</v>
      </c>
      <c r="C2067" s="17">
        <v>5</v>
      </c>
      <c r="D2067" s="131" t="s">
        <v>3451</v>
      </c>
      <c r="E2067" s="15">
        <v>3</v>
      </c>
      <c r="F2067" s="15"/>
      <c r="G2067" s="684"/>
      <c r="H2067" s="707"/>
      <c r="I2067" s="707">
        <f t="shared" si="64"/>
        <v>0</v>
      </c>
      <c r="J2067" s="707">
        <f t="shared" si="65"/>
        <v>0</v>
      </c>
      <c r="K2067" s="70"/>
    </row>
    <row r="2068" spans="1:11" ht="24" customHeight="1">
      <c r="A2068" s="33" t="s">
        <v>3287</v>
      </c>
      <c r="B2068" s="33" t="s">
        <v>3288</v>
      </c>
      <c r="C2068" s="33">
        <v>1</v>
      </c>
      <c r="D2068" s="33" t="s">
        <v>3279</v>
      </c>
      <c r="E2068" s="33">
        <v>3</v>
      </c>
      <c r="F2068" s="33"/>
      <c r="G2068" s="522"/>
      <c r="H2068" s="707">
        <v>250</v>
      </c>
      <c r="I2068" s="707">
        <f t="shared" si="64"/>
        <v>287.5</v>
      </c>
      <c r="J2068" s="707">
        <f t="shared" si="65"/>
        <v>325</v>
      </c>
      <c r="K2068" s="70"/>
    </row>
    <row r="2069" spans="1:11" ht="24" customHeight="1">
      <c r="A2069" s="33" t="s">
        <v>3318</v>
      </c>
      <c r="B2069" s="33" t="s">
        <v>474</v>
      </c>
      <c r="C2069" s="33">
        <v>2</v>
      </c>
      <c r="D2069" s="33" t="s">
        <v>3279</v>
      </c>
      <c r="E2069" s="33">
        <v>4</v>
      </c>
      <c r="F2069" s="33"/>
      <c r="G2069" s="522"/>
      <c r="H2069" s="707"/>
      <c r="I2069" s="707">
        <f t="shared" si="64"/>
        <v>0</v>
      </c>
      <c r="J2069" s="707">
        <f t="shared" si="65"/>
        <v>0</v>
      </c>
      <c r="K2069" s="70"/>
    </row>
    <row r="2070" spans="1:11" ht="24" customHeight="1">
      <c r="A2070" s="33" t="s">
        <v>1508</v>
      </c>
      <c r="B2070" s="33" t="s">
        <v>1509</v>
      </c>
      <c r="C2070" s="33">
        <v>1</v>
      </c>
      <c r="D2070" s="33" t="s">
        <v>1494</v>
      </c>
      <c r="E2070" s="33">
        <v>1</v>
      </c>
      <c r="F2070" s="33"/>
      <c r="G2070" s="522"/>
      <c r="H2070" s="707">
        <v>350</v>
      </c>
      <c r="I2070" s="707">
        <f t="shared" si="64"/>
        <v>402.49999999999994</v>
      </c>
      <c r="J2070" s="707">
        <f t="shared" si="65"/>
        <v>455</v>
      </c>
      <c r="K2070" s="70"/>
    </row>
    <row r="2071" spans="1:11" ht="24" customHeight="1">
      <c r="A2071" s="33" t="s">
        <v>1508</v>
      </c>
      <c r="B2071" s="33" t="s">
        <v>1509</v>
      </c>
      <c r="C2071" s="33">
        <v>1</v>
      </c>
      <c r="D2071" s="71" t="s">
        <v>2947</v>
      </c>
      <c r="E2071" s="33">
        <v>4</v>
      </c>
      <c r="F2071" s="33"/>
      <c r="G2071" s="522"/>
      <c r="H2071" s="707">
        <v>350</v>
      </c>
      <c r="I2071" s="707">
        <f t="shared" si="64"/>
        <v>402.49999999999994</v>
      </c>
      <c r="J2071" s="707">
        <f t="shared" si="65"/>
        <v>455</v>
      </c>
      <c r="K2071" s="70"/>
    </row>
    <row r="2072" spans="1:11" ht="24" customHeight="1">
      <c r="A2072" s="59" t="s">
        <v>1508</v>
      </c>
      <c r="B2072" s="59" t="s">
        <v>3221</v>
      </c>
      <c r="C2072" s="59">
        <v>2</v>
      </c>
      <c r="D2072" s="33" t="s">
        <v>3053</v>
      </c>
      <c r="E2072" s="354">
        <v>5</v>
      </c>
      <c r="F2072" s="354"/>
      <c r="G2072" s="688"/>
      <c r="H2072" s="707">
        <v>350</v>
      </c>
      <c r="I2072" s="707">
        <f t="shared" si="64"/>
        <v>402.49999999999994</v>
      </c>
      <c r="J2072" s="707">
        <f t="shared" si="65"/>
        <v>455</v>
      </c>
      <c r="K2072" s="70"/>
    </row>
    <row r="2073" spans="1:11" ht="24" customHeight="1">
      <c r="A2073" s="33" t="s">
        <v>3207</v>
      </c>
      <c r="B2073" s="33" t="s">
        <v>83</v>
      </c>
      <c r="C2073" s="33">
        <v>1</v>
      </c>
      <c r="D2073" s="33" t="s">
        <v>3053</v>
      </c>
      <c r="E2073" s="33">
        <v>4</v>
      </c>
      <c r="F2073" s="33"/>
      <c r="G2073" s="522"/>
      <c r="H2073" s="708"/>
      <c r="I2073" s="707">
        <f t="shared" si="64"/>
        <v>0</v>
      </c>
      <c r="J2073" s="708">
        <f t="shared" si="65"/>
        <v>0</v>
      </c>
      <c r="K2073" s="70"/>
    </row>
    <row r="2074" spans="1:11" ht="24" customHeight="1">
      <c r="A2074" s="33" t="s">
        <v>3207</v>
      </c>
      <c r="B2074" s="33" t="s">
        <v>83</v>
      </c>
      <c r="C2074" s="33">
        <v>10</v>
      </c>
      <c r="D2074" s="33" t="s">
        <v>3348</v>
      </c>
      <c r="E2074" s="33">
        <v>3</v>
      </c>
      <c r="F2074" s="33"/>
      <c r="G2074" s="522"/>
      <c r="H2074" s="707">
        <v>50</v>
      </c>
      <c r="I2074" s="707">
        <f t="shared" si="64"/>
        <v>57.499999999999993</v>
      </c>
      <c r="J2074" s="707">
        <f t="shared" si="65"/>
        <v>65</v>
      </c>
      <c r="K2074" s="70"/>
    </row>
    <row r="2075" spans="1:11" ht="24" customHeight="1">
      <c r="A2075" s="2" t="s">
        <v>3346</v>
      </c>
      <c r="B2075" s="2" t="s">
        <v>83</v>
      </c>
      <c r="C2075" s="2">
        <v>1</v>
      </c>
      <c r="D2075" s="33" t="s">
        <v>3338</v>
      </c>
      <c r="E2075" s="33">
        <v>2</v>
      </c>
      <c r="F2075" s="33"/>
      <c r="G2075" s="522"/>
      <c r="H2075" s="707"/>
      <c r="I2075" s="707">
        <f t="shared" si="64"/>
        <v>0</v>
      </c>
      <c r="J2075" s="707">
        <f t="shared" si="65"/>
        <v>0</v>
      </c>
      <c r="K2075" s="70"/>
    </row>
    <row r="2076" spans="1:11" ht="24" customHeight="1">
      <c r="A2076" s="33" t="s">
        <v>1261</v>
      </c>
      <c r="B2076" s="33" t="s">
        <v>83</v>
      </c>
      <c r="C2076" s="33">
        <v>1</v>
      </c>
      <c r="D2076" s="33" t="s">
        <v>1201</v>
      </c>
      <c r="E2076" s="33">
        <v>4</v>
      </c>
      <c r="F2076" s="33"/>
      <c r="G2076" s="522"/>
      <c r="H2076" s="707"/>
      <c r="I2076" s="707">
        <f t="shared" si="64"/>
        <v>0</v>
      </c>
      <c r="J2076" s="707">
        <f t="shared" si="65"/>
        <v>0</v>
      </c>
      <c r="K2076" s="70"/>
    </row>
    <row r="2077" spans="1:11" ht="24" customHeight="1">
      <c r="A2077" s="33" t="s">
        <v>2563</v>
      </c>
      <c r="B2077" s="33" t="s">
        <v>83</v>
      </c>
      <c r="C2077" s="33">
        <v>1</v>
      </c>
      <c r="D2077" s="33" t="s">
        <v>2540</v>
      </c>
      <c r="E2077" s="33">
        <v>1</v>
      </c>
      <c r="F2077" s="33"/>
      <c r="G2077" s="522"/>
      <c r="H2077" s="707">
        <v>30</v>
      </c>
      <c r="I2077" s="707">
        <f t="shared" si="64"/>
        <v>34.5</v>
      </c>
      <c r="J2077" s="707">
        <f t="shared" si="65"/>
        <v>39</v>
      </c>
      <c r="K2077" s="70"/>
    </row>
    <row r="2078" spans="1:11" ht="24" customHeight="1">
      <c r="A2078" s="11" t="s">
        <v>3455</v>
      </c>
      <c r="B2078" s="11" t="s">
        <v>83</v>
      </c>
      <c r="C2078" s="11">
        <v>2</v>
      </c>
      <c r="D2078" s="131" t="s">
        <v>3451</v>
      </c>
      <c r="E2078" s="15">
        <v>2</v>
      </c>
      <c r="F2078" s="15"/>
      <c r="G2078" s="684"/>
      <c r="H2078" s="707"/>
      <c r="I2078" s="707">
        <f t="shared" si="64"/>
        <v>0</v>
      </c>
      <c r="J2078" s="707">
        <f t="shared" si="65"/>
        <v>0</v>
      </c>
      <c r="K2078" s="70"/>
    </row>
    <row r="2079" spans="1:11" ht="24" customHeight="1">
      <c r="A2079" s="33" t="s">
        <v>1291</v>
      </c>
      <c r="B2079" s="33" t="s">
        <v>83</v>
      </c>
      <c r="C2079" s="33">
        <v>1</v>
      </c>
      <c r="D2079" s="33" t="s">
        <v>1201</v>
      </c>
      <c r="E2079" s="33">
        <v>4</v>
      </c>
      <c r="F2079" s="33"/>
      <c r="G2079" s="522"/>
      <c r="H2079" s="707"/>
      <c r="I2079" s="707">
        <f t="shared" si="64"/>
        <v>0</v>
      </c>
      <c r="J2079" s="707">
        <f t="shared" si="65"/>
        <v>0</v>
      </c>
      <c r="K2079" s="70"/>
    </row>
    <row r="2080" spans="1:11" ht="24" customHeight="1">
      <c r="A2080" s="33" t="s">
        <v>1291</v>
      </c>
      <c r="B2080" s="33" t="s">
        <v>83</v>
      </c>
      <c r="C2080" s="33">
        <v>2</v>
      </c>
      <c r="D2080" s="33" t="s">
        <v>2540</v>
      </c>
      <c r="E2080" s="33">
        <v>1</v>
      </c>
      <c r="F2080" s="33"/>
      <c r="G2080" s="522"/>
      <c r="H2080" s="707"/>
      <c r="I2080" s="707">
        <f t="shared" si="64"/>
        <v>0</v>
      </c>
      <c r="J2080" s="707">
        <f t="shared" si="65"/>
        <v>0</v>
      </c>
      <c r="K2080" s="70"/>
    </row>
    <row r="2081" spans="1:11" ht="24" customHeight="1">
      <c r="A2081" s="33" t="s">
        <v>1992</v>
      </c>
      <c r="B2081" s="33" t="s">
        <v>83</v>
      </c>
      <c r="C2081" s="33">
        <v>1</v>
      </c>
      <c r="D2081" s="33" t="s">
        <v>1938</v>
      </c>
      <c r="E2081" s="33">
        <v>2</v>
      </c>
      <c r="F2081" s="33"/>
      <c r="G2081" s="522"/>
      <c r="H2081" s="707"/>
      <c r="I2081" s="707">
        <f t="shared" si="64"/>
        <v>0</v>
      </c>
      <c r="J2081" s="707">
        <f t="shared" si="65"/>
        <v>0</v>
      </c>
      <c r="K2081" s="70"/>
    </row>
    <row r="2082" spans="1:11" ht="24" customHeight="1">
      <c r="A2082" s="33" t="s">
        <v>461</v>
      </c>
      <c r="B2082" s="33" t="s">
        <v>272</v>
      </c>
      <c r="C2082" s="33">
        <v>3</v>
      </c>
      <c r="D2082" s="2" t="s">
        <v>274</v>
      </c>
      <c r="E2082" s="33">
        <v>3</v>
      </c>
      <c r="F2082" s="33"/>
      <c r="G2082" s="522"/>
      <c r="H2082" s="707"/>
      <c r="I2082" s="707">
        <f t="shared" si="64"/>
        <v>0</v>
      </c>
      <c r="J2082" s="707">
        <f t="shared" si="65"/>
        <v>0</v>
      </c>
      <c r="K2082" s="70"/>
    </row>
    <row r="2083" spans="1:11" ht="24" customHeight="1">
      <c r="A2083" s="59" t="s">
        <v>3243</v>
      </c>
      <c r="B2083" s="59" t="s">
        <v>272</v>
      </c>
      <c r="C2083" s="59">
        <v>2</v>
      </c>
      <c r="D2083" s="33" t="s">
        <v>3053</v>
      </c>
      <c r="E2083" s="354">
        <v>5</v>
      </c>
      <c r="F2083" s="354"/>
      <c r="G2083" s="688"/>
      <c r="H2083" s="707"/>
      <c r="I2083" s="707">
        <f t="shared" si="64"/>
        <v>0</v>
      </c>
      <c r="J2083" s="707">
        <f t="shared" si="65"/>
        <v>0</v>
      </c>
      <c r="K2083" s="70"/>
    </row>
    <row r="2084" spans="1:11" ht="24" customHeight="1">
      <c r="A2084" s="3" t="s">
        <v>2943</v>
      </c>
      <c r="B2084" s="3" t="s">
        <v>272</v>
      </c>
      <c r="C2084" s="3">
        <v>2</v>
      </c>
      <c r="D2084" s="15" t="s">
        <v>2918</v>
      </c>
      <c r="E2084" s="15">
        <v>1</v>
      </c>
      <c r="F2084" s="15"/>
      <c r="G2084" s="684"/>
      <c r="H2084" s="707"/>
      <c r="I2084" s="707">
        <f t="shared" si="64"/>
        <v>0</v>
      </c>
      <c r="J2084" s="707">
        <f t="shared" si="65"/>
        <v>0</v>
      </c>
      <c r="K2084" s="70"/>
    </row>
    <row r="2085" spans="1:11" ht="24" customHeight="1">
      <c r="A2085" s="74" t="s">
        <v>1445</v>
      </c>
      <c r="B2085" s="74" t="s">
        <v>1446</v>
      </c>
      <c r="C2085" s="74">
        <v>2</v>
      </c>
      <c r="D2085" s="33" t="s">
        <v>1372</v>
      </c>
      <c r="E2085" s="33">
        <v>5</v>
      </c>
      <c r="F2085" s="33"/>
      <c r="G2085" s="522"/>
      <c r="H2085" s="707"/>
      <c r="I2085" s="707">
        <f t="shared" si="64"/>
        <v>0</v>
      </c>
      <c r="J2085" s="707">
        <f t="shared" si="65"/>
        <v>0</v>
      </c>
      <c r="K2085" s="70"/>
    </row>
    <row r="2086" spans="1:11" ht="24" customHeight="1">
      <c r="A2086" s="2" t="s">
        <v>396</v>
      </c>
      <c r="B2086" s="2" t="s">
        <v>272</v>
      </c>
      <c r="C2086" s="2">
        <v>1</v>
      </c>
      <c r="D2086" s="2" t="s">
        <v>274</v>
      </c>
      <c r="E2086" s="33">
        <v>2</v>
      </c>
      <c r="F2086" s="33"/>
      <c r="G2086" s="522"/>
      <c r="H2086" s="707"/>
      <c r="I2086" s="707">
        <f t="shared" si="64"/>
        <v>0</v>
      </c>
      <c r="J2086" s="707">
        <f t="shared" si="65"/>
        <v>0</v>
      </c>
      <c r="K2086" s="70"/>
    </row>
    <row r="2087" spans="1:11" ht="24" customHeight="1">
      <c r="A2087" s="74" t="s">
        <v>2253</v>
      </c>
      <c r="B2087" s="74" t="s">
        <v>2254</v>
      </c>
      <c r="C2087" s="74">
        <v>4</v>
      </c>
      <c r="D2087" s="33" t="s">
        <v>2191</v>
      </c>
      <c r="E2087" s="33">
        <v>5</v>
      </c>
      <c r="F2087" s="33"/>
      <c r="G2087" s="522"/>
      <c r="H2087" s="707"/>
      <c r="I2087" s="707">
        <f t="shared" si="64"/>
        <v>0</v>
      </c>
      <c r="J2087" s="707">
        <f t="shared" si="65"/>
        <v>0</v>
      </c>
      <c r="K2087" s="70"/>
    </row>
    <row r="2088" spans="1:11" ht="24" customHeight="1">
      <c r="A2088" s="33" t="s">
        <v>1240</v>
      </c>
      <c r="B2088" s="33" t="s">
        <v>272</v>
      </c>
      <c r="C2088" s="33">
        <v>1</v>
      </c>
      <c r="D2088" s="33" t="s">
        <v>1201</v>
      </c>
      <c r="E2088" s="33">
        <v>4</v>
      </c>
      <c r="F2088" s="33"/>
      <c r="G2088" s="522"/>
      <c r="H2088" s="707"/>
      <c r="I2088" s="707">
        <f t="shared" si="64"/>
        <v>0</v>
      </c>
      <c r="J2088" s="707">
        <f t="shared" si="65"/>
        <v>0</v>
      </c>
      <c r="K2088" s="70"/>
    </row>
    <row r="2089" spans="1:11" ht="14.4">
      <c r="A2089" s="2" t="s">
        <v>635</v>
      </c>
      <c r="B2089" s="2" t="s">
        <v>265</v>
      </c>
      <c r="C2089" s="2">
        <v>20</v>
      </c>
      <c r="D2089" s="2" t="s">
        <v>593</v>
      </c>
      <c r="E2089" s="33">
        <v>1</v>
      </c>
      <c r="F2089" s="33"/>
      <c r="G2089" s="522"/>
      <c r="H2089" s="707"/>
      <c r="I2089" s="707">
        <f t="shared" si="64"/>
        <v>0</v>
      </c>
      <c r="J2089" s="707">
        <f t="shared" si="65"/>
        <v>0</v>
      </c>
      <c r="K2089" s="70"/>
    </row>
    <row r="2090" spans="1:11" ht="24" customHeight="1">
      <c r="A2090" s="33" t="s">
        <v>625</v>
      </c>
      <c r="B2090" s="33" t="s">
        <v>115</v>
      </c>
      <c r="C2090" s="33">
        <v>5</v>
      </c>
      <c r="D2090" s="2" t="s">
        <v>593</v>
      </c>
      <c r="E2090" s="33">
        <v>1</v>
      </c>
      <c r="F2090" s="33"/>
      <c r="G2090" s="522"/>
      <c r="H2090" s="707"/>
      <c r="I2090" s="707">
        <f t="shared" si="64"/>
        <v>0</v>
      </c>
      <c r="J2090" s="707">
        <f t="shared" si="65"/>
        <v>0</v>
      </c>
      <c r="K2090" s="70"/>
    </row>
    <row r="2091" spans="1:11" ht="24" customHeight="1">
      <c r="A2091" s="33" t="s">
        <v>449</v>
      </c>
      <c r="B2091" s="33" t="s">
        <v>115</v>
      </c>
      <c r="C2091" s="33">
        <v>6</v>
      </c>
      <c r="D2091" s="2" t="s">
        <v>274</v>
      </c>
      <c r="E2091" s="33">
        <v>3</v>
      </c>
      <c r="F2091" s="33"/>
      <c r="G2091" s="522"/>
      <c r="H2091" s="707"/>
      <c r="I2091" s="707">
        <f t="shared" si="64"/>
        <v>0</v>
      </c>
      <c r="J2091" s="707">
        <f t="shared" si="65"/>
        <v>0</v>
      </c>
      <c r="K2091" s="70"/>
    </row>
    <row r="2092" spans="1:11" ht="24" customHeight="1">
      <c r="A2092" s="17" t="s">
        <v>3518</v>
      </c>
      <c r="B2092" s="17" t="s">
        <v>115</v>
      </c>
      <c r="C2092" s="17">
        <v>8</v>
      </c>
      <c r="D2092" s="131" t="s">
        <v>3451</v>
      </c>
      <c r="E2092" s="15">
        <v>3</v>
      </c>
      <c r="F2092" s="15"/>
      <c r="G2092" s="684"/>
      <c r="H2092" s="707"/>
      <c r="I2092" s="707">
        <f t="shared" si="64"/>
        <v>0</v>
      </c>
      <c r="J2092" s="707">
        <f t="shared" si="65"/>
        <v>0</v>
      </c>
      <c r="K2092" s="70"/>
    </row>
    <row r="2093" spans="1:11" ht="24" customHeight="1">
      <c r="A2093" s="17" t="s">
        <v>3517</v>
      </c>
      <c r="B2093" s="17" t="s">
        <v>115</v>
      </c>
      <c r="C2093" s="17">
        <v>8</v>
      </c>
      <c r="D2093" s="131" t="s">
        <v>3451</v>
      </c>
      <c r="E2093" s="15">
        <v>3</v>
      </c>
      <c r="F2093" s="15"/>
      <c r="G2093" s="684"/>
      <c r="H2093" s="707"/>
      <c r="I2093" s="707">
        <f t="shared" si="64"/>
        <v>0</v>
      </c>
      <c r="J2093" s="707">
        <f t="shared" si="65"/>
        <v>0</v>
      </c>
      <c r="K2093" s="70"/>
    </row>
    <row r="2094" spans="1:11" ht="24" customHeight="1">
      <c r="A2094" s="33" t="s">
        <v>460</v>
      </c>
      <c r="B2094" s="33" t="s">
        <v>115</v>
      </c>
      <c r="C2094" s="33">
        <v>7</v>
      </c>
      <c r="D2094" s="2" t="s">
        <v>274</v>
      </c>
      <c r="E2094" s="33">
        <v>3</v>
      </c>
      <c r="F2094" s="33"/>
      <c r="G2094" s="522"/>
      <c r="H2094" s="707"/>
      <c r="I2094" s="707">
        <f t="shared" si="64"/>
        <v>0</v>
      </c>
      <c r="J2094" s="707">
        <f t="shared" si="65"/>
        <v>0</v>
      </c>
      <c r="K2094" s="70"/>
    </row>
    <row r="2095" spans="1:11" ht="24" customHeight="1">
      <c r="A2095" s="33" t="s">
        <v>1278</v>
      </c>
      <c r="B2095" s="33" t="s">
        <v>27</v>
      </c>
      <c r="C2095" s="33">
        <v>3</v>
      </c>
      <c r="D2095" s="33" t="s">
        <v>1201</v>
      </c>
      <c r="E2095" s="33">
        <v>4</v>
      </c>
      <c r="F2095" s="33"/>
      <c r="G2095" s="522"/>
      <c r="H2095" s="707"/>
      <c r="I2095" s="707">
        <f t="shared" si="64"/>
        <v>0</v>
      </c>
      <c r="J2095" s="707">
        <f t="shared" si="65"/>
        <v>0</v>
      </c>
      <c r="K2095" s="70"/>
    </row>
    <row r="2096" spans="1:11" ht="24" customHeight="1">
      <c r="A2096" s="33" t="s">
        <v>2070</v>
      </c>
      <c r="B2096" s="33" t="s">
        <v>27</v>
      </c>
      <c r="C2096" s="33">
        <v>3</v>
      </c>
      <c r="D2096" s="33" t="s">
        <v>2026</v>
      </c>
      <c r="E2096" s="33">
        <v>4</v>
      </c>
      <c r="F2096" s="33"/>
      <c r="G2096" s="522"/>
      <c r="H2096" s="707"/>
      <c r="I2096" s="707">
        <f t="shared" si="64"/>
        <v>0</v>
      </c>
      <c r="J2096" s="707">
        <f t="shared" si="65"/>
        <v>0</v>
      </c>
      <c r="K2096" s="70"/>
    </row>
    <row r="2097" spans="1:11" ht="24" customHeight="1">
      <c r="A2097" s="33" t="s">
        <v>2206</v>
      </c>
      <c r="B2097" s="33" t="s">
        <v>27</v>
      </c>
      <c r="C2097" s="33">
        <v>3</v>
      </c>
      <c r="D2097" s="33" t="s">
        <v>2191</v>
      </c>
      <c r="E2097" s="33">
        <v>4</v>
      </c>
      <c r="F2097" s="33"/>
      <c r="G2097" s="522"/>
      <c r="H2097" s="707"/>
      <c r="I2097" s="707">
        <f t="shared" si="64"/>
        <v>0</v>
      </c>
      <c r="J2097" s="707">
        <f t="shared" si="65"/>
        <v>0</v>
      </c>
      <c r="K2097" s="70"/>
    </row>
    <row r="2098" spans="1:11" ht="24" customHeight="1">
      <c r="A2098" s="2" t="s">
        <v>317</v>
      </c>
      <c r="B2098" s="2" t="s">
        <v>108</v>
      </c>
      <c r="C2098" s="2">
        <v>2</v>
      </c>
      <c r="D2098" s="2" t="s">
        <v>274</v>
      </c>
      <c r="E2098" s="33">
        <v>1</v>
      </c>
      <c r="F2098" s="33"/>
      <c r="G2098" s="522"/>
      <c r="H2098" s="707"/>
      <c r="I2098" s="707">
        <f t="shared" si="64"/>
        <v>0</v>
      </c>
      <c r="J2098" s="707">
        <f t="shared" si="65"/>
        <v>0</v>
      </c>
      <c r="K2098" s="70"/>
    </row>
    <row r="2099" spans="1:11" ht="24" customHeight="1">
      <c r="A2099" s="2" t="s">
        <v>628</v>
      </c>
      <c r="B2099" s="2" t="s">
        <v>41</v>
      </c>
      <c r="C2099" s="2">
        <v>40</v>
      </c>
      <c r="D2099" s="2" t="s">
        <v>593</v>
      </c>
      <c r="E2099" s="33">
        <v>1</v>
      </c>
      <c r="F2099" s="33"/>
      <c r="G2099" s="522"/>
      <c r="H2099" s="707"/>
      <c r="I2099" s="707">
        <f t="shared" si="64"/>
        <v>0</v>
      </c>
      <c r="J2099" s="707">
        <f t="shared" si="65"/>
        <v>0</v>
      </c>
      <c r="K2099" s="70"/>
    </row>
    <row r="2100" spans="1:11" ht="24" customHeight="1">
      <c r="A2100" s="2" t="s">
        <v>74</v>
      </c>
      <c r="B2100" s="2" t="s">
        <v>75</v>
      </c>
      <c r="C2100" s="2">
        <v>180</v>
      </c>
      <c r="D2100" s="2" t="s">
        <v>11</v>
      </c>
      <c r="E2100" s="33">
        <v>1</v>
      </c>
      <c r="F2100" s="33"/>
      <c r="G2100" s="522"/>
      <c r="H2100" s="707">
        <v>10</v>
      </c>
      <c r="I2100" s="707">
        <f t="shared" si="64"/>
        <v>11.5</v>
      </c>
      <c r="J2100" s="707">
        <f t="shared" si="65"/>
        <v>13</v>
      </c>
      <c r="K2100" s="70"/>
    </row>
    <row r="2101" spans="1:11" ht="24" customHeight="1">
      <c r="A2101" s="2" t="s">
        <v>447</v>
      </c>
      <c r="B2101" s="2" t="s">
        <v>75</v>
      </c>
      <c r="C2101" s="2">
        <v>2</v>
      </c>
      <c r="D2101" s="2" t="s">
        <v>274</v>
      </c>
      <c r="E2101" s="33">
        <v>3</v>
      </c>
      <c r="F2101" s="33"/>
      <c r="G2101" s="522"/>
      <c r="H2101" s="707">
        <v>4</v>
      </c>
      <c r="I2101" s="707">
        <f t="shared" si="64"/>
        <v>4.5999999999999996</v>
      </c>
      <c r="J2101" s="707">
        <f t="shared" si="65"/>
        <v>5.2</v>
      </c>
      <c r="K2101" s="70"/>
    </row>
    <row r="2102" spans="1:11" ht="24" customHeight="1">
      <c r="A2102" s="2" t="s">
        <v>3645</v>
      </c>
      <c r="B2102" s="2" t="s">
        <v>27</v>
      </c>
      <c r="C2102" s="2">
        <v>50</v>
      </c>
      <c r="D2102" s="2" t="s">
        <v>3636</v>
      </c>
      <c r="E2102" s="33">
        <v>2</v>
      </c>
      <c r="F2102" s="33"/>
      <c r="G2102" s="522"/>
      <c r="H2102" s="707"/>
      <c r="I2102" s="707">
        <f t="shared" si="64"/>
        <v>0</v>
      </c>
      <c r="J2102" s="707">
        <f t="shared" si="65"/>
        <v>0</v>
      </c>
      <c r="K2102" s="55"/>
    </row>
    <row r="2103" spans="1:11" ht="24" customHeight="1">
      <c r="A2103" s="2" t="s">
        <v>3658</v>
      </c>
      <c r="B2103" s="2" t="s">
        <v>27</v>
      </c>
      <c r="C2103" s="2">
        <v>4</v>
      </c>
      <c r="D2103" s="2" t="s">
        <v>3636</v>
      </c>
      <c r="E2103" s="33">
        <v>2</v>
      </c>
      <c r="F2103" s="33"/>
      <c r="G2103" s="522"/>
      <c r="H2103" s="707"/>
      <c r="I2103" s="707">
        <f t="shared" si="64"/>
        <v>0</v>
      </c>
      <c r="J2103" s="707">
        <f t="shared" si="65"/>
        <v>0</v>
      </c>
      <c r="K2103" s="55"/>
    </row>
    <row r="2104" spans="1:11" ht="24" customHeight="1">
      <c r="A2104" s="2" t="s">
        <v>3644</v>
      </c>
      <c r="B2104" s="2" t="s">
        <v>27</v>
      </c>
      <c r="C2104" s="2">
        <v>25</v>
      </c>
      <c r="D2104" s="2" t="s">
        <v>3636</v>
      </c>
      <c r="E2104" s="33">
        <v>2</v>
      </c>
      <c r="F2104" s="33"/>
      <c r="G2104" s="522"/>
      <c r="H2104" s="707"/>
      <c r="I2104" s="707">
        <f t="shared" si="64"/>
        <v>0</v>
      </c>
      <c r="J2104" s="707">
        <f t="shared" si="65"/>
        <v>0</v>
      </c>
      <c r="K2104" s="55"/>
    </row>
    <row r="2105" spans="1:11" ht="24" customHeight="1">
      <c r="A2105" s="2" t="s">
        <v>3649</v>
      </c>
      <c r="B2105" s="2" t="s">
        <v>27</v>
      </c>
      <c r="C2105" s="2">
        <v>4</v>
      </c>
      <c r="D2105" s="2" t="s">
        <v>3636</v>
      </c>
      <c r="E2105" s="33">
        <v>2</v>
      </c>
      <c r="F2105" s="33"/>
      <c r="G2105" s="522"/>
      <c r="H2105" s="707"/>
      <c r="I2105" s="707">
        <f t="shared" si="64"/>
        <v>0</v>
      </c>
      <c r="J2105" s="707">
        <f t="shared" si="65"/>
        <v>0</v>
      </c>
      <c r="K2105" s="55"/>
    </row>
    <row r="2106" spans="1:11" ht="24" customHeight="1">
      <c r="A2106" s="2" t="s">
        <v>738</v>
      </c>
      <c r="B2106" s="2" t="s">
        <v>27</v>
      </c>
      <c r="C2106" s="2">
        <v>3</v>
      </c>
      <c r="D2106" s="2" t="s">
        <v>593</v>
      </c>
      <c r="E2106" s="33">
        <v>3</v>
      </c>
      <c r="F2106" s="33"/>
      <c r="G2106" s="522"/>
      <c r="H2106" s="707"/>
      <c r="I2106" s="707">
        <f t="shared" si="64"/>
        <v>0</v>
      </c>
      <c r="J2106" s="707">
        <f t="shared" si="65"/>
        <v>0</v>
      </c>
      <c r="K2106" s="70"/>
    </row>
    <row r="2107" spans="1:11" ht="24" customHeight="1">
      <c r="A2107" s="3" t="s">
        <v>704</v>
      </c>
      <c r="B2107" s="59" t="s">
        <v>27</v>
      </c>
      <c r="C2107" s="59">
        <v>10</v>
      </c>
      <c r="D2107" s="2" t="s">
        <v>593</v>
      </c>
      <c r="E2107" s="33">
        <v>2</v>
      </c>
      <c r="F2107" s="33"/>
      <c r="G2107" s="522"/>
      <c r="H2107" s="707"/>
      <c r="I2107" s="707">
        <f t="shared" si="64"/>
        <v>0</v>
      </c>
      <c r="J2107" s="707">
        <f t="shared" si="65"/>
        <v>0</v>
      </c>
      <c r="K2107" s="70"/>
    </row>
    <row r="2108" spans="1:11" ht="24" customHeight="1">
      <c r="A2108" s="33" t="s">
        <v>2409</v>
      </c>
      <c r="B2108" s="33" t="s">
        <v>108</v>
      </c>
      <c r="C2108" s="33">
        <v>3</v>
      </c>
      <c r="D2108" s="33" t="s">
        <v>2363</v>
      </c>
      <c r="E2108" s="33">
        <v>5</v>
      </c>
      <c r="F2108" s="33"/>
      <c r="G2108" s="522"/>
      <c r="H2108" s="707"/>
      <c r="I2108" s="707">
        <f t="shared" si="64"/>
        <v>0</v>
      </c>
      <c r="J2108" s="707">
        <f t="shared" si="65"/>
        <v>0</v>
      </c>
      <c r="K2108" s="70"/>
    </row>
    <row r="2109" spans="1:11" ht="24" customHeight="1">
      <c r="A2109" s="2" t="s">
        <v>190</v>
      </c>
      <c r="B2109" s="2" t="s">
        <v>27</v>
      </c>
      <c r="C2109" s="2">
        <v>199</v>
      </c>
      <c r="D2109" s="2" t="s">
        <v>188</v>
      </c>
      <c r="E2109" s="33">
        <v>4</v>
      </c>
      <c r="F2109" s="33"/>
      <c r="G2109" s="522"/>
      <c r="H2109" s="707">
        <v>2.5</v>
      </c>
      <c r="I2109" s="707">
        <f t="shared" si="64"/>
        <v>2.875</v>
      </c>
      <c r="J2109" s="707">
        <f t="shared" si="65"/>
        <v>3.25</v>
      </c>
      <c r="K2109" s="70"/>
    </row>
    <row r="2110" spans="1:11" ht="24" customHeight="1">
      <c r="A2110" s="2" t="s">
        <v>190</v>
      </c>
      <c r="B2110" s="2" t="s">
        <v>27</v>
      </c>
      <c r="C2110" s="2">
        <v>100</v>
      </c>
      <c r="D2110" s="2" t="s">
        <v>593</v>
      </c>
      <c r="E2110" s="33">
        <v>3</v>
      </c>
      <c r="F2110" s="33"/>
      <c r="G2110" s="522"/>
      <c r="H2110" s="707">
        <v>2.5</v>
      </c>
      <c r="I2110" s="707">
        <f t="shared" si="64"/>
        <v>2.875</v>
      </c>
      <c r="J2110" s="707">
        <f t="shared" si="65"/>
        <v>3.25</v>
      </c>
      <c r="K2110" s="70"/>
    </row>
    <row r="2111" spans="1:11" ht="24" customHeight="1">
      <c r="A2111" s="2" t="s">
        <v>3434</v>
      </c>
      <c r="B2111" s="2" t="s">
        <v>27</v>
      </c>
      <c r="C2111" s="2">
        <v>89</v>
      </c>
      <c r="D2111" s="65" t="s">
        <v>3348</v>
      </c>
      <c r="E2111" s="33">
        <v>5</v>
      </c>
      <c r="F2111" s="33"/>
      <c r="G2111" s="522"/>
      <c r="H2111" s="707">
        <v>1</v>
      </c>
      <c r="I2111" s="707">
        <f t="shared" si="64"/>
        <v>1.1499999999999999</v>
      </c>
      <c r="J2111" s="707">
        <f t="shared" si="65"/>
        <v>1.3</v>
      </c>
      <c r="K2111" s="70"/>
    </row>
    <row r="2112" spans="1:11" ht="24" customHeight="1">
      <c r="A2112" s="2" t="s">
        <v>1813</v>
      </c>
      <c r="B2112" s="2" t="s">
        <v>27</v>
      </c>
      <c r="C2112" s="2">
        <v>196</v>
      </c>
      <c r="D2112" s="2" t="s">
        <v>1785</v>
      </c>
      <c r="E2112" s="33">
        <v>2</v>
      </c>
      <c r="F2112" s="33"/>
      <c r="G2112" s="522"/>
      <c r="H2112" s="707">
        <v>1</v>
      </c>
      <c r="I2112" s="707">
        <f t="shared" si="64"/>
        <v>1.1499999999999999</v>
      </c>
      <c r="J2112" s="707">
        <f t="shared" si="65"/>
        <v>1.3</v>
      </c>
      <c r="K2112" s="70"/>
    </row>
    <row r="2113" spans="1:11" ht="24" customHeight="1">
      <c r="A2113" s="74" t="s">
        <v>2420</v>
      </c>
      <c r="B2113" s="74" t="s">
        <v>41</v>
      </c>
      <c r="C2113" s="74">
        <v>70</v>
      </c>
      <c r="D2113" s="33" t="s">
        <v>2363</v>
      </c>
      <c r="E2113" s="33">
        <v>5</v>
      </c>
      <c r="F2113" s="33"/>
      <c r="G2113" s="522"/>
      <c r="H2113" s="707">
        <v>1.5</v>
      </c>
      <c r="I2113" s="707">
        <f t="shared" si="64"/>
        <v>1.7249999999999999</v>
      </c>
      <c r="J2113" s="707">
        <f t="shared" si="65"/>
        <v>1.9500000000000002</v>
      </c>
      <c r="K2113" s="70"/>
    </row>
    <row r="2114" spans="1:11" ht="24" customHeight="1">
      <c r="A2114" s="386" t="s">
        <v>966</v>
      </c>
      <c r="B2114" s="33" t="s">
        <v>27</v>
      </c>
      <c r="C2114" s="33">
        <v>10</v>
      </c>
      <c r="D2114" s="33" t="s">
        <v>910</v>
      </c>
      <c r="E2114" s="33">
        <v>2</v>
      </c>
      <c r="F2114" s="33"/>
      <c r="G2114" s="522"/>
      <c r="H2114" s="707"/>
      <c r="I2114" s="707">
        <f t="shared" si="64"/>
        <v>0</v>
      </c>
      <c r="J2114" s="707">
        <f t="shared" si="65"/>
        <v>0</v>
      </c>
      <c r="K2114" s="70"/>
    </row>
    <row r="2115" spans="1:11" ht="24" customHeight="1">
      <c r="A2115" s="2" t="s">
        <v>796</v>
      </c>
      <c r="B2115" s="2" t="s">
        <v>27</v>
      </c>
      <c r="C2115" s="2">
        <v>12</v>
      </c>
      <c r="D2115" s="2" t="s">
        <v>593</v>
      </c>
      <c r="E2115" s="33">
        <v>3</v>
      </c>
      <c r="F2115" s="33"/>
      <c r="G2115" s="522"/>
      <c r="H2115" s="707"/>
      <c r="I2115" s="707">
        <f t="shared" ref="I2115:I2178" si="66">H2115 * 1.15</f>
        <v>0</v>
      </c>
      <c r="J2115" s="707">
        <f t="shared" ref="J2115:J2178" si="67">H2115 * 1.3</f>
        <v>0</v>
      </c>
      <c r="K2115" s="70"/>
    </row>
    <row r="2116" spans="1:11" ht="24" customHeight="1">
      <c r="A2116" s="33" t="s">
        <v>2024</v>
      </c>
      <c r="B2116" s="33" t="s">
        <v>2025</v>
      </c>
      <c r="C2116" s="33">
        <v>100</v>
      </c>
      <c r="D2116" s="33" t="s">
        <v>2026</v>
      </c>
      <c r="E2116" s="33">
        <v>3</v>
      </c>
      <c r="F2116" s="33"/>
      <c r="G2116" s="522"/>
      <c r="H2116" s="707">
        <v>2</v>
      </c>
      <c r="I2116" s="707">
        <f t="shared" si="66"/>
        <v>2.2999999999999998</v>
      </c>
      <c r="J2116" s="707">
        <f t="shared" si="67"/>
        <v>2.6</v>
      </c>
      <c r="K2116" s="70"/>
    </row>
    <row r="2117" spans="1:11" ht="24" customHeight="1">
      <c r="A2117" s="74" t="s">
        <v>2135</v>
      </c>
      <c r="B2117" s="74" t="s">
        <v>27</v>
      </c>
      <c r="C2117" s="74">
        <v>1</v>
      </c>
      <c r="D2117" s="33" t="s">
        <v>2111</v>
      </c>
      <c r="E2117" s="33">
        <v>2</v>
      </c>
      <c r="F2117" s="33"/>
      <c r="G2117" s="522"/>
      <c r="H2117" s="707"/>
      <c r="I2117" s="707">
        <f t="shared" si="66"/>
        <v>0</v>
      </c>
      <c r="J2117" s="707">
        <f t="shared" si="67"/>
        <v>0</v>
      </c>
      <c r="K2117" s="70"/>
    </row>
    <row r="2118" spans="1:11" ht="24" customHeight="1">
      <c r="A2118" s="33" t="s">
        <v>1384</v>
      </c>
      <c r="B2118" s="33" t="s">
        <v>27</v>
      </c>
      <c r="C2118" s="33">
        <v>8</v>
      </c>
      <c r="D2118" s="33" t="s">
        <v>1372</v>
      </c>
      <c r="E2118" s="33">
        <v>3</v>
      </c>
      <c r="F2118" s="33"/>
      <c r="G2118" s="522"/>
      <c r="H2118" s="707"/>
      <c r="I2118" s="707">
        <f t="shared" si="66"/>
        <v>0</v>
      </c>
      <c r="J2118" s="707">
        <f t="shared" si="67"/>
        <v>0</v>
      </c>
      <c r="K2118" s="70"/>
    </row>
    <row r="2119" spans="1:11" ht="24" customHeight="1">
      <c r="A2119" s="33" t="s">
        <v>455</v>
      </c>
      <c r="B2119" s="33" t="s">
        <v>27</v>
      </c>
      <c r="C2119" s="33">
        <v>2</v>
      </c>
      <c r="D2119" s="2" t="s">
        <v>274</v>
      </c>
      <c r="E2119" s="33">
        <v>3</v>
      </c>
      <c r="F2119" s="33"/>
      <c r="G2119" s="522"/>
      <c r="H2119" s="707"/>
      <c r="I2119" s="707">
        <f t="shared" si="66"/>
        <v>0</v>
      </c>
      <c r="J2119" s="707">
        <f t="shared" si="67"/>
        <v>0</v>
      </c>
      <c r="K2119" s="70"/>
    </row>
    <row r="2120" spans="1:11" ht="24" customHeight="1">
      <c r="A2120" s="33" t="s">
        <v>1070</v>
      </c>
      <c r="B2120" s="33" t="s">
        <v>27</v>
      </c>
      <c r="C2120" s="33">
        <v>8</v>
      </c>
      <c r="D2120" s="33" t="s">
        <v>992</v>
      </c>
      <c r="E2120" s="33">
        <v>4</v>
      </c>
      <c r="F2120" s="33"/>
      <c r="G2120" s="522"/>
      <c r="H2120" s="707"/>
      <c r="I2120" s="707">
        <f t="shared" si="66"/>
        <v>0</v>
      </c>
      <c r="J2120" s="707">
        <f t="shared" si="67"/>
        <v>0</v>
      </c>
      <c r="K2120" s="70"/>
    </row>
    <row r="2121" spans="1:11" ht="24" customHeight="1">
      <c r="A2121" s="2" t="s">
        <v>390</v>
      </c>
      <c r="B2121" s="2" t="s">
        <v>27</v>
      </c>
      <c r="C2121" s="2">
        <v>12</v>
      </c>
      <c r="D2121" s="2" t="s">
        <v>274</v>
      </c>
      <c r="E2121" s="33">
        <v>2</v>
      </c>
      <c r="F2121" s="33"/>
      <c r="G2121" s="522"/>
      <c r="H2121" s="707"/>
      <c r="I2121" s="707">
        <f t="shared" si="66"/>
        <v>0</v>
      </c>
      <c r="J2121" s="707">
        <f t="shared" si="67"/>
        <v>0</v>
      </c>
      <c r="K2121" s="70"/>
    </row>
    <row r="2122" spans="1:11" ht="24" customHeight="1">
      <c r="A2122" s="2" t="s">
        <v>777</v>
      </c>
      <c r="B2122" s="2" t="s">
        <v>27</v>
      </c>
      <c r="C2122" s="2">
        <v>31</v>
      </c>
      <c r="D2122" s="2" t="s">
        <v>593</v>
      </c>
      <c r="E2122" s="33">
        <v>3</v>
      </c>
      <c r="F2122" s="33"/>
      <c r="G2122" s="522"/>
      <c r="H2122" s="707">
        <v>1</v>
      </c>
      <c r="I2122" s="707">
        <f t="shared" si="66"/>
        <v>1.1499999999999999</v>
      </c>
      <c r="J2122" s="707">
        <f t="shared" si="67"/>
        <v>1.3</v>
      </c>
      <c r="K2122" s="70"/>
    </row>
    <row r="2123" spans="1:11" ht="24" customHeight="1">
      <c r="A2123" s="74" t="s">
        <v>2477</v>
      </c>
      <c r="B2123" s="74" t="s">
        <v>27</v>
      </c>
      <c r="C2123" s="74">
        <v>3</v>
      </c>
      <c r="D2123" s="33" t="s">
        <v>2363</v>
      </c>
      <c r="E2123" s="33">
        <v>5</v>
      </c>
      <c r="F2123" s="33"/>
      <c r="G2123" s="522"/>
      <c r="H2123" s="707">
        <v>10</v>
      </c>
      <c r="I2123" s="707">
        <f t="shared" si="66"/>
        <v>11.5</v>
      </c>
      <c r="J2123" s="707">
        <f t="shared" si="67"/>
        <v>13</v>
      </c>
      <c r="K2123" s="70"/>
    </row>
    <row r="2124" spans="1:11" ht="24" customHeight="1">
      <c r="A2124" s="2" t="s">
        <v>797</v>
      </c>
      <c r="B2124" s="2" t="s">
        <v>27</v>
      </c>
      <c r="C2124" s="2">
        <v>8</v>
      </c>
      <c r="D2124" s="2" t="s">
        <v>593</v>
      </c>
      <c r="E2124" s="33">
        <v>3</v>
      </c>
      <c r="F2124" s="33"/>
      <c r="G2124" s="522"/>
      <c r="H2124" s="707"/>
      <c r="I2124" s="707">
        <f t="shared" si="66"/>
        <v>0</v>
      </c>
      <c r="J2124" s="707">
        <f t="shared" si="67"/>
        <v>0</v>
      </c>
      <c r="K2124" s="70"/>
    </row>
    <row r="2125" spans="1:11" ht="24" customHeight="1">
      <c r="A2125" s="74" t="s">
        <v>1479</v>
      </c>
      <c r="B2125" s="74" t="s">
        <v>27</v>
      </c>
      <c r="C2125" s="74">
        <v>1</v>
      </c>
      <c r="D2125" s="33" t="s">
        <v>1372</v>
      </c>
      <c r="E2125" s="33">
        <v>5</v>
      </c>
      <c r="F2125" s="33"/>
      <c r="G2125" s="522"/>
      <c r="H2125" s="707"/>
      <c r="I2125" s="707">
        <f t="shared" si="66"/>
        <v>0</v>
      </c>
      <c r="J2125" s="707">
        <f t="shared" si="67"/>
        <v>0</v>
      </c>
      <c r="K2125" s="70"/>
    </row>
    <row r="2126" spans="1:11" ht="24" customHeight="1">
      <c r="A2126" s="33" t="s">
        <v>1894</v>
      </c>
      <c r="B2126" s="33" t="s">
        <v>1887</v>
      </c>
      <c r="C2126" s="33">
        <v>70</v>
      </c>
      <c r="D2126" s="2" t="s">
        <v>1785</v>
      </c>
      <c r="E2126" s="33">
        <v>3</v>
      </c>
      <c r="F2126" s="33"/>
      <c r="G2126" s="522"/>
      <c r="H2126" s="707"/>
      <c r="I2126" s="707">
        <f t="shared" si="66"/>
        <v>0</v>
      </c>
      <c r="J2126" s="707">
        <f t="shared" si="67"/>
        <v>0</v>
      </c>
      <c r="K2126" s="70"/>
    </row>
    <row r="2127" spans="1:11" ht="24" customHeight="1">
      <c r="A2127" s="74" t="s">
        <v>2243</v>
      </c>
      <c r="B2127" s="74" t="s">
        <v>27</v>
      </c>
      <c r="C2127" s="74">
        <v>809</v>
      </c>
      <c r="D2127" s="33" t="s">
        <v>2191</v>
      </c>
      <c r="E2127" s="33">
        <v>5</v>
      </c>
      <c r="F2127" s="33"/>
      <c r="G2127" s="522"/>
      <c r="H2127" s="707">
        <v>2</v>
      </c>
      <c r="I2127" s="707">
        <f t="shared" si="66"/>
        <v>2.2999999999999998</v>
      </c>
      <c r="J2127" s="707">
        <f t="shared" si="67"/>
        <v>2.6</v>
      </c>
      <c r="K2127" s="70"/>
    </row>
    <row r="2128" spans="1:11" ht="24" customHeight="1">
      <c r="A2128" s="17" t="s">
        <v>2893</v>
      </c>
      <c r="B2128" s="17" t="s">
        <v>27</v>
      </c>
      <c r="C2128" s="17">
        <v>60</v>
      </c>
      <c r="D2128" s="131" t="s">
        <v>2882</v>
      </c>
      <c r="E2128" s="15">
        <v>1</v>
      </c>
      <c r="F2128" s="15"/>
      <c r="G2128" s="684"/>
      <c r="H2128" s="707">
        <v>1.33</v>
      </c>
      <c r="I2128" s="707">
        <f t="shared" si="66"/>
        <v>1.5294999999999999</v>
      </c>
      <c r="J2128" s="707">
        <f t="shared" si="67"/>
        <v>1.7290000000000001</v>
      </c>
      <c r="K2128" s="70"/>
    </row>
    <row r="2129" spans="1:11" ht="24" customHeight="1">
      <c r="A2129" s="17" t="s">
        <v>2894</v>
      </c>
      <c r="B2129" s="17" t="s">
        <v>27</v>
      </c>
      <c r="C2129" s="17">
        <v>6</v>
      </c>
      <c r="D2129" s="131" t="s">
        <v>2882</v>
      </c>
      <c r="E2129" s="15">
        <v>1</v>
      </c>
      <c r="F2129" s="15"/>
      <c r="G2129" s="684"/>
      <c r="H2129" s="707"/>
      <c r="I2129" s="707">
        <f t="shared" si="66"/>
        <v>0</v>
      </c>
      <c r="J2129" s="707">
        <f t="shared" si="67"/>
        <v>0</v>
      </c>
      <c r="K2129" s="70"/>
    </row>
    <row r="2130" spans="1:11" ht="24" customHeight="1">
      <c r="A2130" s="33" t="s">
        <v>471</v>
      </c>
      <c r="B2130" s="33" t="s">
        <v>75</v>
      </c>
      <c r="C2130" s="33">
        <v>8</v>
      </c>
      <c r="D2130" s="2" t="s">
        <v>274</v>
      </c>
      <c r="E2130" s="33">
        <v>3</v>
      </c>
      <c r="F2130" s="33"/>
      <c r="G2130" s="522"/>
      <c r="H2130" s="707">
        <v>2</v>
      </c>
      <c r="I2130" s="707">
        <f t="shared" si="66"/>
        <v>2.2999999999999998</v>
      </c>
      <c r="J2130" s="707">
        <f t="shared" si="67"/>
        <v>2.6</v>
      </c>
      <c r="K2130" s="70"/>
    </row>
    <row r="2131" spans="1:11" ht="24" customHeight="1">
      <c r="A2131" s="33" t="s">
        <v>967</v>
      </c>
      <c r="B2131" s="33" t="s">
        <v>27</v>
      </c>
      <c r="C2131" s="33">
        <v>99</v>
      </c>
      <c r="D2131" s="33" t="s">
        <v>910</v>
      </c>
      <c r="E2131" s="33">
        <v>2</v>
      </c>
      <c r="F2131" s="33"/>
      <c r="G2131" s="522"/>
      <c r="H2131" s="707"/>
      <c r="I2131" s="707">
        <f t="shared" si="66"/>
        <v>0</v>
      </c>
      <c r="J2131" s="707">
        <f t="shared" si="67"/>
        <v>0</v>
      </c>
      <c r="K2131" s="70"/>
    </row>
    <row r="2132" spans="1:11" ht="24" customHeight="1">
      <c r="A2132" s="2" t="s">
        <v>3650</v>
      </c>
      <c r="B2132" s="2" t="s">
        <v>27</v>
      </c>
      <c r="C2132" s="2">
        <v>4</v>
      </c>
      <c r="D2132" s="2" t="s">
        <v>3636</v>
      </c>
      <c r="E2132" s="33">
        <v>2</v>
      </c>
      <c r="F2132" s="33"/>
      <c r="G2132" s="522"/>
      <c r="H2132" s="707"/>
      <c r="I2132" s="707">
        <f t="shared" si="66"/>
        <v>0</v>
      </c>
      <c r="J2132" s="707">
        <f t="shared" si="67"/>
        <v>0</v>
      </c>
      <c r="K2132" s="55"/>
    </row>
    <row r="2133" spans="1:11" ht="24" customHeight="1">
      <c r="A2133" s="2" t="s">
        <v>3653</v>
      </c>
      <c r="B2133" s="2" t="s">
        <v>27</v>
      </c>
      <c r="C2133" s="2">
        <v>139</v>
      </c>
      <c r="D2133" s="2" t="s">
        <v>3636</v>
      </c>
      <c r="E2133" s="33">
        <v>2</v>
      </c>
      <c r="F2133" s="33"/>
      <c r="G2133" s="522"/>
      <c r="H2133" s="707"/>
      <c r="I2133" s="707">
        <f t="shared" si="66"/>
        <v>0</v>
      </c>
      <c r="J2133" s="707">
        <f t="shared" si="67"/>
        <v>0</v>
      </c>
      <c r="K2133" s="55"/>
    </row>
    <row r="2134" spans="1:11" ht="24" customHeight="1">
      <c r="A2134" s="33" t="s">
        <v>1890</v>
      </c>
      <c r="B2134" s="33" t="s">
        <v>27</v>
      </c>
      <c r="C2134" s="33">
        <v>26</v>
      </c>
      <c r="D2134" s="2" t="s">
        <v>1785</v>
      </c>
      <c r="E2134" s="33">
        <v>3</v>
      </c>
      <c r="F2134" s="33"/>
      <c r="G2134" s="522"/>
      <c r="H2134" s="707"/>
      <c r="I2134" s="707">
        <f t="shared" si="66"/>
        <v>0</v>
      </c>
      <c r="J2134" s="707">
        <f t="shared" si="67"/>
        <v>0</v>
      </c>
      <c r="K2134" s="70"/>
    </row>
    <row r="2135" spans="1:11" ht="24" customHeight="1">
      <c r="A2135" s="2" t="s">
        <v>342</v>
      </c>
      <c r="B2135" s="2" t="s">
        <v>27</v>
      </c>
      <c r="C2135" s="2">
        <v>11</v>
      </c>
      <c r="D2135" s="2" t="s">
        <v>274</v>
      </c>
      <c r="E2135" s="33">
        <v>1</v>
      </c>
      <c r="F2135" s="33"/>
      <c r="G2135" s="522"/>
      <c r="H2135" s="707"/>
      <c r="I2135" s="707">
        <f t="shared" si="66"/>
        <v>0</v>
      </c>
      <c r="J2135" s="707">
        <f t="shared" si="67"/>
        <v>0</v>
      </c>
      <c r="K2135" s="70"/>
    </row>
    <row r="2136" spans="1:11" ht="24" customHeight="1">
      <c r="A2136" s="74" t="s">
        <v>341</v>
      </c>
      <c r="B2136" s="74" t="s">
        <v>27</v>
      </c>
      <c r="C2136" s="74">
        <v>206</v>
      </c>
      <c r="D2136" s="33" t="s">
        <v>2191</v>
      </c>
      <c r="E2136" s="33">
        <v>5</v>
      </c>
      <c r="F2136" s="33"/>
      <c r="G2136" s="522"/>
      <c r="H2136" s="707">
        <v>5</v>
      </c>
      <c r="I2136" s="707">
        <f t="shared" si="66"/>
        <v>5.75</v>
      </c>
      <c r="J2136" s="707">
        <f t="shared" si="67"/>
        <v>6.5</v>
      </c>
      <c r="K2136" s="70"/>
    </row>
    <row r="2137" spans="1:11" ht="24" customHeight="1">
      <c r="A2137" s="2" t="s">
        <v>500</v>
      </c>
      <c r="B2137" s="2" t="s">
        <v>27</v>
      </c>
      <c r="C2137" s="2">
        <v>14</v>
      </c>
      <c r="D2137" s="2" t="s">
        <v>274</v>
      </c>
      <c r="E2137" s="33">
        <v>3</v>
      </c>
      <c r="F2137" s="33"/>
      <c r="G2137" s="522"/>
      <c r="H2137" s="707"/>
      <c r="I2137" s="707">
        <f t="shared" si="66"/>
        <v>0</v>
      </c>
      <c r="J2137" s="707">
        <f t="shared" si="67"/>
        <v>0</v>
      </c>
      <c r="K2137" s="70"/>
    </row>
    <row r="2138" spans="1:11" ht="24" customHeight="1">
      <c r="A2138" s="2" t="s">
        <v>722</v>
      </c>
      <c r="B2138" s="2" t="s">
        <v>27</v>
      </c>
      <c r="C2138" s="2">
        <v>67</v>
      </c>
      <c r="D2138" s="2" t="s">
        <v>593</v>
      </c>
      <c r="E2138" s="33">
        <v>3</v>
      </c>
      <c r="F2138" s="33"/>
      <c r="G2138" s="522"/>
      <c r="H2138" s="707"/>
      <c r="I2138" s="707">
        <f t="shared" si="66"/>
        <v>0</v>
      </c>
      <c r="J2138" s="707">
        <f t="shared" si="67"/>
        <v>0</v>
      </c>
      <c r="K2138" s="70"/>
    </row>
    <row r="2139" spans="1:11" ht="24" customHeight="1">
      <c r="A2139" s="33" t="s">
        <v>309</v>
      </c>
      <c r="B2139" s="33" t="s">
        <v>27</v>
      </c>
      <c r="C2139" s="33">
        <v>14</v>
      </c>
      <c r="D2139" s="2" t="s">
        <v>274</v>
      </c>
      <c r="E2139" s="33">
        <v>1</v>
      </c>
      <c r="F2139" s="33"/>
      <c r="G2139" s="522"/>
      <c r="H2139" s="707"/>
      <c r="I2139" s="707">
        <f t="shared" si="66"/>
        <v>0</v>
      </c>
      <c r="J2139" s="707">
        <f t="shared" si="67"/>
        <v>0</v>
      </c>
      <c r="K2139" s="70"/>
    </row>
    <row r="2140" spans="1:11" ht="24" customHeight="1">
      <c r="A2140" s="2" t="s">
        <v>576</v>
      </c>
      <c r="B2140" s="2" t="s">
        <v>27</v>
      </c>
      <c r="C2140" s="2">
        <v>15</v>
      </c>
      <c r="D2140" s="2" t="s">
        <v>536</v>
      </c>
      <c r="E2140" s="33">
        <v>5</v>
      </c>
      <c r="F2140" s="33"/>
      <c r="G2140" s="522"/>
      <c r="H2140" s="707"/>
      <c r="I2140" s="707">
        <f t="shared" si="66"/>
        <v>0</v>
      </c>
      <c r="J2140" s="707">
        <f t="shared" si="67"/>
        <v>0</v>
      </c>
      <c r="K2140" s="70"/>
    </row>
    <row r="2141" spans="1:11" ht="24" customHeight="1">
      <c r="A2141" s="33" t="s">
        <v>307</v>
      </c>
      <c r="B2141" s="33" t="s">
        <v>27</v>
      </c>
      <c r="C2141" s="33">
        <v>8</v>
      </c>
      <c r="D2141" s="2" t="s">
        <v>274</v>
      </c>
      <c r="E2141" s="33">
        <v>1</v>
      </c>
      <c r="F2141" s="33"/>
      <c r="G2141" s="522"/>
      <c r="H2141" s="707">
        <v>2</v>
      </c>
      <c r="I2141" s="707">
        <f t="shared" si="66"/>
        <v>2.2999999999999998</v>
      </c>
      <c r="J2141" s="707">
        <f t="shared" si="67"/>
        <v>2.6</v>
      </c>
      <c r="K2141" s="70"/>
    </row>
    <row r="2142" spans="1:11" ht="24" customHeight="1">
      <c r="A2142" s="33" t="s">
        <v>859</v>
      </c>
      <c r="B2142" s="33" t="s">
        <v>27</v>
      </c>
      <c r="C2142" s="33">
        <v>21</v>
      </c>
      <c r="D2142" s="2" t="s">
        <v>593</v>
      </c>
      <c r="E2142" s="33">
        <v>3</v>
      </c>
      <c r="F2142" s="33"/>
      <c r="G2142" s="522"/>
      <c r="H2142" s="707"/>
      <c r="I2142" s="707">
        <f t="shared" si="66"/>
        <v>0</v>
      </c>
      <c r="J2142" s="707">
        <f t="shared" si="67"/>
        <v>0</v>
      </c>
      <c r="K2142" s="70"/>
    </row>
    <row r="2143" spans="1:11" ht="24" customHeight="1">
      <c r="A2143" s="33" t="s">
        <v>78</v>
      </c>
      <c r="B2143" s="33" t="s">
        <v>27</v>
      </c>
      <c r="C2143" s="33">
        <v>19</v>
      </c>
      <c r="D2143" s="2" t="s">
        <v>11</v>
      </c>
      <c r="E2143" s="33">
        <v>1</v>
      </c>
      <c r="F2143" s="33"/>
      <c r="G2143" s="522"/>
      <c r="H2143" s="707">
        <v>1</v>
      </c>
      <c r="I2143" s="707">
        <f t="shared" si="66"/>
        <v>1.1499999999999999</v>
      </c>
      <c r="J2143" s="707">
        <f t="shared" si="67"/>
        <v>1.3</v>
      </c>
      <c r="K2143" s="70"/>
    </row>
    <row r="2144" spans="1:11" ht="24" customHeight="1">
      <c r="A2144" s="33" t="s">
        <v>2581</v>
      </c>
      <c r="B2144" s="33" t="s">
        <v>27</v>
      </c>
      <c r="C2144" s="33">
        <v>83</v>
      </c>
      <c r="D2144" s="33" t="s">
        <v>2540</v>
      </c>
      <c r="E2144" s="33">
        <v>2</v>
      </c>
      <c r="F2144" s="33"/>
      <c r="G2144" s="522"/>
      <c r="H2144" s="707"/>
      <c r="I2144" s="707">
        <f t="shared" si="66"/>
        <v>0</v>
      </c>
      <c r="J2144" s="707">
        <f t="shared" si="67"/>
        <v>0</v>
      </c>
      <c r="K2144" s="70"/>
    </row>
    <row r="2145" spans="1:11" ht="24" customHeight="1">
      <c r="A2145" s="2" t="s">
        <v>1810</v>
      </c>
      <c r="B2145" s="2" t="s">
        <v>27</v>
      </c>
      <c r="C2145" s="2">
        <v>13</v>
      </c>
      <c r="D2145" s="2" t="s">
        <v>1785</v>
      </c>
      <c r="E2145" s="33">
        <v>1</v>
      </c>
      <c r="F2145" s="33"/>
      <c r="G2145" s="522"/>
      <c r="H2145" s="707"/>
      <c r="I2145" s="707">
        <f t="shared" si="66"/>
        <v>0</v>
      </c>
      <c r="J2145" s="707">
        <f t="shared" si="67"/>
        <v>0</v>
      </c>
      <c r="K2145" s="70"/>
    </row>
    <row r="2146" spans="1:11" ht="24" customHeight="1">
      <c r="A2146" s="2" t="s">
        <v>815</v>
      </c>
      <c r="B2146" s="2" t="s">
        <v>27</v>
      </c>
      <c r="C2146" s="2">
        <v>3</v>
      </c>
      <c r="D2146" s="2" t="s">
        <v>593</v>
      </c>
      <c r="E2146" s="33">
        <v>3</v>
      </c>
      <c r="F2146" s="33"/>
      <c r="G2146" s="522"/>
      <c r="H2146" s="707"/>
      <c r="I2146" s="707">
        <f t="shared" si="66"/>
        <v>0</v>
      </c>
      <c r="J2146" s="707">
        <f t="shared" si="67"/>
        <v>0</v>
      </c>
      <c r="K2146" s="70"/>
    </row>
    <row r="2147" spans="1:11" ht="24" customHeight="1">
      <c r="A2147" s="17" t="s">
        <v>257</v>
      </c>
      <c r="B2147" s="17" t="s">
        <v>27</v>
      </c>
      <c r="C2147" s="17">
        <v>22</v>
      </c>
      <c r="D2147" s="131" t="s">
        <v>2882</v>
      </c>
      <c r="E2147" s="15">
        <v>2</v>
      </c>
      <c r="F2147" s="15"/>
      <c r="G2147" s="684"/>
      <c r="H2147" s="708"/>
      <c r="I2147" s="707">
        <f t="shared" si="66"/>
        <v>0</v>
      </c>
      <c r="J2147" s="708">
        <f t="shared" si="67"/>
        <v>0</v>
      </c>
      <c r="K2147" s="70"/>
    </row>
    <row r="2148" spans="1:11" ht="24" customHeight="1">
      <c r="A2148" s="74" t="s">
        <v>1110</v>
      </c>
      <c r="B2148" s="33" t="s">
        <v>108</v>
      </c>
      <c r="C2148" s="33">
        <v>7</v>
      </c>
      <c r="D2148" s="33" t="s">
        <v>992</v>
      </c>
      <c r="E2148" s="33">
        <v>5</v>
      </c>
      <c r="F2148" s="33"/>
      <c r="G2148" s="522"/>
      <c r="H2148" s="707"/>
      <c r="I2148" s="707">
        <f t="shared" si="66"/>
        <v>0</v>
      </c>
      <c r="J2148" s="707">
        <f t="shared" si="67"/>
        <v>0</v>
      </c>
      <c r="K2148" s="70"/>
    </row>
    <row r="2149" spans="1:11" ht="24" customHeight="1">
      <c r="A2149" s="33" t="s">
        <v>863</v>
      </c>
      <c r="B2149" s="33" t="s">
        <v>27</v>
      </c>
      <c r="C2149" s="33">
        <v>2</v>
      </c>
      <c r="D2149" s="2" t="s">
        <v>593</v>
      </c>
      <c r="E2149" s="33">
        <v>3</v>
      </c>
      <c r="F2149" s="33"/>
      <c r="G2149" s="522"/>
      <c r="H2149" s="707"/>
      <c r="I2149" s="707">
        <f t="shared" si="66"/>
        <v>0</v>
      </c>
      <c r="J2149" s="707">
        <f t="shared" si="67"/>
        <v>0</v>
      </c>
      <c r="K2149" s="70"/>
    </row>
    <row r="2150" spans="1:11" ht="24" customHeight="1">
      <c r="A2150" s="17" t="s">
        <v>2866</v>
      </c>
      <c r="B2150" s="17" t="s">
        <v>27</v>
      </c>
      <c r="C2150" s="17">
        <v>47</v>
      </c>
      <c r="D2150" s="131" t="s">
        <v>2802</v>
      </c>
      <c r="E2150" s="15">
        <v>3</v>
      </c>
      <c r="F2150" s="15"/>
      <c r="G2150" s="684"/>
      <c r="H2150" s="707"/>
      <c r="I2150" s="707">
        <f t="shared" si="66"/>
        <v>0</v>
      </c>
      <c r="J2150" s="707">
        <f t="shared" si="67"/>
        <v>0</v>
      </c>
      <c r="K2150" s="70"/>
    </row>
    <row r="2151" spans="1:11" ht="24" customHeight="1">
      <c r="A2151" s="33" t="s">
        <v>2514</v>
      </c>
      <c r="B2151" s="33" t="s">
        <v>27</v>
      </c>
      <c r="C2151" s="33">
        <v>2</v>
      </c>
      <c r="D2151" s="33" t="s">
        <v>2504</v>
      </c>
      <c r="E2151" s="33">
        <v>5</v>
      </c>
      <c r="F2151" s="33"/>
      <c r="G2151" s="522"/>
      <c r="H2151" s="707"/>
      <c r="I2151" s="707">
        <f t="shared" si="66"/>
        <v>0</v>
      </c>
      <c r="J2151" s="707">
        <f t="shared" si="67"/>
        <v>0</v>
      </c>
      <c r="K2151" s="70"/>
    </row>
    <row r="2152" spans="1:11" ht="24" customHeight="1">
      <c r="A2152" s="74" t="s">
        <v>2262</v>
      </c>
      <c r="B2152" s="74" t="s">
        <v>27</v>
      </c>
      <c r="C2152" s="74">
        <v>38</v>
      </c>
      <c r="D2152" s="33" t="s">
        <v>2191</v>
      </c>
      <c r="E2152" s="33">
        <v>5</v>
      </c>
      <c r="F2152" s="33"/>
      <c r="G2152" s="522"/>
      <c r="H2152" s="707"/>
      <c r="I2152" s="707">
        <f t="shared" si="66"/>
        <v>0</v>
      </c>
      <c r="J2152" s="707">
        <f t="shared" si="67"/>
        <v>0</v>
      </c>
      <c r="K2152" s="70"/>
    </row>
    <row r="2153" spans="1:11" ht="24" customHeight="1">
      <c r="A2153" s="17" t="s">
        <v>2899</v>
      </c>
      <c r="B2153" s="17" t="s">
        <v>2898</v>
      </c>
      <c r="C2153" s="17">
        <v>4</v>
      </c>
      <c r="D2153" s="131" t="s">
        <v>2882</v>
      </c>
      <c r="E2153" s="15">
        <v>1</v>
      </c>
      <c r="F2153" s="15"/>
      <c r="G2153" s="684"/>
      <c r="H2153" s="707"/>
      <c r="I2153" s="707">
        <f t="shared" si="66"/>
        <v>0</v>
      </c>
      <c r="J2153" s="707">
        <f t="shared" si="67"/>
        <v>0</v>
      </c>
      <c r="K2153" s="70"/>
    </row>
    <row r="2154" spans="1:11" ht="24" customHeight="1">
      <c r="A2154" s="2" t="s">
        <v>818</v>
      </c>
      <c r="B2154" s="2" t="s">
        <v>27</v>
      </c>
      <c r="C2154" s="2">
        <v>12</v>
      </c>
      <c r="D2154" s="2" t="s">
        <v>593</v>
      </c>
      <c r="E2154" s="33">
        <v>3</v>
      </c>
      <c r="F2154" s="33"/>
      <c r="G2154" s="522"/>
      <c r="H2154" s="707">
        <v>1</v>
      </c>
      <c r="I2154" s="707">
        <f t="shared" si="66"/>
        <v>1.1499999999999999</v>
      </c>
      <c r="J2154" s="707">
        <f t="shared" si="67"/>
        <v>1.3</v>
      </c>
      <c r="K2154" s="70"/>
    </row>
    <row r="2155" spans="1:11" ht="24" customHeight="1">
      <c r="A2155" s="33" t="s">
        <v>1889</v>
      </c>
      <c r="B2155" s="33" t="s">
        <v>1887</v>
      </c>
      <c r="C2155" s="33">
        <v>100</v>
      </c>
      <c r="D2155" s="2" t="s">
        <v>1785</v>
      </c>
      <c r="E2155" s="33">
        <v>3</v>
      </c>
      <c r="F2155" s="33"/>
      <c r="G2155" s="522"/>
      <c r="H2155" s="707"/>
      <c r="I2155" s="707">
        <f t="shared" si="66"/>
        <v>0</v>
      </c>
      <c r="J2155" s="707">
        <f t="shared" si="67"/>
        <v>0</v>
      </c>
      <c r="K2155" s="70"/>
    </row>
    <row r="2156" spans="1:11" ht="24" customHeight="1">
      <c r="A2156" s="33" t="s">
        <v>908</v>
      </c>
      <c r="B2156" s="33" t="s">
        <v>27</v>
      </c>
      <c r="C2156" s="33">
        <v>10</v>
      </c>
      <c r="D2156" s="2" t="s">
        <v>888</v>
      </c>
      <c r="E2156" s="33">
        <v>5</v>
      </c>
      <c r="F2156" s="33"/>
      <c r="G2156" s="522"/>
      <c r="H2156" s="707"/>
      <c r="I2156" s="707">
        <f t="shared" si="66"/>
        <v>0</v>
      </c>
      <c r="J2156" s="707">
        <f t="shared" si="67"/>
        <v>0</v>
      </c>
      <c r="K2156" s="70"/>
    </row>
    <row r="2157" spans="1:11" ht="24" customHeight="1">
      <c r="A2157" s="2" t="s">
        <v>1888</v>
      </c>
      <c r="B2157" s="2" t="s">
        <v>27</v>
      </c>
      <c r="C2157" s="2">
        <v>50</v>
      </c>
      <c r="D2157" s="2" t="s">
        <v>1785</v>
      </c>
      <c r="E2157" s="33">
        <v>3</v>
      </c>
      <c r="F2157" s="33"/>
      <c r="G2157" s="522"/>
      <c r="H2157" s="707"/>
      <c r="I2157" s="707">
        <f t="shared" si="66"/>
        <v>0</v>
      </c>
      <c r="J2157" s="707">
        <f t="shared" si="67"/>
        <v>0</v>
      </c>
      <c r="K2157" s="70"/>
    </row>
    <row r="2158" spans="1:11" ht="24" customHeight="1">
      <c r="A2158" s="33" t="s">
        <v>1895</v>
      </c>
      <c r="B2158" s="33" t="s">
        <v>1887</v>
      </c>
      <c r="C2158" s="33">
        <v>100</v>
      </c>
      <c r="D2158" s="2" t="s">
        <v>1785</v>
      </c>
      <c r="E2158" s="33">
        <v>3</v>
      </c>
      <c r="F2158" s="33"/>
      <c r="G2158" s="522"/>
      <c r="H2158" s="707"/>
      <c r="I2158" s="707">
        <f t="shared" si="66"/>
        <v>0</v>
      </c>
      <c r="J2158" s="707">
        <f t="shared" si="67"/>
        <v>0</v>
      </c>
      <c r="K2158" s="70"/>
    </row>
    <row r="2159" spans="1:11" ht="24" customHeight="1">
      <c r="A2159" s="2" t="s">
        <v>828</v>
      </c>
      <c r="B2159" s="2" t="s">
        <v>27</v>
      </c>
      <c r="C2159" s="2">
        <v>5</v>
      </c>
      <c r="D2159" s="2" t="s">
        <v>593</v>
      </c>
      <c r="E2159" s="33">
        <v>3</v>
      </c>
      <c r="F2159" s="33"/>
      <c r="G2159" s="522"/>
      <c r="H2159" s="707">
        <v>2</v>
      </c>
      <c r="I2159" s="707">
        <f t="shared" si="66"/>
        <v>2.2999999999999998</v>
      </c>
      <c r="J2159" s="707">
        <f t="shared" si="67"/>
        <v>2.6</v>
      </c>
      <c r="K2159" s="70"/>
    </row>
    <row r="2160" spans="1:11" ht="24" customHeight="1">
      <c r="A2160" s="2" t="s">
        <v>37</v>
      </c>
      <c r="B2160" s="2" t="s">
        <v>27</v>
      </c>
      <c r="C2160" s="2">
        <v>86</v>
      </c>
      <c r="D2160" s="2" t="s">
        <v>11</v>
      </c>
      <c r="E2160" s="33">
        <v>1</v>
      </c>
      <c r="F2160" s="33"/>
      <c r="G2160" s="522"/>
      <c r="H2160" s="707"/>
      <c r="I2160" s="707">
        <f t="shared" si="66"/>
        <v>0</v>
      </c>
      <c r="J2160" s="707">
        <f t="shared" si="67"/>
        <v>0</v>
      </c>
      <c r="K2160" s="70"/>
    </row>
    <row r="2161" spans="1:11" ht="24" customHeight="1">
      <c r="A2161" s="33" t="s">
        <v>2766</v>
      </c>
      <c r="B2161" s="33" t="s">
        <v>2767</v>
      </c>
      <c r="C2161" s="33">
        <v>126</v>
      </c>
      <c r="D2161" s="33" t="s">
        <v>2716</v>
      </c>
      <c r="E2161" s="354">
        <v>3</v>
      </c>
      <c r="F2161" s="354"/>
      <c r="G2161" s="688"/>
      <c r="H2161" s="708"/>
      <c r="I2161" s="707">
        <f t="shared" si="66"/>
        <v>0</v>
      </c>
      <c r="J2161" s="708">
        <f t="shared" si="67"/>
        <v>0</v>
      </c>
      <c r="K2161" s="70"/>
    </row>
    <row r="2162" spans="1:11" ht="24" customHeight="1">
      <c r="A2162" s="17" t="s">
        <v>1697</v>
      </c>
      <c r="B2162" s="17" t="s">
        <v>27</v>
      </c>
      <c r="C2162" s="17">
        <v>78</v>
      </c>
      <c r="D2162" s="131" t="s">
        <v>1681</v>
      </c>
      <c r="E2162" s="15">
        <v>1</v>
      </c>
      <c r="F2162" s="15"/>
      <c r="G2162" s="684"/>
      <c r="H2162" s="708"/>
      <c r="I2162" s="707">
        <f t="shared" si="66"/>
        <v>0</v>
      </c>
      <c r="J2162" s="708">
        <f t="shared" si="67"/>
        <v>0</v>
      </c>
      <c r="K2162" s="70"/>
    </row>
    <row r="2163" spans="1:11" ht="24" customHeight="1">
      <c r="A2163" s="2" t="s">
        <v>610</v>
      </c>
      <c r="B2163" s="2" t="s">
        <v>27</v>
      </c>
      <c r="C2163" s="2">
        <v>41</v>
      </c>
      <c r="D2163" s="2" t="s">
        <v>593</v>
      </c>
      <c r="E2163" s="33">
        <v>1</v>
      </c>
      <c r="F2163" s="33"/>
      <c r="G2163" s="522"/>
      <c r="H2163" s="707"/>
      <c r="I2163" s="707">
        <f t="shared" si="66"/>
        <v>0</v>
      </c>
      <c r="J2163" s="707">
        <f t="shared" si="67"/>
        <v>0</v>
      </c>
      <c r="K2163" s="70"/>
    </row>
    <row r="2164" spans="1:11" ht="24" customHeight="1">
      <c r="A2164" s="59" t="s">
        <v>3251</v>
      </c>
      <c r="B2164" s="59" t="s">
        <v>41</v>
      </c>
      <c r="C2164" s="59">
        <v>1</v>
      </c>
      <c r="D2164" s="33" t="s">
        <v>3053</v>
      </c>
      <c r="E2164" s="354">
        <v>5</v>
      </c>
      <c r="F2164" s="354"/>
      <c r="G2164" s="688"/>
      <c r="H2164" s="707">
        <v>2</v>
      </c>
      <c r="I2164" s="707">
        <f t="shared" si="66"/>
        <v>2.2999999999999998</v>
      </c>
      <c r="J2164" s="707">
        <f t="shared" si="67"/>
        <v>2.6</v>
      </c>
      <c r="K2164" s="70"/>
    </row>
    <row r="2165" spans="1:11" ht="24" customHeight="1">
      <c r="A2165" s="17" t="s">
        <v>2895</v>
      </c>
      <c r="B2165" s="17" t="s">
        <v>27</v>
      </c>
      <c r="C2165" s="17">
        <v>10</v>
      </c>
      <c r="D2165" s="131" t="s">
        <v>2882</v>
      </c>
      <c r="E2165" s="15">
        <v>1</v>
      </c>
      <c r="F2165" s="15"/>
      <c r="G2165" s="684"/>
      <c r="H2165" s="707"/>
      <c r="I2165" s="707">
        <f t="shared" si="66"/>
        <v>0</v>
      </c>
      <c r="J2165" s="707">
        <f t="shared" si="67"/>
        <v>0</v>
      </c>
      <c r="K2165" s="70"/>
    </row>
    <row r="2166" spans="1:11" ht="24" customHeight="1">
      <c r="A2166" s="17" t="s">
        <v>1701</v>
      </c>
      <c r="B2166" s="17" t="s">
        <v>27</v>
      </c>
      <c r="C2166" s="17">
        <v>47</v>
      </c>
      <c r="D2166" s="131" t="s">
        <v>1681</v>
      </c>
      <c r="E2166" s="15">
        <v>1</v>
      </c>
      <c r="F2166" s="15"/>
      <c r="G2166" s="684"/>
      <c r="H2166" s="707"/>
      <c r="I2166" s="707">
        <f t="shared" si="66"/>
        <v>0</v>
      </c>
      <c r="J2166" s="707">
        <f t="shared" si="67"/>
        <v>0</v>
      </c>
      <c r="K2166" s="70"/>
    </row>
    <row r="2167" spans="1:11" ht="24" customHeight="1">
      <c r="A2167" s="55" t="s">
        <v>3255</v>
      </c>
      <c r="B2167" s="55" t="s">
        <v>41</v>
      </c>
      <c r="C2167" s="55">
        <v>2</v>
      </c>
      <c r="D2167" s="33" t="s">
        <v>3053</v>
      </c>
      <c r="E2167" s="354">
        <v>5</v>
      </c>
      <c r="F2167" s="354"/>
      <c r="G2167" s="688"/>
      <c r="H2167" s="707"/>
      <c r="I2167" s="707">
        <f t="shared" si="66"/>
        <v>0</v>
      </c>
      <c r="J2167" s="707">
        <f t="shared" si="67"/>
        <v>0</v>
      </c>
      <c r="K2167" s="70"/>
    </row>
    <row r="2168" spans="1:11" ht="24" customHeight="1">
      <c r="A2168" s="59" t="s">
        <v>3252</v>
      </c>
      <c r="B2168" s="59" t="s">
        <v>41</v>
      </c>
      <c r="C2168" s="59">
        <v>2</v>
      </c>
      <c r="D2168" s="33" t="s">
        <v>3053</v>
      </c>
      <c r="E2168" s="354">
        <v>5</v>
      </c>
      <c r="F2168" s="354"/>
      <c r="G2168" s="688"/>
      <c r="H2168" s="707">
        <v>15</v>
      </c>
      <c r="I2168" s="707">
        <f t="shared" si="66"/>
        <v>17.25</v>
      </c>
      <c r="J2168" s="707">
        <f t="shared" si="67"/>
        <v>19.5</v>
      </c>
      <c r="K2168" s="70"/>
    </row>
    <row r="2169" spans="1:11" ht="24" customHeight="1">
      <c r="A2169" s="2" t="s">
        <v>772</v>
      </c>
      <c r="B2169" s="2" t="s">
        <v>773</v>
      </c>
      <c r="C2169" s="2">
        <v>5</v>
      </c>
      <c r="D2169" s="2" t="s">
        <v>593</v>
      </c>
      <c r="E2169" s="33">
        <v>3</v>
      </c>
      <c r="F2169" s="33"/>
      <c r="G2169" s="522"/>
      <c r="H2169" s="707"/>
      <c r="I2169" s="707">
        <f t="shared" si="66"/>
        <v>0</v>
      </c>
      <c r="J2169" s="707">
        <f t="shared" si="67"/>
        <v>0</v>
      </c>
      <c r="K2169" s="70"/>
    </row>
    <row r="2170" spans="1:11" ht="24" customHeight="1">
      <c r="A2170" s="74" t="s">
        <v>2446</v>
      </c>
      <c r="B2170" s="74" t="s">
        <v>27</v>
      </c>
      <c r="C2170" s="74">
        <v>27</v>
      </c>
      <c r="D2170" s="33" t="s">
        <v>2363</v>
      </c>
      <c r="E2170" s="33">
        <v>5</v>
      </c>
      <c r="F2170" s="33"/>
      <c r="G2170" s="522"/>
      <c r="H2170" s="707">
        <v>2</v>
      </c>
      <c r="I2170" s="707">
        <f t="shared" si="66"/>
        <v>2.2999999999999998</v>
      </c>
      <c r="J2170" s="707">
        <f t="shared" si="67"/>
        <v>2.6</v>
      </c>
      <c r="K2170" s="70"/>
    </row>
    <row r="2171" spans="1:11" ht="24" customHeight="1">
      <c r="A2171" s="74" t="s">
        <v>1106</v>
      </c>
      <c r="B2171" s="74" t="s">
        <v>27</v>
      </c>
      <c r="C2171" s="74">
        <v>83</v>
      </c>
      <c r="D2171" s="33" t="s">
        <v>992</v>
      </c>
      <c r="E2171" s="33">
        <v>5</v>
      </c>
      <c r="F2171" s="33"/>
      <c r="G2171" s="522"/>
      <c r="H2171" s="707">
        <v>2</v>
      </c>
      <c r="I2171" s="707">
        <f t="shared" si="66"/>
        <v>2.2999999999999998</v>
      </c>
      <c r="J2171" s="707">
        <f t="shared" si="67"/>
        <v>2.6</v>
      </c>
      <c r="K2171" s="70"/>
    </row>
    <row r="2172" spans="1:11" ht="24" customHeight="1">
      <c r="A2172" s="74" t="s">
        <v>2428</v>
      </c>
      <c r="B2172" s="74" t="s">
        <v>27</v>
      </c>
      <c r="C2172" s="74">
        <v>9</v>
      </c>
      <c r="D2172" s="33" t="s">
        <v>2363</v>
      </c>
      <c r="E2172" s="33">
        <v>5</v>
      </c>
      <c r="F2172" s="33"/>
      <c r="G2172" s="522"/>
      <c r="H2172" s="707"/>
      <c r="I2172" s="707">
        <f t="shared" si="66"/>
        <v>0</v>
      </c>
      <c r="J2172" s="707">
        <f t="shared" si="67"/>
        <v>0</v>
      </c>
      <c r="K2172" s="70"/>
    </row>
    <row r="2173" spans="1:11" ht="24" customHeight="1">
      <c r="A2173" s="11" t="s">
        <v>3504</v>
      </c>
      <c r="B2173" s="11" t="s">
        <v>27</v>
      </c>
      <c r="C2173" s="11">
        <v>2</v>
      </c>
      <c r="D2173" s="131" t="s">
        <v>3451</v>
      </c>
      <c r="E2173" s="15">
        <v>3</v>
      </c>
      <c r="F2173" s="15"/>
      <c r="G2173" s="684"/>
      <c r="H2173" s="707"/>
      <c r="I2173" s="707">
        <f t="shared" si="66"/>
        <v>0</v>
      </c>
      <c r="J2173" s="707">
        <f t="shared" si="67"/>
        <v>0</v>
      </c>
      <c r="K2173" s="70"/>
    </row>
    <row r="2174" spans="1:11" ht="24" customHeight="1">
      <c r="A2174" s="2" t="s">
        <v>2724</v>
      </c>
      <c r="B2174" s="2" t="s">
        <v>27</v>
      </c>
      <c r="C2174" s="2">
        <v>16</v>
      </c>
      <c r="D2174" s="2" t="s">
        <v>3256</v>
      </c>
      <c r="E2174" s="33">
        <v>1</v>
      </c>
      <c r="F2174" s="33"/>
      <c r="G2174" s="522"/>
      <c r="H2174" s="707"/>
      <c r="I2174" s="707">
        <f t="shared" si="66"/>
        <v>0</v>
      </c>
      <c r="J2174" s="707">
        <f t="shared" si="67"/>
        <v>0</v>
      </c>
      <c r="K2174" s="70" t="s">
        <v>241</v>
      </c>
    </row>
    <row r="2175" spans="1:11" ht="24" customHeight="1">
      <c r="A2175" s="74" t="s">
        <v>1477</v>
      </c>
      <c r="B2175" s="74" t="s">
        <v>27</v>
      </c>
      <c r="C2175" s="74">
        <v>1</v>
      </c>
      <c r="D2175" s="33" t="s">
        <v>1372</v>
      </c>
      <c r="E2175" s="33">
        <v>5</v>
      </c>
      <c r="F2175" s="33"/>
      <c r="G2175" s="522"/>
      <c r="H2175" s="707"/>
      <c r="I2175" s="707">
        <f t="shared" si="66"/>
        <v>0</v>
      </c>
      <c r="J2175" s="707">
        <f t="shared" si="67"/>
        <v>0</v>
      </c>
      <c r="K2175" s="70"/>
    </row>
    <row r="2176" spans="1:11" ht="24" customHeight="1">
      <c r="A2176" s="74" t="s">
        <v>1676</v>
      </c>
      <c r="B2176" s="74" t="s">
        <v>27</v>
      </c>
      <c r="C2176" s="74">
        <v>12</v>
      </c>
      <c r="D2176" s="33" t="s">
        <v>1548</v>
      </c>
      <c r="E2176" s="33">
        <v>5</v>
      </c>
      <c r="F2176" s="33"/>
      <c r="G2176" s="522"/>
      <c r="H2176" s="707">
        <v>300</v>
      </c>
      <c r="I2176" s="707">
        <f t="shared" si="66"/>
        <v>345</v>
      </c>
      <c r="J2176" s="707">
        <f t="shared" si="67"/>
        <v>390</v>
      </c>
      <c r="K2176" s="70"/>
    </row>
    <row r="2177" spans="1:11" ht="24" customHeight="1">
      <c r="A2177" s="2" t="s">
        <v>516</v>
      </c>
      <c r="B2177" s="2" t="s">
        <v>27</v>
      </c>
      <c r="C2177" s="2">
        <v>1</v>
      </c>
      <c r="D2177" s="2" t="s">
        <v>274</v>
      </c>
      <c r="E2177" s="33">
        <v>3</v>
      </c>
      <c r="F2177" s="33"/>
      <c r="G2177" s="522"/>
      <c r="H2177" s="707"/>
      <c r="I2177" s="707">
        <f t="shared" si="66"/>
        <v>0</v>
      </c>
      <c r="J2177" s="707">
        <f t="shared" si="67"/>
        <v>0</v>
      </c>
      <c r="K2177" s="70"/>
    </row>
    <row r="2178" spans="1:11" ht="24" customHeight="1">
      <c r="A2178" s="59" t="s">
        <v>516</v>
      </c>
      <c r="B2178" s="59" t="s">
        <v>27</v>
      </c>
      <c r="C2178" s="59">
        <v>49</v>
      </c>
      <c r="D2178" s="33" t="s">
        <v>2624</v>
      </c>
      <c r="E2178" s="354">
        <v>5</v>
      </c>
      <c r="F2178" s="354"/>
      <c r="G2178" s="688"/>
      <c r="H2178" s="707"/>
      <c r="I2178" s="707">
        <f t="shared" si="66"/>
        <v>0</v>
      </c>
      <c r="J2178" s="707">
        <f t="shared" si="67"/>
        <v>0</v>
      </c>
      <c r="K2178" s="70"/>
    </row>
    <row r="2179" spans="1:11" ht="24" customHeight="1">
      <c r="A2179" s="11" t="s">
        <v>1714</v>
      </c>
      <c r="B2179" s="11" t="s">
        <v>27</v>
      </c>
      <c r="C2179" s="11">
        <v>135</v>
      </c>
      <c r="D2179" s="131" t="s">
        <v>1681</v>
      </c>
      <c r="E2179" s="15">
        <v>2</v>
      </c>
      <c r="F2179" s="15"/>
      <c r="G2179" s="684"/>
      <c r="H2179" s="707"/>
      <c r="I2179" s="707">
        <f t="shared" ref="I2179:I2242" si="68">H2179 * 1.15</f>
        <v>0</v>
      </c>
      <c r="J2179" s="707">
        <f t="shared" ref="J2179:J2242" si="69">H2179 * 1.3</f>
        <v>0</v>
      </c>
      <c r="K2179" s="70"/>
    </row>
    <row r="2180" spans="1:11" ht="24" customHeight="1">
      <c r="A2180" s="17" t="s">
        <v>2680</v>
      </c>
      <c r="B2180" s="17" t="s">
        <v>41</v>
      </c>
      <c r="C2180" s="17">
        <v>200</v>
      </c>
      <c r="D2180" s="131" t="s">
        <v>2882</v>
      </c>
      <c r="E2180" s="15">
        <v>2</v>
      </c>
      <c r="F2180" s="15" t="s">
        <v>2900</v>
      </c>
      <c r="G2180" s="684"/>
      <c r="H2180" s="708"/>
      <c r="I2180" s="707">
        <f t="shared" si="68"/>
        <v>0</v>
      </c>
      <c r="J2180" s="708">
        <f t="shared" si="69"/>
        <v>0</v>
      </c>
      <c r="K2180" s="70" t="s">
        <v>549</v>
      </c>
    </row>
    <row r="2181" spans="1:11" ht="24" customHeight="1">
      <c r="A2181" s="2" t="s">
        <v>782</v>
      </c>
      <c r="B2181" s="2" t="s">
        <v>27</v>
      </c>
      <c r="C2181" s="2">
        <v>10</v>
      </c>
      <c r="D2181" s="2" t="s">
        <v>593</v>
      </c>
      <c r="E2181" s="33">
        <v>3</v>
      </c>
      <c r="F2181" s="33"/>
      <c r="G2181" s="522"/>
      <c r="H2181" s="707">
        <v>2</v>
      </c>
      <c r="I2181" s="707">
        <f t="shared" si="68"/>
        <v>2.2999999999999998</v>
      </c>
      <c r="J2181" s="707">
        <f t="shared" si="69"/>
        <v>2.6</v>
      </c>
      <c r="K2181" s="70"/>
    </row>
    <row r="2182" spans="1:11" ht="24" customHeight="1">
      <c r="A2182" s="33" t="s">
        <v>2768</v>
      </c>
      <c r="B2182" s="33" t="s">
        <v>27</v>
      </c>
      <c r="C2182" s="33">
        <v>56</v>
      </c>
      <c r="D2182" s="33" t="s">
        <v>2716</v>
      </c>
      <c r="E2182" s="354">
        <v>3</v>
      </c>
      <c r="F2182" s="354"/>
      <c r="G2182" s="688"/>
      <c r="H2182" s="708"/>
      <c r="I2182" s="707">
        <f t="shared" si="68"/>
        <v>0</v>
      </c>
      <c r="J2182" s="708">
        <f t="shared" si="69"/>
        <v>0</v>
      </c>
      <c r="K2182" s="70"/>
    </row>
    <row r="2183" spans="1:11" ht="24" customHeight="1">
      <c r="A2183" s="33" t="s">
        <v>666</v>
      </c>
      <c r="B2183" s="33" t="s">
        <v>27</v>
      </c>
      <c r="C2183" s="33">
        <v>93</v>
      </c>
      <c r="D2183" s="2" t="s">
        <v>593</v>
      </c>
      <c r="E2183" s="33">
        <v>1</v>
      </c>
      <c r="F2183" s="33"/>
      <c r="G2183" s="522"/>
      <c r="H2183" s="707">
        <v>2</v>
      </c>
      <c r="I2183" s="707">
        <f t="shared" si="68"/>
        <v>2.2999999999999998</v>
      </c>
      <c r="J2183" s="707">
        <f t="shared" si="69"/>
        <v>2.6</v>
      </c>
      <c r="K2183" s="70"/>
    </row>
    <row r="2184" spans="1:11" ht="24" customHeight="1">
      <c r="A2184" s="11" t="s">
        <v>666</v>
      </c>
      <c r="B2184" s="11" t="s">
        <v>27</v>
      </c>
      <c r="C2184" s="11">
        <v>20</v>
      </c>
      <c r="D2184" s="131" t="s">
        <v>3451</v>
      </c>
      <c r="E2184" s="15">
        <v>3</v>
      </c>
      <c r="F2184" s="15"/>
      <c r="G2184" s="684"/>
      <c r="H2184" s="707">
        <v>2</v>
      </c>
      <c r="I2184" s="707">
        <f t="shared" si="68"/>
        <v>2.2999999999999998</v>
      </c>
      <c r="J2184" s="707">
        <f t="shared" si="69"/>
        <v>2.6</v>
      </c>
      <c r="K2184" s="70"/>
    </row>
    <row r="2185" spans="1:11" ht="24" customHeight="1">
      <c r="A2185" s="3" t="s">
        <v>3021</v>
      </c>
      <c r="B2185" s="3" t="s">
        <v>41</v>
      </c>
      <c r="C2185" s="3">
        <v>40</v>
      </c>
      <c r="D2185" s="71" t="s">
        <v>2947</v>
      </c>
      <c r="E2185" s="354">
        <v>5</v>
      </c>
      <c r="F2185" s="354"/>
      <c r="G2185" s="688"/>
      <c r="H2185" s="707">
        <v>10</v>
      </c>
      <c r="I2185" s="707">
        <f t="shared" si="68"/>
        <v>11.5</v>
      </c>
      <c r="J2185" s="707">
        <f t="shared" si="69"/>
        <v>13</v>
      </c>
      <c r="K2185" s="70"/>
    </row>
    <row r="2186" spans="1:11" ht="24" customHeight="1">
      <c r="A2186" s="2" t="s">
        <v>31</v>
      </c>
      <c r="B2186" s="2" t="s">
        <v>27</v>
      </c>
      <c r="C2186" s="2">
        <v>24</v>
      </c>
      <c r="D2186" s="2" t="s">
        <v>11</v>
      </c>
      <c r="E2186" s="33">
        <v>1</v>
      </c>
      <c r="F2186" s="33"/>
      <c r="G2186" s="522"/>
      <c r="H2186" s="707">
        <v>7</v>
      </c>
      <c r="I2186" s="707">
        <f t="shared" si="68"/>
        <v>8.0499999999999989</v>
      </c>
      <c r="J2186" s="707">
        <f t="shared" si="69"/>
        <v>9.1</v>
      </c>
      <c r="K2186" s="70"/>
    </row>
    <row r="2187" spans="1:11" ht="24" customHeight="1">
      <c r="A2187" s="33" t="s">
        <v>261</v>
      </c>
      <c r="B2187" s="33" t="s">
        <v>27</v>
      </c>
      <c r="C2187" s="33">
        <v>16</v>
      </c>
      <c r="D2187" s="2" t="s">
        <v>188</v>
      </c>
      <c r="E2187" s="33">
        <v>5</v>
      </c>
      <c r="F2187" s="33"/>
      <c r="G2187" s="522"/>
      <c r="H2187" s="707"/>
      <c r="I2187" s="707">
        <f t="shared" si="68"/>
        <v>0</v>
      </c>
      <c r="J2187" s="707">
        <f t="shared" si="69"/>
        <v>0</v>
      </c>
      <c r="K2187" s="70"/>
    </row>
    <row r="2188" spans="1:11" ht="24" customHeight="1">
      <c r="A2188" s="33" t="s">
        <v>383</v>
      </c>
      <c r="B2188" s="33" t="s">
        <v>27</v>
      </c>
      <c r="C2188" s="33">
        <v>39</v>
      </c>
      <c r="D2188" s="2" t="s">
        <v>274</v>
      </c>
      <c r="E2188" s="33">
        <v>2</v>
      </c>
      <c r="F2188" s="33"/>
      <c r="G2188" s="522"/>
      <c r="H2188" s="707"/>
      <c r="I2188" s="707">
        <f t="shared" si="68"/>
        <v>0</v>
      </c>
      <c r="J2188" s="707">
        <f t="shared" si="69"/>
        <v>0</v>
      </c>
      <c r="K2188" s="70"/>
    </row>
    <row r="2189" spans="1:11" ht="24" customHeight="1">
      <c r="A2189" s="33" t="s">
        <v>664</v>
      </c>
      <c r="B2189" s="33" t="s">
        <v>665</v>
      </c>
      <c r="C2189" s="33">
        <v>30</v>
      </c>
      <c r="D2189" s="2" t="s">
        <v>593</v>
      </c>
      <c r="E2189" s="33">
        <v>1</v>
      </c>
      <c r="F2189" s="33"/>
      <c r="G2189" s="522"/>
      <c r="H2189" s="707">
        <v>3</v>
      </c>
      <c r="I2189" s="707">
        <f t="shared" si="68"/>
        <v>3.4499999999999997</v>
      </c>
      <c r="J2189" s="707">
        <f t="shared" si="69"/>
        <v>3.9000000000000004</v>
      </c>
      <c r="K2189" s="70"/>
    </row>
    <row r="2190" spans="1:11" ht="24" customHeight="1">
      <c r="A2190" s="79" t="s">
        <v>2142</v>
      </c>
      <c r="B2190" s="79" t="s">
        <v>350</v>
      </c>
      <c r="C2190" s="79">
        <v>5</v>
      </c>
      <c r="D2190" s="79" t="s">
        <v>2111</v>
      </c>
      <c r="E2190" s="79">
        <v>2</v>
      </c>
      <c r="F2190" s="79"/>
      <c r="G2190" s="60"/>
      <c r="H2190" s="712"/>
      <c r="I2190" s="721">
        <f t="shared" si="68"/>
        <v>0</v>
      </c>
      <c r="J2190" s="712">
        <f t="shared" si="69"/>
        <v>0</v>
      </c>
      <c r="K2190" s="70"/>
    </row>
    <row r="2191" spans="1:11" ht="24" customHeight="1">
      <c r="A2191" s="74" t="s">
        <v>1304</v>
      </c>
      <c r="B2191" s="74" t="s">
        <v>1305</v>
      </c>
      <c r="C2191" s="74">
        <v>3</v>
      </c>
      <c r="D2191" s="33" t="s">
        <v>1201</v>
      </c>
      <c r="E2191" s="33">
        <v>5</v>
      </c>
      <c r="F2191" s="33"/>
      <c r="G2191" s="522"/>
      <c r="H2191" s="707"/>
      <c r="I2191" s="707">
        <f t="shared" si="68"/>
        <v>0</v>
      </c>
      <c r="J2191" s="707">
        <f t="shared" si="69"/>
        <v>0</v>
      </c>
      <c r="K2191" s="70"/>
    </row>
    <row r="2192" spans="1:11" ht="24" customHeight="1">
      <c r="A2192" s="17" t="s">
        <v>3547</v>
      </c>
      <c r="B2192" s="17" t="s">
        <v>350</v>
      </c>
      <c r="C2192" s="17">
        <v>1</v>
      </c>
      <c r="D2192" s="131" t="s">
        <v>3539</v>
      </c>
      <c r="E2192" s="15">
        <v>4</v>
      </c>
      <c r="F2192" s="15"/>
      <c r="G2192" s="684"/>
      <c r="H2192" s="707"/>
      <c r="I2192" s="707">
        <f t="shared" si="68"/>
        <v>0</v>
      </c>
      <c r="J2192" s="707">
        <f t="shared" si="69"/>
        <v>0</v>
      </c>
      <c r="K2192" s="70"/>
    </row>
    <row r="2193" spans="1:11" ht="24" customHeight="1">
      <c r="A2193" s="74" t="s">
        <v>1677</v>
      </c>
      <c r="B2193" s="74" t="s">
        <v>350</v>
      </c>
      <c r="C2193" s="74">
        <v>33</v>
      </c>
      <c r="D2193" s="33" t="s">
        <v>1548</v>
      </c>
      <c r="E2193" s="33">
        <v>5</v>
      </c>
      <c r="F2193" s="33"/>
      <c r="G2193" s="522"/>
      <c r="H2193" s="707"/>
      <c r="I2193" s="707">
        <f t="shared" si="68"/>
        <v>0</v>
      </c>
      <c r="J2193" s="707">
        <f t="shared" si="69"/>
        <v>0</v>
      </c>
      <c r="K2193" s="70"/>
    </row>
    <row r="2194" spans="1:11" ht="24" customHeight="1">
      <c r="A2194" s="2" t="s">
        <v>833</v>
      </c>
      <c r="B2194" s="2" t="s">
        <v>350</v>
      </c>
      <c r="C2194" s="2">
        <v>5</v>
      </c>
      <c r="D2194" s="2" t="s">
        <v>593</v>
      </c>
      <c r="E2194" s="33">
        <v>3</v>
      </c>
      <c r="F2194" s="33"/>
      <c r="G2194" s="522"/>
      <c r="H2194" s="707"/>
      <c r="I2194" s="707">
        <f t="shared" si="68"/>
        <v>0</v>
      </c>
      <c r="J2194" s="707">
        <f t="shared" si="69"/>
        <v>0</v>
      </c>
      <c r="K2194" s="70"/>
    </row>
    <row r="2195" spans="1:11" ht="24" customHeight="1">
      <c r="A2195" s="2" t="s">
        <v>841</v>
      </c>
      <c r="B2195" s="2" t="s">
        <v>350</v>
      </c>
      <c r="C2195" s="2">
        <v>5</v>
      </c>
      <c r="D2195" s="2" t="s">
        <v>593</v>
      </c>
      <c r="E2195" s="33">
        <v>3</v>
      </c>
      <c r="F2195" s="33"/>
      <c r="G2195" s="522"/>
      <c r="H2195" s="707">
        <v>2</v>
      </c>
      <c r="I2195" s="707">
        <f t="shared" si="68"/>
        <v>2.2999999999999998</v>
      </c>
      <c r="J2195" s="707">
        <f t="shared" si="69"/>
        <v>2.6</v>
      </c>
      <c r="K2195" s="70"/>
    </row>
    <row r="2196" spans="1:11" ht="24" customHeight="1">
      <c r="A2196" s="2" t="s">
        <v>464</v>
      </c>
      <c r="B2196" s="2" t="s">
        <v>350</v>
      </c>
      <c r="C2196" s="2">
        <v>5</v>
      </c>
      <c r="D2196" s="2" t="s">
        <v>274</v>
      </c>
      <c r="E2196" s="33">
        <v>3</v>
      </c>
      <c r="F2196" s="33"/>
      <c r="G2196" s="522"/>
      <c r="H2196" s="707"/>
      <c r="I2196" s="707">
        <f t="shared" si="68"/>
        <v>0</v>
      </c>
      <c r="J2196" s="707">
        <f t="shared" si="69"/>
        <v>0</v>
      </c>
      <c r="K2196" s="70"/>
    </row>
    <row r="2197" spans="1:11" ht="24" customHeight="1">
      <c r="A2197" s="2" t="s">
        <v>843</v>
      </c>
      <c r="B2197" s="2" t="s">
        <v>350</v>
      </c>
      <c r="C2197" s="2">
        <v>5</v>
      </c>
      <c r="D2197" s="2" t="s">
        <v>593</v>
      </c>
      <c r="E2197" s="33">
        <v>3</v>
      </c>
      <c r="F2197" s="33"/>
      <c r="G2197" s="522"/>
      <c r="H2197" s="707"/>
      <c r="I2197" s="707">
        <f t="shared" si="68"/>
        <v>0</v>
      </c>
      <c r="J2197" s="707">
        <f t="shared" si="69"/>
        <v>0</v>
      </c>
      <c r="K2197" s="70"/>
    </row>
    <row r="2198" spans="1:11" ht="24" customHeight="1">
      <c r="A2198" s="33" t="s">
        <v>3383</v>
      </c>
      <c r="B2198" s="33" t="s">
        <v>350</v>
      </c>
      <c r="C2198" s="33">
        <v>3</v>
      </c>
      <c r="D2198" s="33" t="s">
        <v>3348</v>
      </c>
      <c r="E2198" s="33">
        <v>3</v>
      </c>
      <c r="F2198" s="33"/>
      <c r="G2198" s="522"/>
      <c r="H2198" s="707"/>
      <c r="I2198" s="707">
        <f t="shared" si="68"/>
        <v>0</v>
      </c>
      <c r="J2198" s="707">
        <f t="shared" si="69"/>
        <v>0</v>
      </c>
      <c r="K2198" s="70"/>
    </row>
    <row r="2199" spans="1:11" ht="24" customHeight="1">
      <c r="A2199" s="74" t="s">
        <v>1093</v>
      </c>
      <c r="B2199" s="74" t="s">
        <v>25</v>
      </c>
      <c r="C2199" s="74">
        <v>12</v>
      </c>
      <c r="D2199" s="33" t="s">
        <v>992</v>
      </c>
      <c r="E2199" s="33">
        <v>5</v>
      </c>
      <c r="F2199" s="33"/>
      <c r="G2199" s="522"/>
      <c r="H2199" s="707"/>
      <c r="I2199" s="707">
        <f t="shared" si="68"/>
        <v>0</v>
      </c>
      <c r="J2199" s="707">
        <f t="shared" si="69"/>
        <v>0</v>
      </c>
      <c r="K2199" s="70"/>
    </row>
    <row r="2200" spans="1:11" ht="24" customHeight="1">
      <c r="A2200" s="2" t="s">
        <v>887</v>
      </c>
      <c r="B2200" s="2" t="s">
        <v>350</v>
      </c>
      <c r="C2200" s="2">
        <v>90</v>
      </c>
      <c r="D2200" s="2" t="s">
        <v>888</v>
      </c>
      <c r="E2200" s="33">
        <v>4</v>
      </c>
      <c r="F2200" s="33"/>
      <c r="G2200" s="522"/>
      <c r="H2200" s="707"/>
      <c r="I2200" s="707">
        <f t="shared" si="68"/>
        <v>0</v>
      </c>
      <c r="J2200" s="707">
        <f t="shared" si="69"/>
        <v>0</v>
      </c>
      <c r="K2200" s="55"/>
    </row>
    <row r="2201" spans="1:11" ht="24" customHeight="1">
      <c r="A2201" s="2" t="s">
        <v>889</v>
      </c>
      <c r="B2201" s="2" t="s">
        <v>350</v>
      </c>
      <c r="C2201" s="2">
        <v>91</v>
      </c>
      <c r="D2201" s="2" t="s">
        <v>888</v>
      </c>
      <c r="E2201" s="33">
        <v>4</v>
      </c>
      <c r="F2201" s="33"/>
      <c r="G2201" s="522"/>
      <c r="H2201" s="707"/>
      <c r="I2201" s="707">
        <f t="shared" si="68"/>
        <v>0</v>
      </c>
      <c r="J2201" s="707">
        <f t="shared" si="69"/>
        <v>0</v>
      </c>
      <c r="K2201" s="55"/>
    </row>
    <row r="2202" spans="1:11" ht="24" customHeight="1">
      <c r="A2202" s="2" t="s">
        <v>890</v>
      </c>
      <c r="B2202" s="2" t="s">
        <v>350</v>
      </c>
      <c r="C2202" s="2">
        <v>44</v>
      </c>
      <c r="D2202" s="2" t="s">
        <v>888</v>
      </c>
      <c r="E2202" s="33">
        <v>4</v>
      </c>
      <c r="F2202" s="33"/>
      <c r="G2202" s="522"/>
      <c r="H2202" s="707"/>
      <c r="I2202" s="707">
        <f t="shared" si="68"/>
        <v>0</v>
      </c>
      <c r="J2202" s="707">
        <f t="shared" si="69"/>
        <v>0</v>
      </c>
      <c r="K2202" s="55"/>
    </row>
    <row r="2203" spans="1:11" ht="24" customHeight="1">
      <c r="A2203" s="33" t="s">
        <v>3375</v>
      </c>
      <c r="B2203" s="33" t="s">
        <v>350</v>
      </c>
      <c r="C2203" s="33">
        <v>2</v>
      </c>
      <c r="D2203" s="33" t="s">
        <v>3348</v>
      </c>
      <c r="E2203" s="33">
        <v>3</v>
      </c>
      <c r="F2203" s="33"/>
      <c r="G2203" s="522"/>
      <c r="H2203" s="707"/>
      <c r="I2203" s="707">
        <f t="shared" si="68"/>
        <v>0</v>
      </c>
      <c r="J2203" s="707">
        <f t="shared" si="69"/>
        <v>0</v>
      </c>
      <c r="K2203" s="70"/>
    </row>
    <row r="2204" spans="1:11" ht="24" customHeight="1">
      <c r="A2204" s="2" t="s">
        <v>511</v>
      </c>
      <c r="B2204" s="2" t="s">
        <v>350</v>
      </c>
      <c r="C2204" s="2">
        <v>5</v>
      </c>
      <c r="D2204" s="2" t="s">
        <v>274</v>
      </c>
      <c r="E2204" s="33">
        <v>3</v>
      </c>
      <c r="F2204" s="33"/>
      <c r="G2204" s="522"/>
      <c r="H2204" s="707"/>
      <c r="I2204" s="707">
        <f t="shared" si="68"/>
        <v>0</v>
      </c>
      <c r="J2204" s="707">
        <f t="shared" si="69"/>
        <v>0</v>
      </c>
      <c r="K2204" s="70"/>
    </row>
    <row r="2205" spans="1:11" ht="24" customHeight="1">
      <c r="A2205" s="2" t="s">
        <v>512</v>
      </c>
      <c r="B2205" s="2" t="s">
        <v>350</v>
      </c>
      <c r="C2205" s="2">
        <v>5</v>
      </c>
      <c r="D2205" s="2" t="s">
        <v>274</v>
      </c>
      <c r="E2205" s="33">
        <v>3</v>
      </c>
      <c r="F2205" s="33"/>
      <c r="G2205" s="522"/>
      <c r="H2205" s="707">
        <v>1</v>
      </c>
      <c r="I2205" s="707">
        <f t="shared" si="68"/>
        <v>1.1499999999999999</v>
      </c>
      <c r="J2205" s="707">
        <f t="shared" si="69"/>
        <v>1.3</v>
      </c>
      <c r="K2205" s="70"/>
    </row>
    <row r="2206" spans="1:11" ht="24" customHeight="1">
      <c r="A2206" s="2" t="s">
        <v>3438</v>
      </c>
      <c r="B2206" s="2" t="s">
        <v>350</v>
      </c>
      <c r="C2206" s="2">
        <v>8</v>
      </c>
      <c r="D2206" s="65" t="s">
        <v>3348</v>
      </c>
      <c r="E2206" s="33">
        <v>5</v>
      </c>
      <c r="F2206" s="33"/>
      <c r="G2206" s="522"/>
      <c r="H2206" s="707"/>
      <c r="I2206" s="707">
        <f t="shared" si="68"/>
        <v>0</v>
      </c>
      <c r="J2206" s="707">
        <f t="shared" si="69"/>
        <v>0</v>
      </c>
      <c r="K2206" s="70"/>
    </row>
    <row r="2207" spans="1:11" ht="24" customHeight="1">
      <c r="A2207" s="33" t="s">
        <v>1218</v>
      </c>
      <c r="B2207" s="33" t="s">
        <v>350</v>
      </c>
      <c r="C2207" s="33">
        <v>9</v>
      </c>
      <c r="D2207" s="33" t="s">
        <v>1201</v>
      </c>
      <c r="E2207" s="33">
        <v>3</v>
      </c>
      <c r="F2207" s="33"/>
      <c r="G2207" s="522"/>
      <c r="H2207" s="707"/>
      <c r="I2207" s="707">
        <f t="shared" si="68"/>
        <v>0</v>
      </c>
      <c r="J2207" s="707">
        <f t="shared" si="69"/>
        <v>0</v>
      </c>
      <c r="K2207" s="70"/>
    </row>
    <row r="2208" spans="1:11" ht="24" customHeight="1">
      <c r="A2208" s="2" t="s">
        <v>784</v>
      </c>
      <c r="B2208" s="2" t="s">
        <v>779</v>
      </c>
      <c r="C2208" s="2">
        <v>3</v>
      </c>
      <c r="D2208" s="2" t="s">
        <v>593</v>
      </c>
      <c r="E2208" s="33">
        <v>3</v>
      </c>
      <c r="F2208" s="33"/>
      <c r="G2208" s="522"/>
      <c r="H2208" s="707"/>
      <c r="I2208" s="707">
        <f t="shared" si="68"/>
        <v>0</v>
      </c>
      <c r="J2208" s="707">
        <f t="shared" si="69"/>
        <v>0</v>
      </c>
      <c r="K2208" s="70"/>
    </row>
    <row r="2209" spans="1:11" ht="24" customHeight="1">
      <c r="A2209" s="2" t="s">
        <v>778</v>
      </c>
      <c r="B2209" s="2" t="s">
        <v>779</v>
      </c>
      <c r="C2209" s="2">
        <v>2</v>
      </c>
      <c r="D2209" s="2" t="s">
        <v>593</v>
      </c>
      <c r="E2209" s="33">
        <v>3</v>
      </c>
      <c r="F2209" s="33"/>
      <c r="G2209" s="522"/>
      <c r="H2209" s="707"/>
      <c r="I2209" s="707">
        <f t="shared" si="68"/>
        <v>0</v>
      </c>
      <c r="J2209" s="707">
        <f t="shared" si="69"/>
        <v>0</v>
      </c>
      <c r="K2209" s="70"/>
    </row>
    <row r="2210" spans="1:11" ht="24" customHeight="1">
      <c r="A2210" s="2" t="s">
        <v>388</v>
      </c>
      <c r="B2210" s="2" t="s">
        <v>389</v>
      </c>
      <c r="C2210" s="2">
        <v>9</v>
      </c>
      <c r="D2210" s="2" t="s">
        <v>274</v>
      </c>
      <c r="E2210" s="33">
        <v>2</v>
      </c>
      <c r="F2210" s="33"/>
      <c r="G2210" s="522"/>
      <c r="H2210" s="707">
        <v>5</v>
      </c>
      <c r="I2210" s="707">
        <f t="shared" si="68"/>
        <v>5.75</v>
      </c>
      <c r="J2210" s="707">
        <f t="shared" si="69"/>
        <v>6.5</v>
      </c>
      <c r="K2210" s="70"/>
    </row>
    <row r="2211" spans="1:11" ht="24" customHeight="1">
      <c r="A2211" s="2" t="s">
        <v>832</v>
      </c>
      <c r="B2211" s="2" t="s">
        <v>418</v>
      </c>
      <c r="C2211" s="2">
        <v>1</v>
      </c>
      <c r="D2211" s="2" t="s">
        <v>593</v>
      </c>
      <c r="E2211" s="33">
        <v>3</v>
      </c>
      <c r="F2211" s="33"/>
      <c r="G2211" s="522"/>
      <c r="H2211" s="707"/>
      <c r="I2211" s="707">
        <f t="shared" si="68"/>
        <v>0</v>
      </c>
      <c r="J2211" s="707">
        <f t="shared" si="69"/>
        <v>0</v>
      </c>
      <c r="K2211" s="70"/>
    </row>
    <row r="2212" spans="1:11" ht="24" customHeight="1">
      <c r="A2212" s="74" t="s">
        <v>2510</v>
      </c>
      <c r="B2212" s="74" t="s">
        <v>2511</v>
      </c>
      <c r="C2212" s="74">
        <v>5</v>
      </c>
      <c r="D2212" s="33" t="s">
        <v>2504</v>
      </c>
      <c r="E2212" s="33">
        <v>5</v>
      </c>
      <c r="F2212" s="33"/>
      <c r="G2212" s="522"/>
      <c r="H2212" s="707">
        <v>40</v>
      </c>
      <c r="I2212" s="707">
        <f t="shared" si="68"/>
        <v>46</v>
      </c>
      <c r="J2212" s="707">
        <f t="shared" si="69"/>
        <v>52</v>
      </c>
      <c r="K2212" s="70"/>
    </row>
    <row r="2213" spans="1:11" ht="24" customHeight="1">
      <c r="A2213" s="2" t="s">
        <v>3599</v>
      </c>
      <c r="B2213" s="2" t="s">
        <v>3081</v>
      </c>
      <c r="C2213" s="2">
        <v>1</v>
      </c>
      <c r="D2213" s="2" t="s">
        <v>3568</v>
      </c>
      <c r="E2213" s="33">
        <v>3</v>
      </c>
      <c r="F2213" s="33"/>
      <c r="G2213" s="522"/>
      <c r="H2213" s="707"/>
      <c r="I2213" s="707">
        <f t="shared" si="68"/>
        <v>0</v>
      </c>
      <c r="J2213" s="707">
        <f t="shared" si="69"/>
        <v>0</v>
      </c>
      <c r="K2213" s="70"/>
    </row>
    <row r="2214" spans="1:11" ht="24" customHeight="1">
      <c r="A2214" s="2" t="s">
        <v>3601</v>
      </c>
      <c r="B2214" s="2" t="s">
        <v>201</v>
      </c>
      <c r="C2214" s="2">
        <v>1</v>
      </c>
      <c r="D2214" s="2" t="s">
        <v>3568</v>
      </c>
      <c r="E2214" s="33">
        <v>3</v>
      </c>
      <c r="F2214" s="33"/>
      <c r="G2214" s="522"/>
      <c r="H2214" s="707"/>
      <c r="I2214" s="707">
        <f t="shared" si="68"/>
        <v>0</v>
      </c>
      <c r="J2214" s="707">
        <f t="shared" si="69"/>
        <v>0</v>
      </c>
      <c r="K2214" s="70"/>
    </row>
    <row r="2215" spans="1:11" ht="24" customHeight="1">
      <c r="A2215" s="2" t="s">
        <v>3613</v>
      </c>
      <c r="B2215" s="2" t="s">
        <v>201</v>
      </c>
      <c r="C2215" s="2">
        <v>1</v>
      </c>
      <c r="D2215" s="2" t="s">
        <v>3568</v>
      </c>
      <c r="E2215" s="33">
        <v>3</v>
      </c>
      <c r="F2215" s="33"/>
      <c r="G2215" s="522"/>
      <c r="H2215" s="707"/>
      <c r="I2215" s="707">
        <f t="shared" si="68"/>
        <v>0</v>
      </c>
      <c r="J2215" s="707">
        <f t="shared" si="69"/>
        <v>0</v>
      </c>
      <c r="K2215" s="70"/>
    </row>
    <row r="2216" spans="1:11" ht="24" customHeight="1">
      <c r="A2216" s="33" t="s">
        <v>1811</v>
      </c>
      <c r="B2216" s="66" t="s">
        <v>201</v>
      </c>
      <c r="C2216" s="66">
        <v>1</v>
      </c>
      <c r="D2216" s="81" t="s">
        <v>1785</v>
      </c>
      <c r="E2216" s="66">
        <v>1</v>
      </c>
      <c r="F2216" s="66"/>
      <c r="G2216" s="689"/>
      <c r="H2216" s="707"/>
      <c r="I2216" s="707">
        <f t="shared" si="68"/>
        <v>0</v>
      </c>
      <c r="J2216" s="707">
        <f t="shared" si="69"/>
        <v>0</v>
      </c>
      <c r="K2216" s="70"/>
    </row>
    <row r="2217" spans="1:11" ht="24" customHeight="1">
      <c r="A2217" s="2" t="s">
        <v>577</v>
      </c>
      <c r="B2217" s="2" t="s">
        <v>267</v>
      </c>
      <c r="C2217" s="2">
        <v>30</v>
      </c>
      <c r="D2217" s="2" t="s">
        <v>536</v>
      </c>
      <c r="E2217" s="33">
        <v>5</v>
      </c>
      <c r="F2217" s="33"/>
      <c r="G2217" s="522"/>
      <c r="H2217" s="707">
        <v>10</v>
      </c>
      <c r="I2217" s="707">
        <f t="shared" si="68"/>
        <v>11.5</v>
      </c>
      <c r="J2217" s="707">
        <f t="shared" si="69"/>
        <v>13</v>
      </c>
      <c r="K2217" s="70"/>
    </row>
    <row r="2218" spans="1:11" ht="24" customHeight="1">
      <c r="A2218" s="59" t="s">
        <v>3248</v>
      </c>
      <c r="B2218" s="59" t="s">
        <v>267</v>
      </c>
      <c r="C2218" s="59">
        <v>1</v>
      </c>
      <c r="D2218" s="33" t="s">
        <v>3053</v>
      </c>
      <c r="E2218" s="354">
        <v>5</v>
      </c>
      <c r="F2218" s="354"/>
      <c r="G2218" s="688"/>
      <c r="H2218" s="707">
        <v>3</v>
      </c>
      <c r="I2218" s="707">
        <f t="shared" si="68"/>
        <v>3.4499999999999997</v>
      </c>
      <c r="J2218" s="707">
        <f t="shared" si="69"/>
        <v>3.9000000000000004</v>
      </c>
      <c r="K2218" s="70"/>
    </row>
    <row r="2219" spans="1:11" ht="24" customHeight="1">
      <c r="A2219" s="2" t="s">
        <v>825</v>
      </c>
      <c r="B2219" s="2" t="s">
        <v>267</v>
      </c>
      <c r="C2219" s="2">
        <v>17</v>
      </c>
      <c r="D2219" s="2" t="s">
        <v>593</v>
      </c>
      <c r="E2219" s="33">
        <v>3</v>
      </c>
      <c r="F2219" s="33"/>
      <c r="G2219" s="522"/>
      <c r="H2219" s="707">
        <v>7</v>
      </c>
      <c r="I2219" s="707">
        <f t="shared" si="68"/>
        <v>8.0499999999999989</v>
      </c>
      <c r="J2219" s="707">
        <f t="shared" si="69"/>
        <v>9.1</v>
      </c>
      <c r="K2219" s="70"/>
    </row>
    <row r="2220" spans="1:11" ht="24" customHeight="1">
      <c r="A2220" s="59" t="s">
        <v>825</v>
      </c>
      <c r="B2220" s="59" t="s">
        <v>267</v>
      </c>
      <c r="C2220" s="59">
        <v>4</v>
      </c>
      <c r="D2220" s="33" t="s">
        <v>3053</v>
      </c>
      <c r="E2220" s="354">
        <v>5</v>
      </c>
      <c r="F2220" s="354"/>
      <c r="G2220" s="688"/>
      <c r="H2220" s="707">
        <v>3</v>
      </c>
      <c r="I2220" s="707">
        <f t="shared" si="68"/>
        <v>3.4499999999999997</v>
      </c>
      <c r="J2220" s="707">
        <f t="shared" si="69"/>
        <v>3.9000000000000004</v>
      </c>
      <c r="K2220" s="70"/>
    </row>
    <row r="2221" spans="1:11" ht="24" customHeight="1">
      <c r="A2221" s="2" t="s">
        <v>575</v>
      </c>
      <c r="B2221" s="2" t="s">
        <v>267</v>
      </c>
      <c r="C2221" s="2">
        <v>157</v>
      </c>
      <c r="D2221" s="2" t="s">
        <v>536</v>
      </c>
      <c r="E2221" s="33">
        <v>5</v>
      </c>
      <c r="F2221" s="33"/>
      <c r="G2221" s="522"/>
      <c r="H2221" s="707">
        <v>4.5</v>
      </c>
      <c r="I2221" s="707">
        <f t="shared" si="68"/>
        <v>5.1749999999999998</v>
      </c>
      <c r="J2221" s="707">
        <f t="shared" si="69"/>
        <v>5.8500000000000005</v>
      </c>
      <c r="K2221" s="70"/>
    </row>
    <row r="2222" spans="1:11" ht="24" customHeight="1">
      <c r="A2222" s="17" t="s">
        <v>1702</v>
      </c>
      <c r="B2222" s="17" t="s">
        <v>267</v>
      </c>
      <c r="C2222" s="17">
        <v>85</v>
      </c>
      <c r="D2222" s="131" t="s">
        <v>1681</v>
      </c>
      <c r="E2222" s="15">
        <v>1</v>
      </c>
      <c r="F2222" s="15"/>
      <c r="G2222" s="684"/>
      <c r="H2222" s="707"/>
      <c r="I2222" s="707">
        <f t="shared" si="68"/>
        <v>0</v>
      </c>
      <c r="J2222" s="707">
        <f t="shared" si="69"/>
        <v>0</v>
      </c>
      <c r="K2222" s="70"/>
    </row>
    <row r="2223" spans="1:11" ht="24" customHeight="1">
      <c r="A2223" s="33" t="s">
        <v>2279</v>
      </c>
      <c r="B2223" s="33" t="s">
        <v>637</v>
      </c>
      <c r="C2223" s="33">
        <v>3</v>
      </c>
      <c r="D2223" s="33" t="s">
        <v>2276</v>
      </c>
      <c r="E2223" s="33">
        <v>1</v>
      </c>
      <c r="F2223" s="33"/>
      <c r="G2223" s="522"/>
      <c r="H2223" s="707">
        <v>0.2</v>
      </c>
      <c r="I2223" s="707">
        <f t="shared" si="68"/>
        <v>0.22999999999999998</v>
      </c>
      <c r="J2223" s="707">
        <f t="shared" si="69"/>
        <v>0.26</v>
      </c>
      <c r="K2223" s="70"/>
    </row>
    <row r="2224" spans="1:11" ht="24" customHeight="1">
      <c r="A2224" s="74" t="s">
        <v>2452</v>
      </c>
      <c r="B2224" s="74" t="s">
        <v>23</v>
      </c>
      <c r="C2224" s="74">
        <v>10</v>
      </c>
      <c r="D2224" s="33" t="s">
        <v>2363</v>
      </c>
      <c r="E2224" s="33">
        <v>5</v>
      </c>
      <c r="F2224" s="33"/>
      <c r="G2224" s="522"/>
      <c r="H2224" s="707">
        <v>20</v>
      </c>
      <c r="I2224" s="707">
        <f t="shared" si="68"/>
        <v>23</v>
      </c>
      <c r="J2224" s="707">
        <f t="shared" si="69"/>
        <v>26</v>
      </c>
      <c r="K2224" s="70"/>
    </row>
    <row r="2225" spans="1:11" ht="24" customHeight="1">
      <c r="A2225" s="2" t="s">
        <v>840</v>
      </c>
      <c r="B2225" s="2" t="s">
        <v>637</v>
      </c>
      <c r="C2225" s="2">
        <v>74</v>
      </c>
      <c r="D2225" s="2" t="s">
        <v>593</v>
      </c>
      <c r="E2225" s="33">
        <v>3</v>
      </c>
      <c r="F2225" s="33"/>
      <c r="G2225" s="522"/>
      <c r="H2225" s="707"/>
      <c r="I2225" s="707">
        <f t="shared" si="68"/>
        <v>0</v>
      </c>
      <c r="J2225" s="707">
        <f t="shared" si="69"/>
        <v>0</v>
      </c>
      <c r="K2225" s="70"/>
    </row>
    <row r="2226" spans="1:11" ht="24" customHeight="1">
      <c r="A2226" s="33" t="s">
        <v>840</v>
      </c>
      <c r="B2226" s="33" t="s">
        <v>637</v>
      </c>
      <c r="C2226" s="33">
        <v>3</v>
      </c>
      <c r="D2226" s="33" t="s">
        <v>2276</v>
      </c>
      <c r="E2226" s="33">
        <v>1</v>
      </c>
      <c r="F2226" s="33"/>
      <c r="G2226" s="522"/>
      <c r="H2226" s="707">
        <v>0.2</v>
      </c>
      <c r="I2226" s="707">
        <f t="shared" si="68"/>
        <v>0.22999999999999998</v>
      </c>
      <c r="J2226" s="707">
        <f t="shared" si="69"/>
        <v>0.26</v>
      </c>
      <c r="K2226" s="70"/>
    </row>
    <row r="2227" spans="1:11" ht="24" customHeight="1">
      <c r="A2227" s="59" t="s">
        <v>840</v>
      </c>
      <c r="B2227" s="59" t="s">
        <v>637</v>
      </c>
      <c r="C2227" s="59">
        <v>3</v>
      </c>
      <c r="D2227" s="33" t="s">
        <v>3053</v>
      </c>
      <c r="E2227" s="354">
        <v>5</v>
      </c>
      <c r="F2227" s="354"/>
      <c r="G2227" s="688"/>
      <c r="H2227" s="707"/>
      <c r="I2227" s="707">
        <f t="shared" si="68"/>
        <v>0</v>
      </c>
      <c r="J2227" s="707">
        <f t="shared" si="69"/>
        <v>0</v>
      </c>
      <c r="K2227" s="70"/>
    </row>
    <row r="2228" spans="1:11" ht="24" customHeight="1">
      <c r="A2228" s="33" t="s">
        <v>2299</v>
      </c>
      <c r="B2228" s="33" t="s">
        <v>637</v>
      </c>
      <c r="C2228" s="33">
        <v>2</v>
      </c>
      <c r="D2228" s="33" t="s">
        <v>2276</v>
      </c>
      <c r="E2228" s="33">
        <v>1</v>
      </c>
      <c r="F2228" s="33"/>
      <c r="G2228" s="522"/>
      <c r="H2228" s="707">
        <v>4</v>
      </c>
      <c r="I2228" s="707">
        <f t="shared" si="68"/>
        <v>4.5999999999999996</v>
      </c>
      <c r="J2228" s="707">
        <f t="shared" si="69"/>
        <v>5.2</v>
      </c>
      <c r="K2228" s="70"/>
    </row>
    <row r="2229" spans="1:11" ht="24" customHeight="1">
      <c r="A2229" s="2" t="s">
        <v>486</v>
      </c>
      <c r="B2229" s="2" t="s">
        <v>23</v>
      </c>
      <c r="C2229" s="2">
        <v>70</v>
      </c>
      <c r="D2229" s="2" t="s">
        <v>274</v>
      </c>
      <c r="E2229" s="33">
        <v>3</v>
      </c>
      <c r="F2229" s="33"/>
      <c r="G2229" s="522"/>
      <c r="H2229" s="707">
        <v>1</v>
      </c>
      <c r="I2229" s="707">
        <f t="shared" si="68"/>
        <v>1.1499999999999999</v>
      </c>
      <c r="J2229" s="707">
        <f t="shared" si="69"/>
        <v>1.3</v>
      </c>
      <c r="K2229" s="70"/>
    </row>
    <row r="2230" spans="1:11" ht="24" customHeight="1">
      <c r="A2230" s="2" t="s">
        <v>335</v>
      </c>
      <c r="B2230" s="2" t="s">
        <v>313</v>
      </c>
      <c r="C2230" s="2">
        <v>1</v>
      </c>
      <c r="D2230" s="2" t="s">
        <v>274</v>
      </c>
      <c r="E2230" s="33">
        <v>1</v>
      </c>
      <c r="F2230" s="33"/>
      <c r="G2230" s="522"/>
      <c r="H2230" s="707"/>
      <c r="I2230" s="707">
        <f t="shared" si="68"/>
        <v>0</v>
      </c>
      <c r="J2230" s="707">
        <f t="shared" si="69"/>
        <v>0</v>
      </c>
      <c r="K2230" s="70"/>
    </row>
    <row r="2231" spans="1:11" ht="24" customHeight="1">
      <c r="A2231" s="33" t="s">
        <v>519</v>
      </c>
      <c r="B2231" s="33" t="s">
        <v>313</v>
      </c>
      <c r="C2231" s="33">
        <v>2</v>
      </c>
      <c r="D2231" s="2" t="s">
        <v>274</v>
      </c>
      <c r="E2231" s="33">
        <v>3</v>
      </c>
      <c r="F2231" s="33"/>
      <c r="G2231" s="522"/>
      <c r="H2231" s="707"/>
      <c r="I2231" s="707">
        <f t="shared" si="68"/>
        <v>0</v>
      </c>
      <c r="J2231" s="707">
        <f t="shared" si="69"/>
        <v>0</v>
      </c>
      <c r="K2231" s="70"/>
    </row>
    <row r="2232" spans="1:11" ht="24" customHeight="1">
      <c r="A2232" s="2" t="s">
        <v>3432</v>
      </c>
      <c r="B2232" s="2" t="s">
        <v>313</v>
      </c>
      <c r="C2232" s="2">
        <v>6</v>
      </c>
      <c r="D2232" s="65" t="s">
        <v>3348</v>
      </c>
      <c r="E2232" s="33">
        <v>5</v>
      </c>
      <c r="F2232" s="33"/>
      <c r="G2232" s="522"/>
      <c r="H2232" s="707">
        <v>150</v>
      </c>
      <c r="I2232" s="707">
        <f t="shared" si="68"/>
        <v>172.5</v>
      </c>
      <c r="J2232" s="707">
        <f t="shared" si="69"/>
        <v>195</v>
      </c>
      <c r="K2232" s="70"/>
    </row>
    <row r="2233" spans="1:11" ht="24" customHeight="1">
      <c r="A2233" s="17" t="s">
        <v>2795</v>
      </c>
      <c r="B2233" s="244" t="s">
        <v>2796</v>
      </c>
      <c r="C2233" s="17">
        <v>1</v>
      </c>
      <c r="D2233" s="131" t="s">
        <v>2772</v>
      </c>
      <c r="E2233" s="17">
        <v>4</v>
      </c>
      <c r="F2233" s="17"/>
      <c r="G2233" s="687"/>
      <c r="H2233" s="707"/>
      <c r="I2233" s="707">
        <f t="shared" si="68"/>
        <v>0</v>
      </c>
      <c r="J2233" s="707">
        <f t="shared" si="69"/>
        <v>0</v>
      </c>
      <c r="K2233" s="70"/>
    </row>
    <row r="2234" spans="1:11" ht="24" customHeight="1">
      <c r="A2234" s="17" t="s">
        <v>3546</v>
      </c>
      <c r="B2234" s="17" t="s">
        <v>27</v>
      </c>
      <c r="C2234" s="17">
        <v>1</v>
      </c>
      <c r="D2234" s="131" t="s">
        <v>3539</v>
      </c>
      <c r="E2234" s="15">
        <v>4</v>
      </c>
      <c r="F2234" s="15"/>
      <c r="G2234" s="684"/>
      <c r="H2234" s="707"/>
      <c r="I2234" s="707">
        <f t="shared" si="68"/>
        <v>0</v>
      </c>
      <c r="J2234" s="707">
        <f t="shared" si="69"/>
        <v>0</v>
      </c>
      <c r="K2234" s="70"/>
    </row>
    <row r="2235" spans="1:11" ht="24" customHeight="1">
      <c r="A2235" s="96" t="s">
        <v>2905</v>
      </c>
      <c r="B2235" s="17" t="s">
        <v>596</v>
      </c>
      <c r="C2235" s="17">
        <v>1</v>
      </c>
      <c r="D2235" s="131" t="s">
        <v>2882</v>
      </c>
      <c r="E2235" s="15">
        <v>2</v>
      </c>
      <c r="F2235" s="15" t="s">
        <v>2900</v>
      </c>
      <c r="G2235" s="684"/>
      <c r="H2235" s="708"/>
      <c r="I2235" s="707">
        <f t="shared" si="68"/>
        <v>0</v>
      </c>
      <c r="J2235" s="708">
        <f t="shared" si="69"/>
        <v>0</v>
      </c>
      <c r="K2235" s="70" t="s">
        <v>549</v>
      </c>
    </row>
    <row r="2236" spans="1:11" ht="24" customHeight="1">
      <c r="A2236" s="2" t="s">
        <v>1790</v>
      </c>
      <c r="B2236" s="2" t="s">
        <v>267</v>
      </c>
      <c r="C2236" s="2">
        <v>1</v>
      </c>
      <c r="D2236" s="2" t="s">
        <v>1785</v>
      </c>
      <c r="E2236" s="33">
        <v>1</v>
      </c>
      <c r="F2236" s="33"/>
      <c r="G2236" s="522"/>
      <c r="H2236" s="707"/>
      <c r="I2236" s="707">
        <f t="shared" si="68"/>
        <v>0</v>
      </c>
      <c r="J2236" s="707">
        <f t="shared" si="69"/>
        <v>0</v>
      </c>
      <c r="K2236" s="70"/>
    </row>
    <row r="2237" spans="1:11" ht="24" customHeight="1">
      <c r="A2237" s="2" t="s">
        <v>1819</v>
      </c>
      <c r="B2237" s="2" t="s">
        <v>1473</v>
      </c>
      <c r="C2237" s="2">
        <v>1</v>
      </c>
      <c r="D2237" s="2" t="s">
        <v>1785</v>
      </c>
      <c r="E2237" s="33">
        <v>2</v>
      </c>
      <c r="F2237" s="33"/>
      <c r="G2237" s="522"/>
      <c r="H2237" s="707"/>
      <c r="I2237" s="707">
        <f t="shared" si="68"/>
        <v>0</v>
      </c>
      <c r="J2237" s="707">
        <f t="shared" si="69"/>
        <v>0</v>
      </c>
      <c r="K2237" s="70"/>
    </row>
    <row r="2238" spans="1:11" ht="24" customHeight="1">
      <c r="A2238" s="33" t="s">
        <v>1104</v>
      </c>
      <c r="B2238" s="33" t="s">
        <v>1105</v>
      </c>
      <c r="C2238" s="33">
        <v>1</v>
      </c>
      <c r="D2238" s="33" t="s">
        <v>992</v>
      </c>
      <c r="E2238" s="33">
        <v>5</v>
      </c>
      <c r="F2238" s="33"/>
      <c r="G2238" s="522"/>
      <c r="H2238" s="707"/>
      <c r="I2238" s="707">
        <f t="shared" si="68"/>
        <v>0</v>
      </c>
      <c r="J2238" s="707">
        <f t="shared" si="69"/>
        <v>0</v>
      </c>
      <c r="K2238" s="70"/>
    </row>
    <row r="2239" spans="1:11" ht="24" customHeight="1">
      <c r="A2239" s="17" t="s">
        <v>1784</v>
      </c>
      <c r="B2239" s="17" t="s">
        <v>1778</v>
      </c>
      <c r="C2239" s="17">
        <v>1</v>
      </c>
      <c r="D2239" s="131" t="s">
        <v>1775</v>
      </c>
      <c r="E2239" s="15">
        <v>5</v>
      </c>
      <c r="F2239" s="15"/>
      <c r="G2239" s="684"/>
      <c r="H2239" s="707"/>
      <c r="I2239" s="707">
        <f t="shared" si="68"/>
        <v>0</v>
      </c>
      <c r="J2239" s="707">
        <f t="shared" si="69"/>
        <v>0</v>
      </c>
      <c r="K2239" s="70"/>
    </row>
    <row r="2240" spans="1:11" ht="24" customHeight="1">
      <c r="A2240" s="2" t="s">
        <v>59</v>
      </c>
      <c r="B2240" s="2" t="s">
        <v>58</v>
      </c>
      <c r="C2240" s="2">
        <v>13</v>
      </c>
      <c r="D2240" s="2" t="s">
        <v>11</v>
      </c>
      <c r="E2240" s="33">
        <v>1</v>
      </c>
      <c r="F2240" s="33"/>
      <c r="G2240" s="522"/>
      <c r="H2240" s="707"/>
      <c r="I2240" s="707">
        <f t="shared" si="68"/>
        <v>0</v>
      </c>
      <c r="J2240" s="707">
        <f t="shared" si="69"/>
        <v>0</v>
      </c>
      <c r="K2240" s="70"/>
    </row>
    <row r="2241" spans="1:11" ht="24" customHeight="1">
      <c r="A2241" s="33" t="s">
        <v>57</v>
      </c>
      <c r="B2241" s="2" t="s">
        <v>58</v>
      </c>
      <c r="C2241" s="33">
        <v>10</v>
      </c>
      <c r="D2241" s="2" t="s">
        <v>11</v>
      </c>
      <c r="E2241" s="33">
        <v>1</v>
      </c>
      <c r="F2241" s="33"/>
      <c r="G2241" s="522"/>
      <c r="H2241" s="707"/>
      <c r="I2241" s="707">
        <f t="shared" si="68"/>
        <v>0</v>
      </c>
      <c r="J2241" s="707">
        <f t="shared" si="69"/>
        <v>0</v>
      </c>
      <c r="K2241" s="70"/>
    </row>
    <row r="2242" spans="1:11" ht="24" customHeight="1">
      <c r="A2242" s="33" t="s">
        <v>57</v>
      </c>
      <c r="B2242" s="33" t="s">
        <v>58</v>
      </c>
      <c r="C2242" s="33">
        <v>6</v>
      </c>
      <c r="D2242" s="2" t="s">
        <v>188</v>
      </c>
      <c r="E2242" s="33">
        <v>5</v>
      </c>
      <c r="F2242" s="33"/>
      <c r="G2242" s="522"/>
      <c r="H2242" s="707"/>
      <c r="I2242" s="707">
        <f t="shared" si="68"/>
        <v>0</v>
      </c>
      <c r="J2242" s="707">
        <f t="shared" si="69"/>
        <v>0</v>
      </c>
      <c r="K2242" s="70"/>
    </row>
    <row r="2243" spans="1:11" ht="24" customHeight="1">
      <c r="A2243" s="2" t="s">
        <v>1791</v>
      </c>
      <c r="B2243" s="2" t="s">
        <v>58</v>
      </c>
      <c r="C2243" s="2">
        <v>2</v>
      </c>
      <c r="D2243" s="2" t="s">
        <v>1785</v>
      </c>
      <c r="E2243" s="33">
        <v>1</v>
      </c>
      <c r="F2243" s="33"/>
      <c r="G2243" s="522"/>
      <c r="H2243" s="707"/>
      <c r="I2243" s="707">
        <f t="shared" ref="I2243:I2306" si="70">H2243 * 1.15</f>
        <v>0</v>
      </c>
      <c r="J2243" s="707">
        <f t="shared" ref="J2243:J2306" si="71">H2243 * 1.3</f>
        <v>0</v>
      </c>
      <c r="K2243" s="70"/>
    </row>
    <row r="2244" spans="1:11" ht="24" customHeight="1">
      <c r="A2244" s="33" t="s">
        <v>2598</v>
      </c>
      <c r="B2244" s="33" t="s">
        <v>2599</v>
      </c>
      <c r="C2244" s="33">
        <v>1</v>
      </c>
      <c r="D2244" s="33" t="s">
        <v>2540</v>
      </c>
      <c r="E2244" s="33">
        <v>2</v>
      </c>
      <c r="F2244" s="33"/>
      <c r="G2244" s="522"/>
      <c r="H2244" s="707"/>
      <c r="I2244" s="707">
        <f t="shared" si="70"/>
        <v>0</v>
      </c>
      <c r="J2244" s="707">
        <f t="shared" si="71"/>
        <v>0</v>
      </c>
      <c r="K2244" s="70"/>
    </row>
    <row r="2245" spans="1:11" ht="24" customHeight="1">
      <c r="A2245" s="2" t="s">
        <v>393</v>
      </c>
      <c r="B2245" s="2" t="s">
        <v>394</v>
      </c>
      <c r="C2245" s="2">
        <v>2</v>
      </c>
      <c r="D2245" s="2" t="s">
        <v>274</v>
      </c>
      <c r="E2245" s="33">
        <v>2</v>
      </c>
      <c r="F2245" s="33"/>
      <c r="G2245" s="522"/>
      <c r="H2245" s="707"/>
      <c r="I2245" s="707">
        <f t="shared" si="70"/>
        <v>0</v>
      </c>
      <c r="J2245" s="707">
        <f t="shared" si="71"/>
        <v>0</v>
      </c>
      <c r="K2245" s="70"/>
    </row>
    <row r="2246" spans="1:11" ht="24" customHeight="1">
      <c r="A2246" s="2" t="s">
        <v>510</v>
      </c>
      <c r="B2246" s="2" t="s">
        <v>21</v>
      </c>
      <c r="C2246" s="2">
        <v>1</v>
      </c>
      <c r="D2246" s="2" t="s">
        <v>274</v>
      </c>
      <c r="E2246" s="33">
        <v>3</v>
      </c>
      <c r="F2246" s="33"/>
      <c r="G2246" s="522"/>
      <c r="H2246" s="707"/>
      <c r="I2246" s="707">
        <f t="shared" si="70"/>
        <v>0</v>
      </c>
      <c r="J2246" s="707">
        <f t="shared" si="71"/>
        <v>0</v>
      </c>
      <c r="K2246" s="70"/>
    </row>
    <row r="2247" spans="1:11" ht="24" customHeight="1">
      <c r="A2247" s="74" t="s">
        <v>2531</v>
      </c>
      <c r="B2247" s="74" t="s">
        <v>21</v>
      </c>
      <c r="C2247" s="74">
        <v>1</v>
      </c>
      <c r="D2247" s="33" t="s">
        <v>2504</v>
      </c>
      <c r="E2247" s="33">
        <v>5</v>
      </c>
      <c r="F2247" s="33"/>
      <c r="G2247" s="522"/>
      <c r="H2247" s="707"/>
      <c r="I2247" s="707">
        <f t="shared" si="70"/>
        <v>0</v>
      </c>
      <c r="J2247" s="707">
        <f t="shared" si="71"/>
        <v>0</v>
      </c>
      <c r="K2247" s="70"/>
    </row>
    <row r="2248" spans="1:11" ht="24" customHeight="1">
      <c r="A2248" s="2" t="s">
        <v>1836</v>
      </c>
      <c r="B2248" s="2" t="s">
        <v>21</v>
      </c>
      <c r="C2248" s="2">
        <v>48</v>
      </c>
      <c r="D2248" s="2" t="s">
        <v>1785</v>
      </c>
      <c r="E2248" s="33">
        <v>2</v>
      </c>
      <c r="F2248" s="33"/>
      <c r="G2248" s="522"/>
      <c r="H2248" s="707"/>
      <c r="I2248" s="707">
        <f t="shared" si="70"/>
        <v>0</v>
      </c>
      <c r="J2248" s="707">
        <f t="shared" si="71"/>
        <v>0</v>
      </c>
      <c r="K2248" s="70"/>
    </row>
    <row r="2249" spans="1:11" ht="24" customHeight="1">
      <c r="A2249" s="33" t="s">
        <v>916</v>
      </c>
      <c r="B2249" s="33" t="s">
        <v>909</v>
      </c>
      <c r="C2249" s="33">
        <v>7</v>
      </c>
      <c r="D2249" s="33" t="s">
        <v>910</v>
      </c>
      <c r="E2249" s="33">
        <v>1</v>
      </c>
      <c r="F2249" s="33"/>
      <c r="G2249" s="522"/>
      <c r="H2249" s="711">
        <v>3</v>
      </c>
      <c r="I2249" s="711">
        <f t="shared" si="70"/>
        <v>3.4499999999999997</v>
      </c>
      <c r="J2249" s="711">
        <f t="shared" si="71"/>
        <v>3.9000000000000004</v>
      </c>
      <c r="K2249" s="70"/>
    </row>
    <row r="2250" spans="1:11" ht="24" customHeight="1">
      <c r="A2250" s="2" t="s">
        <v>795</v>
      </c>
      <c r="B2250" s="2" t="s">
        <v>21</v>
      </c>
      <c r="C2250" s="2">
        <v>5</v>
      </c>
      <c r="D2250" s="2" t="s">
        <v>593</v>
      </c>
      <c r="E2250" s="33">
        <v>3</v>
      </c>
      <c r="F2250" s="33"/>
      <c r="G2250" s="522"/>
      <c r="H2250" s="707"/>
      <c r="I2250" s="707">
        <f t="shared" si="70"/>
        <v>0</v>
      </c>
      <c r="J2250" s="707">
        <f t="shared" si="71"/>
        <v>0</v>
      </c>
      <c r="K2250" s="70"/>
    </row>
    <row r="2251" spans="1:11" ht="24" customHeight="1">
      <c r="A2251" s="33" t="s">
        <v>1552</v>
      </c>
      <c r="B2251" s="33" t="s">
        <v>21</v>
      </c>
      <c r="C2251" s="33">
        <v>2</v>
      </c>
      <c r="D2251" s="33" t="s">
        <v>1548</v>
      </c>
      <c r="E2251" s="33">
        <v>3</v>
      </c>
      <c r="F2251" s="33"/>
      <c r="G2251" s="522"/>
      <c r="H2251" s="707">
        <v>10</v>
      </c>
      <c r="I2251" s="707">
        <f t="shared" si="70"/>
        <v>11.5</v>
      </c>
      <c r="J2251" s="707">
        <f t="shared" si="71"/>
        <v>13</v>
      </c>
      <c r="K2251" s="70"/>
    </row>
    <row r="2252" spans="1:11" ht="24" customHeight="1">
      <c r="A2252" s="33" t="s">
        <v>472</v>
      </c>
      <c r="B2252" s="33" t="s">
        <v>21</v>
      </c>
      <c r="C2252" s="33">
        <v>2</v>
      </c>
      <c r="D2252" s="2" t="s">
        <v>274</v>
      </c>
      <c r="E2252" s="33">
        <v>3</v>
      </c>
      <c r="F2252" s="33"/>
      <c r="G2252" s="522"/>
      <c r="H2252" s="707"/>
      <c r="I2252" s="707">
        <f t="shared" si="70"/>
        <v>0</v>
      </c>
      <c r="J2252" s="707">
        <f t="shared" si="71"/>
        <v>0</v>
      </c>
      <c r="K2252" s="70"/>
    </row>
    <row r="2253" spans="1:11" ht="24" customHeight="1">
      <c r="A2253" s="33" t="s">
        <v>886</v>
      </c>
      <c r="B2253" s="33" t="s">
        <v>21</v>
      </c>
      <c r="C2253" s="33">
        <v>37</v>
      </c>
      <c r="D2253" s="2" t="s">
        <v>593</v>
      </c>
      <c r="E2253" s="33">
        <v>3</v>
      </c>
      <c r="F2253" s="33"/>
      <c r="G2253" s="522"/>
      <c r="H2253" s="707"/>
      <c r="I2253" s="707">
        <f t="shared" si="70"/>
        <v>0</v>
      </c>
      <c r="J2253" s="707">
        <f t="shared" si="71"/>
        <v>0</v>
      </c>
      <c r="K2253" s="70"/>
    </row>
    <row r="2254" spans="1:11" ht="24" customHeight="1">
      <c r="A2254" s="2" t="s">
        <v>20</v>
      </c>
      <c r="B2254" s="2" t="s">
        <v>21</v>
      </c>
      <c r="C2254" s="2">
        <v>149</v>
      </c>
      <c r="D2254" s="2" t="s">
        <v>11</v>
      </c>
      <c r="E2254" s="33">
        <v>1</v>
      </c>
      <c r="F2254" s="33"/>
      <c r="G2254" s="522"/>
      <c r="H2254" s="707">
        <v>10</v>
      </c>
      <c r="I2254" s="707">
        <f t="shared" si="70"/>
        <v>11.5</v>
      </c>
      <c r="J2254" s="707">
        <f t="shared" si="71"/>
        <v>13</v>
      </c>
      <c r="K2254" s="70"/>
    </row>
    <row r="2255" spans="1:11" ht="24" customHeight="1">
      <c r="A2255" s="2" t="s">
        <v>318</v>
      </c>
      <c r="B2255" s="2" t="s">
        <v>319</v>
      </c>
      <c r="C2255" s="2">
        <v>2</v>
      </c>
      <c r="D2255" s="2" t="s">
        <v>274</v>
      </c>
      <c r="E2255" s="33">
        <v>1</v>
      </c>
      <c r="F2255" s="33"/>
      <c r="G2255" s="522"/>
      <c r="H2255" s="707"/>
      <c r="I2255" s="707">
        <f t="shared" si="70"/>
        <v>0</v>
      </c>
      <c r="J2255" s="707">
        <f t="shared" si="71"/>
        <v>0</v>
      </c>
      <c r="K2255" s="70"/>
    </row>
    <row r="2256" spans="1:11" ht="24" customHeight="1">
      <c r="A2256" s="2" t="s">
        <v>735</v>
      </c>
      <c r="B2256" s="2" t="s">
        <v>21</v>
      </c>
      <c r="C2256" s="2">
        <v>8</v>
      </c>
      <c r="D2256" s="2" t="s">
        <v>593</v>
      </c>
      <c r="E2256" s="33">
        <v>3</v>
      </c>
      <c r="F2256" s="33"/>
      <c r="G2256" s="522"/>
      <c r="H2256" s="707">
        <v>2</v>
      </c>
      <c r="I2256" s="707">
        <f t="shared" si="70"/>
        <v>2.2999999999999998</v>
      </c>
      <c r="J2256" s="707">
        <f t="shared" si="71"/>
        <v>2.6</v>
      </c>
      <c r="K2256" s="70"/>
    </row>
    <row r="2257" spans="1:11" ht="24" customHeight="1">
      <c r="A2257" s="33" t="s">
        <v>1360</v>
      </c>
      <c r="B2257" s="33" t="s">
        <v>915</v>
      </c>
      <c r="C2257" s="33">
        <v>30</v>
      </c>
      <c r="D2257" s="33" t="s">
        <v>1325</v>
      </c>
      <c r="E2257" s="33">
        <v>2</v>
      </c>
      <c r="F2257" s="33"/>
      <c r="G2257" s="522"/>
      <c r="H2257" s="707">
        <v>2</v>
      </c>
      <c r="I2257" s="707">
        <f t="shared" si="70"/>
        <v>2.2999999999999998</v>
      </c>
      <c r="J2257" s="707">
        <f t="shared" si="71"/>
        <v>2.6</v>
      </c>
      <c r="K2257" s="70"/>
    </row>
    <row r="2258" spans="1:11" ht="24" customHeight="1">
      <c r="A2258" s="74" t="s">
        <v>1130</v>
      </c>
      <c r="B2258" s="74" t="s">
        <v>21</v>
      </c>
      <c r="C2258" s="74">
        <v>12</v>
      </c>
      <c r="D2258" s="33" t="s">
        <v>992</v>
      </c>
      <c r="E2258" s="33">
        <v>5</v>
      </c>
      <c r="F2258" s="33"/>
      <c r="G2258" s="522"/>
      <c r="H2258" s="707">
        <v>2</v>
      </c>
      <c r="I2258" s="707">
        <f t="shared" si="70"/>
        <v>2.2999999999999998</v>
      </c>
      <c r="J2258" s="707">
        <f t="shared" si="71"/>
        <v>2.6</v>
      </c>
      <c r="K2258" s="70"/>
    </row>
    <row r="2259" spans="1:11" ht="24" customHeight="1">
      <c r="A2259" s="2" t="s">
        <v>489</v>
      </c>
      <c r="B2259" s="2" t="s">
        <v>21</v>
      </c>
      <c r="C2259" s="2">
        <v>7</v>
      </c>
      <c r="D2259" s="2" t="s">
        <v>274</v>
      </c>
      <c r="E2259" s="33">
        <v>3</v>
      </c>
      <c r="F2259" s="33"/>
      <c r="G2259" s="522"/>
      <c r="H2259" s="707"/>
      <c r="I2259" s="707">
        <f t="shared" si="70"/>
        <v>0</v>
      </c>
      <c r="J2259" s="707">
        <f t="shared" si="71"/>
        <v>0</v>
      </c>
      <c r="K2259" s="70"/>
    </row>
    <row r="2260" spans="1:11" ht="24" customHeight="1">
      <c r="A2260" s="2" t="s">
        <v>507</v>
      </c>
      <c r="B2260" s="2" t="s">
        <v>21</v>
      </c>
      <c r="C2260" s="2">
        <v>17</v>
      </c>
      <c r="D2260" s="2" t="s">
        <v>274</v>
      </c>
      <c r="E2260" s="33">
        <v>3</v>
      </c>
      <c r="F2260" s="33"/>
      <c r="G2260" s="522"/>
      <c r="H2260" s="707"/>
      <c r="I2260" s="707">
        <f t="shared" si="70"/>
        <v>0</v>
      </c>
      <c r="J2260" s="707">
        <f t="shared" si="71"/>
        <v>0</v>
      </c>
      <c r="K2260" s="70"/>
    </row>
    <row r="2261" spans="1:11" ht="24" customHeight="1">
      <c r="A2261" s="33" t="s">
        <v>641</v>
      </c>
      <c r="B2261" s="33" t="s">
        <v>21</v>
      </c>
      <c r="C2261" s="33">
        <v>5</v>
      </c>
      <c r="D2261" s="2" t="s">
        <v>593</v>
      </c>
      <c r="E2261" s="33">
        <v>1</v>
      </c>
      <c r="F2261" s="33"/>
      <c r="G2261" s="522"/>
      <c r="H2261" s="707">
        <v>15</v>
      </c>
      <c r="I2261" s="707">
        <f t="shared" si="70"/>
        <v>17.25</v>
      </c>
      <c r="J2261" s="707">
        <f t="shared" si="71"/>
        <v>19.5</v>
      </c>
      <c r="K2261" s="70"/>
    </row>
    <row r="2262" spans="1:11" ht="24" customHeight="1">
      <c r="A2262" s="74" t="s">
        <v>2134</v>
      </c>
      <c r="B2262" s="74" t="s">
        <v>21</v>
      </c>
      <c r="C2262" s="74">
        <v>1</v>
      </c>
      <c r="D2262" s="33" t="s">
        <v>2111</v>
      </c>
      <c r="E2262" s="33">
        <v>2</v>
      </c>
      <c r="F2262" s="33"/>
      <c r="G2262" s="522"/>
      <c r="H2262" s="707"/>
      <c r="I2262" s="707">
        <f t="shared" si="70"/>
        <v>0</v>
      </c>
      <c r="J2262" s="707">
        <f t="shared" si="71"/>
        <v>0</v>
      </c>
      <c r="K2262" s="70"/>
    </row>
    <row r="2263" spans="1:11" ht="24" customHeight="1">
      <c r="A2263" s="2" t="s">
        <v>781</v>
      </c>
      <c r="B2263" s="2" t="s">
        <v>21</v>
      </c>
      <c r="C2263" s="2">
        <v>10</v>
      </c>
      <c r="D2263" s="2" t="s">
        <v>593</v>
      </c>
      <c r="E2263" s="33">
        <v>3</v>
      </c>
      <c r="F2263" s="33"/>
      <c r="G2263" s="522"/>
      <c r="H2263" s="707">
        <v>4</v>
      </c>
      <c r="I2263" s="707">
        <f t="shared" si="70"/>
        <v>4.5999999999999996</v>
      </c>
      <c r="J2263" s="707">
        <f t="shared" si="71"/>
        <v>5.2</v>
      </c>
      <c r="K2263" s="70"/>
    </row>
    <row r="2264" spans="1:11" ht="24" customHeight="1">
      <c r="A2264" s="17" t="s">
        <v>1704</v>
      </c>
      <c r="B2264" s="17" t="s">
        <v>21</v>
      </c>
      <c r="C2264" s="17">
        <v>15</v>
      </c>
      <c r="D2264" s="131" t="s">
        <v>1681</v>
      </c>
      <c r="E2264" s="15">
        <v>1</v>
      </c>
      <c r="F2264" s="15"/>
      <c r="G2264" s="684"/>
      <c r="H2264" s="707"/>
      <c r="I2264" s="707">
        <f t="shared" si="70"/>
        <v>0</v>
      </c>
      <c r="J2264" s="707">
        <f t="shared" si="71"/>
        <v>0</v>
      </c>
      <c r="K2264" s="70"/>
    </row>
    <row r="2265" spans="1:11" ht="24" customHeight="1">
      <c r="A2265" s="2" t="s">
        <v>737</v>
      </c>
      <c r="B2265" s="2" t="s">
        <v>21</v>
      </c>
      <c r="C2265" s="2">
        <v>3</v>
      </c>
      <c r="D2265" s="2" t="s">
        <v>593</v>
      </c>
      <c r="E2265" s="33">
        <v>3</v>
      </c>
      <c r="F2265" s="33"/>
      <c r="G2265" s="522"/>
      <c r="H2265" s="707"/>
      <c r="I2265" s="707">
        <f t="shared" si="70"/>
        <v>0</v>
      </c>
      <c r="J2265" s="707">
        <f t="shared" si="71"/>
        <v>0</v>
      </c>
      <c r="K2265" s="70"/>
    </row>
    <row r="2266" spans="1:11" ht="24" customHeight="1">
      <c r="A2266" s="17" t="s">
        <v>2272</v>
      </c>
      <c r="B2266" s="17" t="s">
        <v>21</v>
      </c>
      <c r="C2266" s="17">
        <v>3</v>
      </c>
      <c r="D2266" s="131" t="s">
        <v>2882</v>
      </c>
      <c r="E2266" s="15">
        <v>2</v>
      </c>
      <c r="F2266" s="15"/>
      <c r="G2266" s="684"/>
      <c r="H2266" s="708"/>
      <c r="I2266" s="707">
        <f t="shared" si="70"/>
        <v>0</v>
      </c>
      <c r="J2266" s="708">
        <f t="shared" si="71"/>
        <v>0</v>
      </c>
      <c r="K2266" s="70"/>
    </row>
    <row r="2267" spans="1:11" ht="24" customHeight="1">
      <c r="A2267" s="10" t="s">
        <v>1738</v>
      </c>
      <c r="B2267" s="11" t="s">
        <v>21</v>
      </c>
      <c r="C2267" s="11">
        <v>20</v>
      </c>
      <c r="D2267" s="131" t="s">
        <v>1723</v>
      </c>
      <c r="E2267" s="15">
        <v>1</v>
      </c>
      <c r="F2267" s="15"/>
      <c r="G2267" s="684"/>
      <c r="H2267" s="707">
        <v>5</v>
      </c>
      <c r="I2267" s="707">
        <f t="shared" si="70"/>
        <v>5.75</v>
      </c>
      <c r="J2267" s="707">
        <f t="shared" si="71"/>
        <v>6.5</v>
      </c>
      <c r="K2267" s="70"/>
    </row>
    <row r="2268" spans="1:11" ht="24" customHeight="1">
      <c r="A2268" s="2" t="s">
        <v>727</v>
      </c>
      <c r="B2268" s="2" t="s">
        <v>607</v>
      </c>
      <c r="C2268" s="2">
        <v>32</v>
      </c>
      <c r="D2268" s="2" t="s">
        <v>593</v>
      </c>
      <c r="E2268" s="33">
        <v>3</v>
      </c>
      <c r="F2268" s="33"/>
      <c r="G2268" s="522"/>
      <c r="H2268" s="707"/>
      <c r="I2268" s="707">
        <f t="shared" si="70"/>
        <v>0</v>
      </c>
      <c r="J2268" s="707">
        <f t="shared" si="71"/>
        <v>0</v>
      </c>
      <c r="K2268" s="70"/>
    </row>
    <row r="2269" spans="1:11" ht="24" customHeight="1">
      <c r="A2269" s="2" t="s">
        <v>398</v>
      </c>
      <c r="B2269" s="2" t="s">
        <v>56</v>
      </c>
      <c r="C2269" s="2">
        <v>42</v>
      </c>
      <c r="D2269" s="2" t="s">
        <v>274</v>
      </c>
      <c r="E2269" s="33">
        <v>2</v>
      </c>
      <c r="F2269" s="33"/>
      <c r="G2269" s="522"/>
      <c r="H2269" s="707">
        <v>8</v>
      </c>
      <c r="I2269" s="707">
        <f t="shared" si="70"/>
        <v>9.1999999999999993</v>
      </c>
      <c r="J2269" s="707">
        <f t="shared" si="71"/>
        <v>10.4</v>
      </c>
      <c r="K2269" s="70"/>
    </row>
    <row r="2270" spans="1:11" ht="24" customHeight="1">
      <c r="A2270" s="33" t="s">
        <v>288</v>
      </c>
      <c r="B2270" s="33" t="s">
        <v>267</v>
      </c>
      <c r="C2270" s="33">
        <v>90</v>
      </c>
      <c r="D2270" s="2" t="s">
        <v>188</v>
      </c>
      <c r="E2270" s="33">
        <v>5</v>
      </c>
      <c r="F2270" s="33"/>
      <c r="G2270" s="522"/>
      <c r="H2270" s="707"/>
      <c r="I2270" s="707">
        <f t="shared" si="70"/>
        <v>0</v>
      </c>
      <c r="J2270" s="707">
        <f t="shared" si="71"/>
        <v>0</v>
      </c>
      <c r="K2270" s="70"/>
    </row>
    <row r="2271" spans="1:11" ht="24" customHeight="1">
      <c r="A2271" s="33" t="s">
        <v>236</v>
      </c>
      <c r="B2271" s="33" t="s">
        <v>21</v>
      </c>
      <c r="C2271" s="33">
        <v>25</v>
      </c>
      <c r="D2271" s="2" t="s">
        <v>188</v>
      </c>
      <c r="E2271" s="33">
        <v>4</v>
      </c>
      <c r="F2271" s="33"/>
      <c r="G2271" s="522"/>
      <c r="H2271" s="707"/>
      <c r="I2271" s="707">
        <f t="shared" si="70"/>
        <v>0</v>
      </c>
      <c r="J2271" s="707">
        <f t="shared" si="71"/>
        <v>0</v>
      </c>
      <c r="K2271" s="70"/>
    </row>
    <row r="2272" spans="1:11" ht="24" customHeight="1">
      <c r="A2272" s="17" t="s">
        <v>2901</v>
      </c>
      <c r="B2272" s="17" t="s">
        <v>21</v>
      </c>
      <c r="C2272" s="17">
        <v>18</v>
      </c>
      <c r="D2272" s="131" t="s">
        <v>2882</v>
      </c>
      <c r="E2272" s="15">
        <v>2</v>
      </c>
      <c r="F2272" s="15"/>
      <c r="G2272" s="684"/>
      <c r="H2272" s="708"/>
      <c r="I2272" s="707">
        <f t="shared" si="70"/>
        <v>0</v>
      </c>
      <c r="J2272" s="708">
        <f t="shared" si="71"/>
        <v>0</v>
      </c>
      <c r="K2272" s="70"/>
    </row>
    <row r="2273" spans="1:12" ht="24" customHeight="1">
      <c r="A2273" s="17" t="s">
        <v>2835</v>
      </c>
      <c r="B2273" s="17" t="s">
        <v>2836</v>
      </c>
      <c r="C2273" s="17">
        <v>199</v>
      </c>
      <c r="D2273" s="58" t="s">
        <v>2802</v>
      </c>
      <c r="E2273" s="33">
        <v>2</v>
      </c>
      <c r="F2273" s="33"/>
      <c r="G2273" s="522"/>
      <c r="H2273" s="707"/>
      <c r="I2273" s="707">
        <f t="shared" si="70"/>
        <v>0</v>
      </c>
      <c r="J2273" s="707">
        <f t="shared" si="71"/>
        <v>0</v>
      </c>
      <c r="K2273" s="70"/>
    </row>
    <row r="2274" spans="1:12" ht="24" customHeight="1">
      <c r="A2274" s="17" t="s">
        <v>2902</v>
      </c>
      <c r="B2274" s="17" t="s">
        <v>21</v>
      </c>
      <c r="C2274" s="17">
        <v>69</v>
      </c>
      <c r="D2274" s="131" t="s">
        <v>2882</v>
      </c>
      <c r="E2274" s="15">
        <v>2</v>
      </c>
      <c r="F2274" s="15" t="s">
        <v>2900</v>
      </c>
      <c r="G2274" s="684"/>
      <c r="H2274" s="708"/>
      <c r="I2274" s="707">
        <f t="shared" si="70"/>
        <v>0</v>
      </c>
      <c r="J2274" s="708">
        <f t="shared" si="71"/>
        <v>0</v>
      </c>
      <c r="K2274" s="70" t="s">
        <v>549</v>
      </c>
      <c r="L2274" s="52" t="s">
        <v>2903</v>
      </c>
    </row>
    <row r="2275" spans="1:12" ht="24" customHeight="1">
      <c r="A2275" s="33" t="s">
        <v>858</v>
      </c>
      <c r="B2275" s="33" t="s">
        <v>21</v>
      </c>
      <c r="C2275" s="33">
        <v>19</v>
      </c>
      <c r="D2275" s="2" t="s">
        <v>593</v>
      </c>
      <c r="E2275" s="33">
        <v>3</v>
      </c>
      <c r="F2275" s="33"/>
      <c r="G2275" s="522"/>
      <c r="H2275" s="707">
        <v>1</v>
      </c>
      <c r="I2275" s="707">
        <f t="shared" si="70"/>
        <v>1.1499999999999999</v>
      </c>
      <c r="J2275" s="707">
        <f t="shared" si="71"/>
        <v>1.3</v>
      </c>
      <c r="K2275" s="70"/>
    </row>
    <row r="2276" spans="1:12" ht="24" customHeight="1">
      <c r="A2276" s="33" t="s">
        <v>524</v>
      </c>
      <c r="B2276" s="33" t="s">
        <v>21</v>
      </c>
      <c r="C2276" s="33">
        <v>75</v>
      </c>
      <c r="D2276" s="2" t="s">
        <v>274</v>
      </c>
      <c r="E2276" s="33">
        <v>3</v>
      </c>
      <c r="F2276" s="33"/>
      <c r="G2276" s="522"/>
      <c r="H2276" s="707"/>
      <c r="I2276" s="707">
        <f t="shared" si="70"/>
        <v>0</v>
      </c>
      <c r="J2276" s="707">
        <f t="shared" si="71"/>
        <v>0</v>
      </c>
      <c r="K2276" s="70"/>
    </row>
    <row r="2277" spans="1:12" ht="14.4">
      <c r="A2277" s="33" t="s">
        <v>452</v>
      </c>
      <c r="B2277" s="33" t="s">
        <v>21</v>
      </c>
      <c r="C2277" s="33">
        <v>22</v>
      </c>
      <c r="D2277" s="2" t="s">
        <v>274</v>
      </c>
      <c r="E2277" s="33">
        <v>3</v>
      </c>
      <c r="F2277" s="33"/>
      <c r="G2277" s="522"/>
      <c r="H2277" s="707"/>
      <c r="I2277" s="707">
        <f t="shared" si="70"/>
        <v>0</v>
      </c>
      <c r="J2277" s="707">
        <f t="shared" si="71"/>
        <v>0</v>
      </c>
      <c r="K2277" s="70"/>
    </row>
    <row r="2278" spans="1:12" ht="14.4">
      <c r="A2278" s="33" t="s">
        <v>3119</v>
      </c>
      <c r="B2278" s="33" t="s">
        <v>21</v>
      </c>
      <c r="C2278" s="33">
        <v>4</v>
      </c>
      <c r="D2278" s="33" t="s">
        <v>3053</v>
      </c>
      <c r="E2278" s="33">
        <v>3</v>
      </c>
      <c r="F2278" s="33"/>
      <c r="G2278" s="522"/>
      <c r="H2278" s="707">
        <v>1</v>
      </c>
      <c r="I2278" s="707">
        <f t="shared" si="70"/>
        <v>1.1499999999999999</v>
      </c>
      <c r="J2278" s="707">
        <f t="shared" si="71"/>
        <v>1.3</v>
      </c>
      <c r="K2278" s="70"/>
    </row>
    <row r="2279" spans="1:12" ht="14.4">
      <c r="A2279" s="33" t="s">
        <v>1961</v>
      </c>
      <c r="B2279" s="33" t="s">
        <v>607</v>
      </c>
      <c r="C2279" s="33">
        <v>10</v>
      </c>
      <c r="D2279" s="33" t="s">
        <v>1938</v>
      </c>
      <c r="E2279" s="33">
        <v>1</v>
      </c>
      <c r="F2279" s="33"/>
      <c r="G2279" s="522"/>
      <c r="H2279" s="707"/>
      <c r="I2279" s="707">
        <f t="shared" si="70"/>
        <v>0</v>
      </c>
      <c r="J2279" s="707">
        <f t="shared" si="71"/>
        <v>0</v>
      </c>
      <c r="K2279" s="70"/>
    </row>
    <row r="2280" spans="1:12" ht="14.4">
      <c r="A2280" s="11" t="s">
        <v>3179</v>
      </c>
      <c r="B2280" s="34" t="s">
        <v>10</v>
      </c>
      <c r="C2280" s="11">
        <v>84</v>
      </c>
      <c r="D2280" s="33" t="s">
        <v>3053</v>
      </c>
      <c r="E2280" s="33">
        <v>3</v>
      </c>
      <c r="F2280" s="33"/>
      <c r="G2280" s="522"/>
      <c r="H2280" s="707"/>
      <c r="I2280" s="707">
        <f t="shared" si="70"/>
        <v>0</v>
      </c>
      <c r="J2280" s="707">
        <f t="shared" si="71"/>
        <v>0</v>
      </c>
      <c r="K2280" s="70" t="s">
        <v>51</v>
      </c>
    </row>
    <row r="2281" spans="1:12" ht="14.4">
      <c r="A2281" s="33" t="s">
        <v>329</v>
      </c>
      <c r="B2281" s="33" t="s">
        <v>10</v>
      </c>
      <c r="C2281" s="33">
        <v>100</v>
      </c>
      <c r="D2281" s="2" t="s">
        <v>274</v>
      </c>
      <c r="E2281" s="33">
        <v>1</v>
      </c>
      <c r="F2281" s="33"/>
      <c r="G2281" s="522"/>
      <c r="H2281" s="707"/>
      <c r="I2281" s="707">
        <f t="shared" si="70"/>
        <v>0</v>
      </c>
      <c r="J2281" s="707">
        <f t="shared" si="71"/>
        <v>0</v>
      </c>
      <c r="K2281" s="70"/>
    </row>
    <row r="2282" spans="1:12" ht="14.4">
      <c r="A2282" s="33" t="s">
        <v>218</v>
      </c>
      <c r="B2282" s="33" t="s">
        <v>10</v>
      </c>
      <c r="C2282" s="33">
        <v>60</v>
      </c>
      <c r="D2282" s="33" t="s">
        <v>1548</v>
      </c>
      <c r="E2282" s="33">
        <v>4</v>
      </c>
      <c r="F2282" s="33"/>
      <c r="G2282" s="522"/>
      <c r="H2282" s="707"/>
      <c r="I2282" s="707">
        <f t="shared" si="70"/>
        <v>0</v>
      </c>
      <c r="J2282" s="707">
        <f t="shared" si="71"/>
        <v>0</v>
      </c>
      <c r="K2282" s="377" t="s">
        <v>1638</v>
      </c>
    </row>
    <row r="2283" spans="1:12" ht="14.4">
      <c r="A2283" s="2" t="s">
        <v>218</v>
      </c>
      <c r="B2283" s="2" t="s">
        <v>10</v>
      </c>
      <c r="C2283" s="2">
        <v>26</v>
      </c>
      <c r="D2283" s="2" t="s">
        <v>188</v>
      </c>
      <c r="E2283" s="33">
        <v>4</v>
      </c>
      <c r="F2283" s="33"/>
      <c r="G2283" s="522"/>
      <c r="H2283" s="707"/>
      <c r="I2283" s="707">
        <f t="shared" si="70"/>
        <v>0</v>
      </c>
      <c r="J2283" s="707">
        <f t="shared" si="71"/>
        <v>0</v>
      </c>
      <c r="K2283" s="70"/>
    </row>
    <row r="2284" spans="1:12" ht="14.4">
      <c r="A2284" s="2" t="s">
        <v>218</v>
      </c>
      <c r="B2284" s="2" t="s">
        <v>10</v>
      </c>
      <c r="C2284" s="2">
        <v>59</v>
      </c>
      <c r="D2284" s="2" t="s">
        <v>3279</v>
      </c>
      <c r="E2284" s="33">
        <v>5</v>
      </c>
      <c r="F2284" s="33"/>
      <c r="G2284" s="522"/>
      <c r="H2284" s="707"/>
      <c r="I2284" s="707">
        <f t="shared" si="70"/>
        <v>0</v>
      </c>
      <c r="J2284" s="707">
        <f t="shared" si="71"/>
        <v>0</v>
      </c>
      <c r="K2284" s="70"/>
    </row>
    <row r="2285" spans="1:12" ht="24" customHeight="1">
      <c r="A2285" s="2" t="s">
        <v>218</v>
      </c>
      <c r="B2285" s="2" t="s">
        <v>10</v>
      </c>
      <c r="C2285" s="2">
        <v>10</v>
      </c>
      <c r="D2285" s="2" t="s">
        <v>3548</v>
      </c>
      <c r="E2285" s="33">
        <v>5</v>
      </c>
      <c r="F2285" s="33"/>
      <c r="G2285" s="522"/>
      <c r="H2285" s="707"/>
      <c r="I2285" s="707">
        <f t="shared" si="70"/>
        <v>0</v>
      </c>
      <c r="J2285" s="707">
        <f t="shared" si="71"/>
        <v>0</v>
      </c>
      <c r="K2285" s="70"/>
    </row>
    <row r="2286" spans="1:12" ht="24" customHeight="1">
      <c r="A2286" s="33" t="s">
        <v>208</v>
      </c>
      <c r="B2286" s="92" t="s">
        <v>10</v>
      </c>
      <c r="C2286" s="33">
        <v>14</v>
      </c>
      <c r="D2286" s="2" t="s">
        <v>188</v>
      </c>
      <c r="E2286" s="33">
        <v>4</v>
      </c>
      <c r="F2286" s="33"/>
      <c r="G2286" s="522"/>
      <c r="H2286" s="707"/>
      <c r="I2286" s="707">
        <f t="shared" si="70"/>
        <v>0</v>
      </c>
      <c r="J2286" s="707">
        <f t="shared" si="71"/>
        <v>0</v>
      </c>
      <c r="K2286" s="70" t="s">
        <v>219</v>
      </c>
    </row>
    <row r="2287" spans="1:12" ht="24" customHeight="1">
      <c r="A2287" s="2" t="s">
        <v>208</v>
      </c>
      <c r="B2287" s="2" t="s">
        <v>10</v>
      </c>
      <c r="C2287" s="2">
        <v>50</v>
      </c>
      <c r="D2287" s="2" t="s">
        <v>3548</v>
      </c>
      <c r="E2287" s="33">
        <v>5</v>
      </c>
      <c r="F2287" s="33"/>
      <c r="G2287" s="522"/>
      <c r="H2287" s="707"/>
      <c r="I2287" s="707">
        <f t="shared" si="70"/>
        <v>0</v>
      </c>
      <c r="J2287" s="707">
        <f t="shared" si="71"/>
        <v>0</v>
      </c>
      <c r="K2287" s="70"/>
    </row>
    <row r="2288" spans="1:12" ht="24" customHeight="1">
      <c r="A2288" s="33" t="s">
        <v>225</v>
      </c>
      <c r="B2288" s="33" t="s">
        <v>10</v>
      </c>
      <c r="C2288" s="33">
        <v>27</v>
      </c>
      <c r="D2288" s="2" t="s">
        <v>188</v>
      </c>
      <c r="E2288" s="33">
        <v>4</v>
      </c>
      <c r="F2288" s="33"/>
      <c r="G2288" s="522"/>
      <c r="H2288" s="707">
        <v>0.5</v>
      </c>
      <c r="I2288" s="707">
        <f t="shared" si="70"/>
        <v>0.57499999999999996</v>
      </c>
      <c r="J2288" s="707">
        <f t="shared" si="71"/>
        <v>0.65</v>
      </c>
      <c r="K2288" s="70" t="s">
        <v>219</v>
      </c>
    </row>
    <row r="2289" spans="1:11" ht="24" customHeight="1">
      <c r="A2289" s="33" t="s">
        <v>225</v>
      </c>
      <c r="B2289" s="71" t="s">
        <v>10</v>
      </c>
      <c r="C2289" s="71">
        <v>4</v>
      </c>
      <c r="D2289" s="33" t="s">
        <v>3053</v>
      </c>
      <c r="E2289" s="71">
        <v>4</v>
      </c>
      <c r="F2289" s="71"/>
      <c r="G2289" s="686"/>
      <c r="H2289" s="707">
        <v>0.5</v>
      </c>
      <c r="I2289" s="707">
        <f t="shared" si="70"/>
        <v>0.57499999999999996</v>
      </c>
      <c r="J2289" s="707">
        <f t="shared" si="71"/>
        <v>0.65</v>
      </c>
      <c r="K2289" s="70" t="s">
        <v>51</v>
      </c>
    </row>
    <row r="2290" spans="1:11" ht="24" customHeight="1">
      <c r="A2290" s="33" t="s">
        <v>225</v>
      </c>
      <c r="B2290" s="33" t="s">
        <v>10</v>
      </c>
      <c r="C2290" s="33">
        <v>70</v>
      </c>
      <c r="D2290" s="2" t="s">
        <v>593</v>
      </c>
      <c r="E2290" s="33">
        <v>2</v>
      </c>
      <c r="F2290" s="33"/>
      <c r="G2290" s="522"/>
      <c r="H2290" s="707">
        <v>0.5</v>
      </c>
      <c r="I2290" s="707">
        <f t="shared" si="70"/>
        <v>0.57499999999999996</v>
      </c>
      <c r="J2290" s="707">
        <f t="shared" si="71"/>
        <v>0.65</v>
      </c>
      <c r="K2290" s="70"/>
    </row>
    <row r="2291" spans="1:11" ht="24" customHeight="1">
      <c r="A2291" s="17" t="s">
        <v>3516</v>
      </c>
      <c r="B2291" s="17" t="s">
        <v>10</v>
      </c>
      <c r="C2291" s="17">
        <v>20</v>
      </c>
      <c r="D2291" s="131" t="s">
        <v>3451</v>
      </c>
      <c r="E2291" s="15">
        <v>3</v>
      </c>
      <c r="F2291" s="15"/>
      <c r="G2291" s="684"/>
      <c r="H2291" s="707"/>
      <c r="I2291" s="707">
        <f t="shared" si="70"/>
        <v>0</v>
      </c>
      <c r="J2291" s="707">
        <f t="shared" si="71"/>
        <v>0</v>
      </c>
      <c r="K2291" s="70"/>
    </row>
    <row r="2292" spans="1:11" ht="24" customHeight="1">
      <c r="A2292" s="33" t="s">
        <v>240</v>
      </c>
      <c r="B2292" s="33" t="s">
        <v>10</v>
      </c>
      <c r="C2292" s="33">
        <v>31</v>
      </c>
      <c r="D2292" s="2" t="s">
        <v>188</v>
      </c>
      <c r="E2292" s="33">
        <v>5</v>
      </c>
      <c r="F2292" s="33"/>
      <c r="G2292" s="522"/>
      <c r="H2292" s="707"/>
      <c r="I2292" s="707">
        <f t="shared" si="70"/>
        <v>0</v>
      </c>
      <c r="J2292" s="707">
        <f t="shared" si="71"/>
        <v>0</v>
      </c>
      <c r="K2292" s="70" t="s">
        <v>241</v>
      </c>
    </row>
    <row r="2293" spans="1:11" ht="24" customHeight="1">
      <c r="A2293" s="65" t="s">
        <v>240</v>
      </c>
      <c r="B2293" s="68" t="s">
        <v>10</v>
      </c>
      <c r="C2293" s="65">
        <v>36</v>
      </c>
      <c r="D2293" s="33" t="s">
        <v>3338</v>
      </c>
      <c r="E2293" s="33">
        <v>2</v>
      </c>
      <c r="F2293" s="33"/>
      <c r="G2293" s="522"/>
      <c r="H2293" s="707">
        <v>15</v>
      </c>
      <c r="I2293" s="707">
        <f t="shared" si="70"/>
        <v>17.25</v>
      </c>
      <c r="J2293" s="707">
        <f t="shared" si="71"/>
        <v>19.5</v>
      </c>
      <c r="K2293" s="70" t="s">
        <v>241</v>
      </c>
    </row>
    <row r="2294" spans="1:11" ht="24" customHeight="1">
      <c r="A2294" s="2" t="s">
        <v>240</v>
      </c>
      <c r="B2294" s="2" t="s">
        <v>10</v>
      </c>
      <c r="C2294" s="2">
        <v>10</v>
      </c>
      <c r="D2294" s="2" t="s">
        <v>3548</v>
      </c>
      <c r="E2294" s="33">
        <v>5</v>
      </c>
      <c r="F2294" s="33"/>
      <c r="G2294" s="522"/>
      <c r="H2294" s="707"/>
      <c r="I2294" s="707">
        <f t="shared" si="70"/>
        <v>0</v>
      </c>
      <c r="J2294" s="707">
        <f t="shared" si="71"/>
        <v>0</v>
      </c>
      <c r="K2294" s="70" t="s">
        <v>241</v>
      </c>
    </row>
    <row r="2295" spans="1:11" ht="24" customHeight="1">
      <c r="A2295" s="2" t="s">
        <v>1835</v>
      </c>
      <c r="B2295" s="2" t="s">
        <v>632</v>
      </c>
      <c r="C2295" s="2">
        <v>733</v>
      </c>
      <c r="D2295" s="2" t="s">
        <v>1785</v>
      </c>
      <c r="E2295" s="33">
        <v>2</v>
      </c>
      <c r="F2295" s="33"/>
      <c r="G2295" s="522"/>
      <c r="H2295" s="707">
        <v>20</v>
      </c>
      <c r="I2295" s="707">
        <f t="shared" si="70"/>
        <v>23</v>
      </c>
      <c r="J2295" s="707">
        <f t="shared" si="71"/>
        <v>26</v>
      </c>
      <c r="K2295" s="70"/>
    </row>
    <row r="2296" spans="1:11" ht="24" customHeight="1">
      <c r="A2296" s="59" t="s">
        <v>2705</v>
      </c>
      <c r="B2296" s="59" t="s">
        <v>23</v>
      </c>
      <c r="C2296" s="59">
        <v>80</v>
      </c>
      <c r="D2296" s="33" t="s">
        <v>2624</v>
      </c>
      <c r="E2296" s="354">
        <v>5</v>
      </c>
      <c r="F2296" s="354"/>
      <c r="G2296" s="688"/>
      <c r="H2296" s="707"/>
      <c r="I2296" s="707">
        <f t="shared" si="70"/>
        <v>0</v>
      </c>
      <c r="J2296" s="707">
        <f t="shared" si="71"/>
        <v>0</v>
      </c>
      <c r="K2296" s="70"/>
    </row>
    <row r="2297" spans="1:11" ht="24" customHeight="1">
      <c r="A2297" s="2" t="s">
        <v>1823</v>
      </c>
      <c r="B2297" s="2" t="s">
        <v>23</v>
      </c>
      <c r="C2297" s="2">
        <v>355</v>
      </c>
      <c r="D2297" s="2" t="s">
        <v>1785</v>
      </c>
      <c r="E2297" s="33">
        <v>2</v>
      </c>
      <c r="F2297" s="33"/>
      <c r="G2297" s="522"/>
      <c r="H2297" s="707">
        <v>2</v>
      </c>
      <c r="I2297" s="707">
        <f t="shared" si="70"/>
        <v>2.2999999999999998</v>
      </c>
      <c r="J2297" s="707">
        <f t="shared" si="71"/>
        <v>2.6</v>
      </c>
      <c r="K2297" s="70"/>
    </row>
    <row r="2298" spans="1:11" ht="24" customHeight="1">
      <c r="A2298" s="33" t="s">
        <v>1823</v>
      </c>
      <c r="B2298" s="33" t="s">
        <v>2367</v>
      </c>
      <c r="C2298" s="33">
        <v>103</v>
      </c>
      <c r="D2298" s="33" t="s">
        <v>2540</v>
      </c>
      <c r="E2298" s="33">
        <v>2</v>
      </c>
      <c r="F2298" s="33"/>
      <c r="G2298" s="522"/>
      <c r="H2298" s="707">
        <v>2</v>
      </c>
      <c r="I2298" s="707">
        <f t="shared" si="70"/>
        <v>2.2999999999999998</v>
      </c>
      <c r="J2298" s="707">
        <f t="shared" si="71"/>
        <v>2.6</v>
      </c>
      <c r="K2298" s="70"/>
    </row>
    <row r="2299" spans="1:11" ht="24" customHeight="1">
      <c r="A2299" s="3" t="s">
        <v>1823</v>
      </c>
      <c r="B2299" s="3" t="s">
        <v>23</v>
      </c>
      <c r="C2299" s="3">
        <v>109</v>
      </c>
      <c r="D2299" s="58" t="s">
        <v>2802</v>
      </c>
      <c r="E2299" s="33">
        <v>2</v>
      </c>
      <c r="F2299" s="33"/>
      <c r="G2299" s="522"/>
      <c r="H2299" s="707">
        <v>2</v>
      </c>
      <c r="I2299" s="707">
        <f t="shared" si="70"/>
        <v>2.2999999999999998</v>
      </c>
      <c r="J2299" s="707">
        <f t="shared" si="71"/>
        <v>2.6</v>
      </c>
      <c r="K2299" s="70"/>
    </row>
    <row r="2300" spans="1:11" ht="24" customHeight="1">
      <c r="A2300" s="33" t="s">
        <v>1850</v>
      </c>
      <c r="B2300" s="66" t="s">
        <v>23</v>
      </c>
      <c r="C2300" s="66">
        <v>104</v>
      </c>
      <c r="D2300" s="81" t="s">
        <v>1785</v>
      </c>
      <c r="E2300" s="66">
        <v>2</v>
      </c>
      <c r="F2300" s="66"/>
      <c r="G2300" s="689"/>
      <c r="H2300" s="707"/>
      <c r="I2300" s="707">
        <f t="shared" si="70"/>
        <v>0</v>
      </c>
      <c r="J2300" s="707">
        <f t="shared" si="71"/>
        <v>0</v>
      </c>
      <c r="K2300" s="70"/>
    </row>
    <row r="2301" spans="1:11" ht="24" customHeight="1">
      <c r="A2301" s="74" t="s">
        <v>1486</v>
      </c>
      <c r="B2301" s="74" t="s">
        <v>96</v>
      </c>
      <c r="C2301" s="74">
        <v>10</v>
      </c>
      <c r="D2301" s="33" t="s">
        <v>1372</v>
      </c>
      <c r="E2301" s="33">
        <v>5</v>
      </c>
      <c r="F2301" s="33"/>
      <c r="G2301" s="522"/>
      <c r="H2301" s="707">
        <v>5</v>
      </c>
      <c r="I2301" s="707">
        <f t="shared" si="70"/>
        <v>5.75</v>
      </c>
      <c r="J2301" s="707">
        <f t="shared" si="71"/>
        <v>6.5</v>
      </c>
      <c r="K2301" s="70"/>
    </row>
    <row r="2302" spans="1:11" ht="24" customHeight="1">
      <c r="A2302" s="2" t="s">
        <v>744</v>
      </c>
      <c r="B2302" s="2" t="s">
        <v>745</v>
      </c>
      <c r="C2302" s="2">
        <v>1</v>
      </c>
      <c r="D2302" s="2" t="s">
        <v>593</v>
      </c>
      <c r="E2302" s="33">
        <v>3</v>
      </c>
      <c r="F2302" s="33"/>
      <c r="G2302" s="522"/>
      <c r="H2302" s="707"/>
      <c r="I2302" s="707">
        <f t="shared" si="70"/>
        <v>0</v>
      </c>
      <c r="J2302" s="707">
        <f t="shared" si="71"/>
        <v>0</v>
      </c>
      <c r="K2302" s="70"/>
    </row>
    <row r="2303" spans="1:11" ht="24" customHeight="1">
      <c r="A2303" s="33" t="s">
        <v>3330</v>
      </c>
      <c r="B2303" s="33" t="s">
        <v>3331</v>
      </c>
      <c r="C2303" s="33">
        <v>2</v>
      </c>
      <c r="D2303" s="33" t="s">
        <v>3279</v>
      </c>
      <c r="E2303" s="33">
        <v>4</v>
      </c>
      <c r="F2303" s="33"/>
      <c r="G2303" s="522"/>
      <c r="H2303" s="707"/>
      <c r="I2303" s="707">
        <f t="shared" si="70"/>
        <v>0</v>
      </c>
      <c r="J2303" s="707">
        <f t="shared" si="71"/>
        <v>0</v>
      </c>
      <c r="K2303" s="70"/>
    </row>
    <row r="2304" spans="1:11" ht="24" customHeight="1">
      <c r="A2304" s="2" t="s">
        <v>849</v>
      </c>
      <c r="B2304" s="2" t="s">
        <v>56</v>
      </c>
      <c r="C2304" s="2">
        <v>95</v>
      </c>
      <c r="D2304" s="2" t="s">
        <v>593</v>
      </c>
      <c r="E2304" s="33">
        <v>3</v>
      </c>
      <c r="F2304" s="33"/>
      <c r="G2304" s="522"/>
      <c r="H2304" s="707"/>
      <c r="I2304" s="707">
        <f t="shared" si="70"/>
        <v>0</v>
      </c>
      <c r="J2304" s="707">
        <f t="shared" si="71"/>
        <v>0</v>
      </c>
      <c r="K2304" s="70"/>
    </row>
    <row r="2305" spans="1:11" ht="24" customHeight="1">
      <c r="A2305" s="2" t="s">
        <v>1831</v>
      </c>
      <c r="B2305" s="2" t="s">
        <v>50</v>
      </c>
      <c r="C2305" s="2">
        <v>3</v>
      </c>
      <c r="D2305" s="2" t="s">
        <v>1785</v>
      </c>
      <c r="E2305" s="33">
        <v>2</v>
      </c>
      <c r="F2305" s="33"/>
      <c r="G2305" s="522"/>
      <c r="H2305" s="707"/>
      <c r="I2305" s="707">
        <f t="shared" si="70"/>
        <v>0</v>
      </c>
      <c r="J2305" s="707">
        <f t="shared" si="71"/>
        <v>0</v>
      </c>
      <c r="K2305" s="70"/>
    </row>
    <row r="2306" spans="1:11" ht="24" customHeight="1">
      <c r="A2306" s="2" t="s">
        <v>431</v>
      </c>
      <c r="B2306" s="2" t="s">
        <v>56</v>
      </c>
      <c r="C2306" s="2">
        <v>13</v>
      </c>
      <c r="D2306" s="2" t="s">
        <v>274</v>
      </c>
      <c r="E2306" s="33">
        <v>3</v>
      </c>
      <c r="F2306" s="33"/>
      <c r="G2306" s="522"/>
      <c r="H2306" s="707">
        <v>5</v>
      </c>
      <c r="I2306" s="707">
        <f t="shared" si="70"/>
        <v>5.75</v>
      </c>
      <c r="J2306" s="707">
        <f t="shared" si="71"/>
        <v>6.5</v>
      </c>
      <c r="K2306" s="70"/>
    </row>
    <row r="2307" spans="1:11" ht="24" customHeight="1">
      <c r="A2307" s="2" t="s">
        <v>831</v>
      </c>
      <c r="B2307" s="2" t="s">
        <v>56</v>
      </c>
      <c r="C2307" s="2">
        <v>21</v>
      </c>
      <c r="D2307" s="2" t="s">
        <v>593</v>
      </c>
      <c r="E2307" s="33">
        <v>3</v>
      </c>
      <c r="F2307" s="33"/>
      <c r="G2307" s="522"/>
      <c r="H2307" s="707"/>
      <c r="I2307" s="707">
        <f t="shared" ref="I2307:I2370" si="72">H2307 * 1.15</f>
        <v>0</v>
      </c>
      <c r="J2307" s="707">
        <f t="shared" ref="J2307:J2370" si="73">H2307 * 1.3</f>
        <v>0</v>
      </c>
      <c r="K2307" s="70"/>
    </row>
    <row r="2308" spans="1:11" ht="24" customHeight="1">
      <c r="A2308" s="2" t="s">
        <v>490</v>
      </c>
      <c r="B2308" s="2" t="s">
        <v>56</v>
      </c>
      <c r="C2308" s="2">
        <v>13</v>
      </c>
      <c r="D2308" s="2" t="s">
        <v>274</v>
      </c>
      <c r="E2308" s="33">
        <v>3</v>
      </c>
      <c r="F2308" s="33"/>
      <c r="G2308" s="522"/>
      <c r="H2308" s="707">
        <v>15</v>
      </c>
      <c r="I2308" s="707">
        <f t="shared" si="72"/>
        <v>17.25</v>
      </c>
      <c r="J2308" s="707">
        <f t="shared" si="73"/>
        <v>19.5</v>
      </c>
      <c r="K2308" s="70"/>
    </row>
    <row r="2309" spans="1:11" ht="24" customHeight="1">
      <c r="A2309" s="2" t="s">
        <v>785</v>
      </c>
      <c r="B2309" s="2" t="s">
        <v>56</v>
      </c>
      <c r="C2309" s="2">
        <v>3</v>
      </c>
      <c r="D2309" s="2" t="s">
        <v>593</v>
      </c>
      <c r="E2309" s="33">
        <v>3</v>
      </c>
      <c r="F2309" s="33"/>
      <c r="G2309" s="522"/>
      <c r="H2309" s="707"/>
      <c r="I2309" s="707">
        <f t="shared" si="72"/>
        <v>0</v>
      </c>
      <c r="J2309" s="707">
        <f t="shared" si="73"/>
        <v>0</v>
      </c>
      <c r="K2309" s="70"/>
    </row>
    <row r="2310" spans="1:11" ht="24" customHeight="1">
      <c r="A2310" s="2" t="s">
        <v>698</v>
      </c>
      <c r="B2310" s="2" t="s">
        <v>418</v>
      </c>
      <c r="C2310" s="2">
        <v>1</v>
      </c>
      <c r="D2310" s="2" t="s">
        <v>593</v>
      </c>
      <c r="E2310" s="33">
        <v>2</v>
      </c>
      <c r="F2310" s="33"/>
      <c r="G2310" s="522"/>
      <c r="H2310" s="708">
        <v>75</v>
      </c>
      <c r="I2310" s="707">
        <f t="shared" si="72"/>
        <v>86.25</v>
      </c>
      <c r="J2310" s="708">
        <f t="shared" si="73"/>
        <v>97.5</v>
      </c>
      <c r="K2310" s="70"/>
    </row>
    <row r="2311" spans="1:11" ht="24" customHeight="1">
      <c r="A2311" s="2" t="s">
        <v>3431</v>
      </c>
      <c r="B2311" s="2" t="s">
        <v>707</v>
      </c>
      <c r="C2311" s="2">
        <v>6</v>
      </c>
      <c r="D2311" s="65" t="s">
        <v>3348</v>
      </c>
      <c r="E2311" s="33">
        <v>5</v>
      </c>
      <c r="F2311" s="33"/>
      <c r="G2311" s="522"/>
      <c r="H2311" s="707"/>
      <c r="I2311" s="707">
        <f t="shared" si="72"/>
        <v>0</v>
      </c>
      <c r="J2311" s="707">
        <f t="shared" si="73"/>
        <v>0</v>
      </c>
      <c r="K2311" s="70"/>
    </row>
    <row r="2312" spans="1:11" ht="24" customHeight="1">
      <c r="A2312" s="74" t="s">
        <v>2410</v>
      </c>
      <c r="B2312" s="74" t="s">
        <v>25</v>
      </c>
      <c r="C2312" s="74">
        <v>25</v>
      </c>
      <c r="D2312" s="33" t="s">
        <v>2363</v>
      </c>
      <c r="E2312" s="33">
        <v>5</v>
      </c>
      <c r="F2312" s="33"/>
      <c r="G2312" s="522"/>
      <c r="H2312" s="707"/>
      <c r="I2312" s="707">
        <f t="shared" si="72"/>
        <v>0</v>
      </c>
      <c r="J2312" s="707">
        <f t="shared" si="73"/>
        <v>0</v>
      </c>
      <c r="K2312" s="70"/>
    </row>
    <row r="2313" spans="1:11" ht="24" customHeight="1">
      <c r="A2313" s="74" t="s">
        <v>2470</v>
      </c>
      <c r="B2313" s="74" t="s">
        <v>25</v>
      </c>
      <c r="C2313" s="74">
        <v>25</v>
      </c>
      <c r="D2313" s="33" t="s">
        <v>2363</v>
      </c>
      <c r="E2313" s="33">
        <v>5</v>
      </c>
      <c r="F2313" s="33"/>
      <c r="G2313" s="522"/>
      <c r="H2313" s="707">
        <v>0.5</v>
      </c>
      <c r="I2313" s="707">
        <f t="shared" si="72"/>
        <v>0.57499999999999996</v>
      </c>
      <c r="J2313" s="707">
        <f t="shared" si="73"/>
        <v>0.65</v>
      </c>
      <c r="K2313" s="70"/>
    </row>
    <row r="2314" spans="1:11" ht="24" customHeight="1">
      <c r="A2314" s="33" t="s">
        <v>287</v>
      </c>
      <c r="B2314" s="33" t="s">
        <v>25</v>
      </c>
      <c r="C2314" s="33">
        <v>900</v>
      </c>
      <c r="D2314" s="2" t="s">
        <v>188</v>
      </c>
      <c r="E2314" s="33">
        <v>5</v>
      </c>
      <c r="F2314" s="33"/>
      <c r="G2314" s="522"/>
      <c r="H2314" s="707"/>
      <c r="I2314" s="707">
        <f t="shared" si="72"/>
        <v>0</v>
      </c>
      <c r="J2314" s="707">
        <f t="shared" si="73"/>
        <v>0</v>
      </c>
      <c r="K2314" s="70"/>
    </row>
    <row r="2315" spans="1:11" ht="24" customHeight="1">
      <c r="A2315" s="2" t="s">
        <v>765</v>
      </c>
      <c r="B2315" s="2" t="s">
        <v>25</v>
      </c>
      <c r="C2315" s="2">
        <v>67</v>
      </c>
      <c r="D2315" s="2" t="s">
        <v>593</v>
      </c>
      <c r="E2315" s="33">
        <v>3</v>
      </c>
      <c r="F2315" s="33"/>
      <c r="G2315" s="522"/>
      <c r="H2315" s="707">
        <v>1</v>
      </c>
      <c r="I2315" s="707">
        <f t="shared" si="72"/>
        <v>1.1499999999999999</v>
      </c>
      <c r="J2315" s="707">
        <f t="shared" si="73"/>
        <v>1.3</v>
      </c>
      <c r="K2315" s="70"/>
    </row>
    <row r="2316" spans="1:11" ht="24" customHeight="1">
      <c r="A2316" s="2" t="s">
        <v>3717</v>
      </c>
      <c r="B2316" s="2" t="s">
        <v>41</v>
      </c>
      <c r="C2316" s="2">
        <v>16</v>
      </c>
      <c r="D2316" s="2" t="s">
        <v>3705</v>
      </c>
      <c r="E2316" s="33">
        <v>2</v>
      </c>
      <c r="F2316" s="33"/>
      <c r="G2316" s="522"/>
      <c r="H2316" s="707"/>
      <c r="I2316" s="707">
        <f t="shared" si="72"/>
        <v>0</v>
      </c>
      <c r="J2316" s="707">
        <f t="shared" si="73"/>
        <v>0</v>
      </c>
      <c r="K2316" s="55"/>
    </row>
    <row r="2317" spans="1:11" ht="24" customHeight="1">
      <c r="A2317" s="33" t="s">
        <v>1089</v>
      </c>
      <c r="B2317" s="33" t="s">
        <v>322</v>
      </c>
      <c r="C2317" s="33">
        <v>100</v>
      </c>
      <c r="D2317" s="33" t="s">
        <v>992</v>
      </c>
      <c r="E2317" s="33">
        <v>5</v>
      </c>
      <c r="F2317" s="33"/>
      <c r="G2317" s="522"/>
      <c r="H2317" s="707"/>
      <c r="I2317" s="707">
        <f t="shared" si="72"/>
        <v>0</v>
      </c>
      <c r="J2317" s="707">
        <f t="shared" si="73"/>
        <v>0</v>
      </c>
      <c r="K2317" s="70"/>
    </row>
    <row r="2318" spans="1:11" ht="24" customHeight="1">
      <c r="A2318" s="33" t="s">
        <v>404</v>
      </c>
      <c r="B2318" s="33" t="s">
        <v>25</v>
      </c>
      <c r="C2318" s="33">
        <v>50</v>
      </c>
      <c r="D2318" s="2" t="s">
        <v>274</v>
      </c>
      <c r="E2318" s="33">
        <v>2</v>
      </c>
      <c r="F2318" s="33"/>
      <c r="G2318" s="522"/>
      <c r="H2318" s="707"/>
      <c r="I2318" s="707">
        <f t="shared" si="72"/>
        <v>0</v>
      </c>
      <c r="J2318" s="707">
        <f t="shared" si="73"/>
        <v>0</v>
      </c>
      <c r="K2318" s="70"/>
    </row>
    <row r="2319" spans="1:11" ht="24" customHeight="1">
      <c r="A2319" s="2" t="s">
        <v>739</v>
      </c>
      <c r="B2319" s="2" t="s">
        <v>25</v>
      </c>
      <c r="C2319" s="2">
        <v>180</v>
      </c>
      <c r="D2319" s="2" t="s">
        <v>593</v>
      </c>
      <c r="E2319" s="33">
        <v>3</v>
      </c>
      <c r="F2319" s="33"/>
      <c r="G2319" s="522"/>
      <c r="H2319" s="707"/>
      <c r="I2319" s="707">
        <f t="shared" si="72"/>
        <v>0</v>
      </c>
      <c r="J2319" s="707">
        <f t="shared" si="73"/>
        <v>0</v>
      </c>
      <c r="K2319" s="70"/>
    </row>
    <row r="2320" spans="1:11" ht="24" customHeight="1">
      <c r="A2320" s="74" t="s">
        <v>2459</v>
      </c>
      <c r="B2320" s="74" t="s">
        <v>25</v>
      </c>
      <c r="C2320" s="74">
        <v>100</v>
      </c>
      <c r="D2320" s="33" t="s">
        <v>2363</v>
      </c>
      <c r="E2320" s="33">
        <v>5</v>
      </c>
      <c r="F2320" s="33"/>
      <c r="G2320" s="522"/>
      <c r="H2320" s="707">
        <v>1</v>
      </c>
      <c r="I2320" s="707">
        <f t="shared" si="72"/>
        <v>1.1499999999999999</v>
      </c>
      <c r="J2320" s="707">
        <f t="shared" si="73"/>
        <v>1.3</v>
      </c>
      <c r="K2320" s="70"/>
    </row>
    <row r="2321" spans="1:11" ht="24" customHeight="1">
      <c r="A2321" s="2" t="s">
        <v>754</v>
      </c>
      <c r="B2321" s="2" t="s">
        <v>25</v>
      </c>
      <c r="C2321" s="2">
        <v>50</v>
      </c>
      <c r="D2321" s="2" t="s">
        <v>593</v>
      </c>
      <c r="E2321" s="33">
        <v>3</v>
      </c>
      <c r="F2321" s="33"/>
      <c r="G2321" s="522"/>
      <c r="H2321" s="707">
        <v>1</v>
      </c>
      <c r="I2321" s="707">
        <f t="shared" si="72"/>
        <v>1.1499999999999999</v>
      </c>
      <c r="J2321" s="707">
        <f t="shared" si="73"/>
        <v>1.3</v>
      </c>
      <c r="K2321" s="70"/>
    </row>
    <row r="2322" spans="1:11" ht="24" customHeight="1">
      <c r="A2322" s="33" t="s">
        <v>874</v>
      </c>
      <c r="B2322" s="33" t="s">
        <v>25</v>
      </c>
      <c r="C2322" s="33">
        <v>53</v>
      </c>
      <c r="D2322" s="2" t="s">
        <v>593</v>
      </c>
      <c r="E2322" s="33">
        <v>3</v>
      </c>
      <c r="F2322" s="33"/>
      <c r="G2322" s="522"/>
      <c r="H2322" s="707">
        <v>3</v>
      </c>
      <c r="I2322" s="707">
        <f t="shared" si="72"/>
        <v>3.4499999999999997</v>
      </c>
      <c r="J2322" s="707">
        <f t="shared" si="73"/>
        <v>3.9000000000000004</v>
      </c>
      <c r="K2322" s="70"/>
    </row>
    <row r="2323" spans="1:11" ht="24" customHeight="1">
      <c r="A2323" s="33" t="s">
        <v>870</v>
      </c>
      <c r="B2323" s="33" t="s">
        <v>25</v>
      </c>
      <c r="C2323" s="33">
        <v>256</v>
      </c>
      <c r="D2323" s="2" t="s">
        <v>593</v>
      </c>
      <c r="E2323" s="33">
        <v>3</v>
      </c>
      <c r="F2323" s="33"/>
      <c r="G2323" s="522"/>
      <c r="H2323" s="707">
        <v>2</v>
      </c>
      <c r="I2323" s="707">
        <f t="shared" si="72"/>
        <v>2.2999999999999998</v>
      </c>
      <c r="J2323" s="707">
        <f t="shared" si="73"/>
        <v>2.6</v>
      </c>
      <c r="K2323" s="70"/>
    </row>
    <row r="2324" spans="1:11" ht="24" customHeight="1">
      <c r="A2324" s="33" t="s">
        <v>540</v>
      </c>
      <c r="B2324" s="33" t="s">
        <v>25</v>
      </c>
      <c r="C2324" s="33">
        <v>123</v>
      </c>
      <c r="D2324" s="2" t="s">
        <v>536</v>
      </c>
      <c r="E2324" s="33">
        <v>4</v>
      </c>
      <c r="F2324" s="33"/>
      <c r="G2324" s="522"/>
      <c r="H2324" s="707"/>
      <c r="I2324" s="707">
        <f t="shared" si="72"/>
        <v>0</v>
      </c>
      <c r="J2324" s="707">
        <f t="shared" si="73"/>
        <v>0</v>
      </c>
      <c r="K2324" s="70"/>
    </row>
    <row r="2325" spans="1:11" ht="24" customHeight="1">
      <c r="A2325" s="33" t="s">
        <v>542</v>
      </c>
      <c r="B2325" s="33" t="s">
        <v>25</v>
      </c>
      <c r="C2325" s="33">
        <v>38</v>
      </c>
      <c r="D2325" s="2" t="s">
        <v>536</v>
      </c>
      <c r="E2325" s="33">
        <v>4</v>
      </c>
      <c r="F2325" s="33"/>
      <c r="G2325" s="522"/>
      <c r="H2325" s="707"/>
      <c r="I2325" s="707">
        <f t="shared" si="72"/>
        <v>0</v>
      </c>
      <c r="J2325" s="707">
        <f t="shared" si="73"/>
        <v>0</v>
      </c>
      <c r="K2325" s="70"/>
    </row>
    <row r="2326" spans="1:11" ht="24" customHeight="1">
      <c r="A2326" s="2" t="s">
        <v>3654</v>
      </c>
      <c r="B2326" s="2" t="s">
        <v>25</v>
      </c>
      <c r="C2326" s="2">
        <v>110</v>
      </c>
      <c r="D2326" s="2" t="s">
        <v>3636</v>
      </c>
      <c r="E2326" s="33">
        <v>2</v>
      </c>
      <c r="F2326" s="33"/>
      <c r="G2326" s="522"/>
      <c r="H2326" s="707"/>
      <c r="I2326" s="707">
        <f t="shared" si="72"/>
        <v>0</v>
      </c>
      <c r="J2326" s="707">
        <f t="shared" si="73"/>
        <v>0</v>
      </c>
      <c r="K2326" s="55"/>
    </row>
    <row r="2327" spans="1:11" ht="24" customHeight="1">
      <c r="A2327" s="33" t="s">
        <v>1971</v>
      </c>
      <c r="B2327" s="33" t="s">
        <v>25</v>
      </c>
      <c r="C2327" s="33">
        <v>50</v>
      </c>
      <c r="D2327" s="33" t="s">
        <v>1938</v>
      </c>
      <c r="E2327" s="33">
        <v>1</v>
      </c>
      <c r="F2327" s="33"/>
      <c r="G2327" s="522"/>
      <c r="H2327" s="707"/>
      <c r="I2327" s="707">
        <f t="shared" si="72"/>
        <v>0</v>
      </c>
      <c r="J2327" s="707">
        <f t="shared" si="73"/>
        <v>0</v>
      </c>
      <c r="K2327" s="70"/>
    </row>
    <row r="2328" spans="1:11" ht="24" customHeight="1">
      <c r="A2328" s="33" t="s">
        <v>1973</v>
      </c>
      <c r="B2328" s="33" t="s">
        <v>25</v>
      </c>
      <c r="C2328" s="33">
        <v>1000</v>
      </c>
      <c r="D2328" s="33" t="s">
        <v>1938</v>
      </c>
      <c r="E2328" s="33">
        <v>1</v>
      </c>
      <c r="F2328" s="33"/>
      <c r="G2328" s="522"/>
      <c r="H2328" s="707"/>
      <c r="I2328" s="707">
        <f t="shared" si="72"/>
        <v>0</v>
      </c>
      <c r="J2328" s="707">
        <f t="shared" si="73"/>
        <v>0</v>
      </c>
      <c r="K2328" s="70"/>
    </row>
    <row r="2329" spans="1:11" ht="24" customHeight="1">
      <c r="A2329" s="33" t="s">
        <v>1972</v>
      </c>
      <c r="B2329" s="33" t="s">
        <v>25</v>
      </c>
      <c r="C2329" s="33">
        <v>800</v>
      </c>
      <c r="D2329" s="33" t="s">
        <v>1938</v>
      </c>
      <c r="E2329" s="33">
        <v>1</v>
      </c>
      <c r="F2329" s="33"/>
      <c r="G2329" s="522"/>
      <c r="H2329" s="707"/>
      <c r="I2329" s="707">
        <f t="shared" si="72"/>
        <v>0</v>
      </c>
      <c r="J2329" s="707">
        <f t="shared" si="73"/>
        <v>0</v>
      </c>
      <c r="K2329" s="70"/>
    </row>
    <row r="2330" spans="1:11" ht="24" customHeight="1">
      <c r="A2330" s="2" t="s">
        <v>29</v>
      </c>
      <c r="B2330" s="2" t="s">
        <v>25</v>
      </c>
      <c r="C2330" s="2">
        <v>300</v>
      </c>
      <c r="D2330" s="2" t="s">
        <v>11</v>
      </c>
      <c r="E2330" s="33">
        <v>1</v>
      </c>
      <c r="F2330" s="33"/>
      <c r="G2330" s="522"/>
      <c r="H2330" s="707"/>
      <c r="I2330" s="707">
        <f t="shared" si="72"/>
        <v>0</v>
      </c>
      <c r="J2330" s="707">
        <f t="shared" si="73"/>
        <v>0</v>
      </c>
      <c r="K2330" s="70"/>
    </row>
    <row r="2331" spans="1:11" ht="24" customHeight="1">
      <c r="A2331" s="74" t="s">
        <v>1661</v>
      </c>
      <c r="B2331" s="74" t="s">
        <v>25</v>
      </c>
      <c r="C2331" s="74">
        <v>30</v>
      </c>
      <c r="D2331" s="33" t="s">
        <v>1548</v>
      </c>
      <c r="E2331" s="33">
        <v>5</v>
      </c>
      <c r="F2331" s="33"/>
      <c r="G2331" s="522"/>
      <c r="H2331" s="707">
        <v>2</v>
      </c>
      <c r="I2331" s="707">
        <f t="shared" si="72"/>
        <v>2.2999999999999998</v>
      </c>
      <c r="J2331" s="707">
        <f t="shared" si="73"/>
        <v>2.6</v>
      </c>
      <c r="K2331" s="70"/>
    </row>
    <row r="2332" spans="1:11" ht="24" customHeight="1">
      <c r="A2332" s="74" t="s">
        <v>2468</v>
      </c>
      <c r="B2332" s="74" t="s">
        <v>25</v>
      </c>
      <c r="C2332" s="74">
        <v>10</v>
      </c>
      <c r="D2332" s="33" t="s">
        <v>2363</v>
      </c>
      <c r="E2332" s="33">
        <v>5</v>
      </c>
      <c r="F2332" s="33"/>
      <c r="G2332" s="522"/>
      <c r="H2332" s="707"/>
      <c r="I2332" s="707">
        <f t="shared" si="72"/>
        <v>0</v>
      </c>
      <c r="J2332" s="707">
        <f t="shared" si="73"/>
        <v>0</v>
      </c>
      <c r="K2332" s="70"/>
    </row>
    <row r="2333" spans="1:11" ht="24" customHeight="1">
      <c r="A2333" s="33" t="s">
        <v>1335</v>
      </c>
      <c r="B2333" s="33" t="s">
        <v>1336</v>
      </c>
      <c r="C2333" s="33">
        <v>2</v>
      </c>
      <c r="D2333" s="33" t="s">
        <v>1325</v>
      </c>
      <c r="E2333" s="33">
        <v>1</v>
      </c>
      <c r="F2333" s="33"/>
      <c r="G2333" s="522"/>
      <c r="H2333" s="707">
        <v>50</v>
      </c>
      <c r="I2333" s="707">
        <f t="shared" si="72"/>
        <v>57.499999999999993</v>
      </c>
      <c r="J2333" s="707">
        <f t="shared" si="73"/>
        <v>65</v>
      </c>
      <c r="K2333" s="70"/>
    </row>
    <row r="2334" spans="1:11" ht="24" customHeight="1">
      <c r="A2334" s="2" t="s">
        <v>808</v>
      </c>
      <c r="B2334" s="2" t="s">
        <v>83</v>
      </c>
      <c r="C2334" s="2">
        <v>13</v>
      </c>
      <c r="D2334" s="2" t="s">
        <v>593</v>
      </c>
      <c r="E2334" s="33">
        <v>3</v>
      </c>
      <c r="F2334" s="33"/>
      <c r="G2334" s="522"/>
      <c r="H2334" s="707"/>
      <c r="I2334" s="707">
        <f t="shared" si="72"/>
        <v>0</v>
      </c>
      <c r="J2334" s="707">
        <f t="shared" si="73"/>
        <v>0</v>
      </c>
      <c r="K2334" s="70"/>
    </row>
    <row r="2335" spans="1:11" ht="24" customHeight="1">
      <c r="A2335" s="2" t="s">
        <v>805</v>
      </c>
      <c r="B2335" s="2" t="s">
        <v>83</v>
      </c>
      <c r="C2335" s="2">
        <v>9</v>
      </c>
      <c r="D2335" s="2" t="s">
        <v>593</v>
      </c>
      <c r="E2335" s="33">
        <v>3</v>
      </c>
      <c r="F2335" s="33"/>
      <c r="G2335" s="522"/>
      <c r="H2335" s="707">
        <v>3</v>
      </c>
      <c r="I2335" s="707">
        <f t="shared" si="72"/>
        <v>3.4499999999999997</v>
      </c>
      <c r="J2335" s="707">
        <f t="shared" si="73"/>
        <v>3.9000000000000004</v>
      </c>
      <c r="K2335" s="70"/>
    </row>
    <row r="2336" spans="1:11" ht="24" customHeight="1">
      <c r="A2336" s="2" t="s">
        <v>801</v>
      </c>
      <c r="B2336" s="2" t="s">
        <v>83</v>
      </c>
      <c r="C2336" s="2">
        <v>1</v>
      </c>
      <c r="D2336" s="2" t="s">
        <v>593</v>
      </c>
      <c r="E2336" s="33">
        <v>3</v>
      </c>
      <c r="F2336" s="33"/>
      <c r="G2336" s="522"/>
      <c r="H2336" s="707"/>
      <c r="I2336" s="707">
        <f t="shared" si="72"/>
        <v>0</v>
      </c>
      <c r="J2336" s="707">
        <f t="shared" si="73"/>
        <v>0</v>
      </c>
      <c r="K2336" s="70"/>
    </row>
    <row r="2337" spans="1:11" ht="24" customHeight="1">
      <c r="A2337" s="33" t="s">
        <v>222</v>
      </c>
      <c r="B2337" s="33" t="s">
        <v>41</v>
      </c>
      <c r="C2337" s="33">
        <v>4</v>
      </c>
      <c r="D2337" s="2" t="s">
        <v>188</v>
      </c>
      <c r="E2337" s="33">
        <v>4</v>
      </c>
      <c r="F2337" s="33"/>
      <c r="G2337" s="522"/>
      <c r="H2337" s="707"/>
      <c r="I2337" s="707">
        <f t="shared" si="72"/>
        <v>0</v>
      </c>
      <c r="J2337" s="707">
        <f t="shared" si="73"/>
        <v>0</v>
      </c>
      <c r="K2337" s="70"/>
    </row>
    <row r="2338" spans="1:11" ht="24" customHeight="1">
      <c r="A2338" s="2" t="s">
        <v>331</v>
      </c>
      <c r="B2338" s="2" t="s">
        <v>332</v>
      </c>
      <c r="C2338" s="2">
        <v>10</v>
      </c>
      <c r="D2338" s="2" t="s">
        <v>274</v>
      </c>
      <c r="E2338" s="33">
        <v>1</v>
      </c>
      <c r="F2338" s="33"/>
      <c r="G2338" s="522"/>
      <c r="H2338" s="707"/>
      <c r="I2338" s="707">
        <f t="shared" si="72"/>
        <v>0</v>
      </c>
      <c r="J2338" s="707">
        <f t="shared" si="73"/>
        <v>0</v>
      </c>
      <c r="K2338" s="70"/>
    </row>
    <row r="2339" spans="1:11" ht="24" customHeight="1">
      <c r="A2339" s="33" t="s">
        <v>1180</v>
      </c>
      <c r="B2339" s="33" t="s">
        <v>1181</v>
      </c>
      <c r="C2339" s="33">
        <v>100</v>
      </c>
      <c r="D2339" s="33" t="s">
        <v>1141</v>
      </c>
      <c r="E2339" s="33">
        <v>2</v>
      </c>
      <c r="F2339" s="33"/>
      <c r="G2339" s="522"/>
      <c r="H2339" s="707"/>
      <c r="I2339" s="707">
        <f t="shared" si="72"/>
        <v>0</v>
      </c>
      <c r="J2339" s="707">
        <f t="shared" si="73"/>
        <v>0</v>
      </c>
      <c r="K2339" s="70"/>
    </row>
    <row r="2340" spans="1:11" ht="24" customHeight="1">
      <c r="A2340" s="33" t="s">
        <v>212</v>
      </c>
      <c r="B2340" s="33" t="s">
        <v>213</v>
      </c>
      <c r="C2340" s="33">
        <v>4</v>
      </c>
      <c r="D2340" s="2" t="s">
        <v>188</v>
      </c>
      <c r="E2340" s="33">
        <v>4</v>
      </c>
      <c r="F2340" s="33"/>
      <c r="G2340" s="522"/>
      <c r="H2340" s="707"/>
      <c r="I2340" s="707">
        <f t="shared" si="72"/>
        <v>0</v>
      </c>
      <c r="J2340" s="707">
        <f t="shared" si="73"/>
        <v>0</v>
      </c>
      <c r="K2340" s="70"/>
    </row>
    <row r="2341" spans="1:11" ht="24" customHeight="1">
      <c r="A2341" s="33" t="s">
        <v>2380</v>
      </c>
      <c r="B2341" s="33" t="s">
        <v>2375</v>
      </c>
      <c r="C2341" s="33">
        <v>12</v>
      </c>
      <c r="D2341" s="33" t="s">
        <v>2363</v>
      </c>
      <c r="E2341" s="33">
        <v>3</v>
      </c>
      <c r="F2341" s="33"/>
      <c r="G2341" s="522"/>
      <c r="H2341" s="707"/>
      <c r="I2341" s="707">
        <f t="shared" si="72"/>
        <v>0</v>
      </c>
      <c r="J2341" s="707">
        <f t="shared" si="73"/>
        <v>0</v>
      </c>
      <c r="K2341" s="70"/>
    </row>
    <row r="2342" spans="1:11" ht="24" customHeight="1">
      <c r="A2342" s="33" t="s">
        <v>2591</v>
      </c>
      <c r="B2342" s="33" t="s">
        <v>2592</v>
      </c>
      <c r="C2342" s="33">
        <v>69</v>
      </c>
      <c r="D2342" s="33" t="s">
        <v>2540</v>
      </c>
      <c r="E2342" s="33">
        <v>2</v>
      </c>
      <c r="F2342" s="33"/>
      <c r="G2342" s="522"/>
      <c r="H2342" s="707"/>
      <c r="I2342" s="707">
        <f t="shared" si="72"/>
        <v>0</v>
      </c>
      <c r="J2342" s="707">
        <f t="shared" si="73"/>
        <v>0</v>
      </c>
      <c r="K2342" s="70"/>
    </row>
    <row r="2343" spans="1:11" ht="24" customHeight="1">
      <c r="A2343" s="2" t="s">
        <v>842</v>
      </c>
      <c r="B2343" s="2" t="s">
        <v>45</v>
      </c>
      <c r="C2343" s="2">
        <v>15</v>
      </c>
      <c r="D2343" s="2" t="s">
        <v>593</v>
      </c>
      <c r="E2343" s="33">
        <v>3</v>
      </c>
      <c r="F2343" s="33"/>
      <c r="G2343" s="522"/>
      <c r="H2343" s="707"/>
      <c r="I2343" s="707">
        <f t="shared" si="72"/>
        <v>0</v>
      </c>
      <c r="J2343" s="707">
        <f t="shared" si="73"/>
        <v>0</v>
      </c>
      <c r="K2343" s="70"/>
    </row>
    <row r="2344" spans="1:11" ht="24" customHeight="1">
      <c r="A2344" s="74" t="s">
        <v>842</v>
      </c>
      <c r="B2344" s="74" t="s">
        <v>45</v>
      </c>
      <c r="C2344" s="74">
        <v>9</v>
      </c>
      <c r="D2344" s="33" t="s">
        <v>2363</v>
      </c>
      <c r="E2344" s="33">
        <v>5</v>
      </c>
      <c r="F2344" s="33"/>
      <c r="G2344" s="522"/>
      <c r="H2344" s="707"/>
      <c r="I2344" s="707">
        <f t="shared" si="72"/>
        <v>0</v>
      </c>
      <c r="J2344" s="707">
        <f t="shared" si="73"/>
        <v>0</v>
      </c>
      <c r="K2344" s="70"/>
    </row>
    <row r="2345" spans="1:11" ht="24" customHeight="1">
      <c r="A2345" s="2" t="s">
        <v>813</v>
      </c>
      <c r="B2345" s="2" t="s">
        <v>814</v>
      </c>
      <c r="C2345" s="2">
        <v>1</v>
      </c>
      <c r="D2345" s="2" t="s">
        <v>593</v>
      </c>
      <c r="E2345" s="33">
        <v>3</v>
      </c>
      <c r="F2345" s="33"/>
      <c r="G2345" s="522"/>
      <c r="H2345" s="707"/>
      <c r="I2345" s="707">
        <f t="shared" si="72"/>
        <v>0</v>
      </c>
      <c r="J2345" s="707">
        <f t="shared" si="73"/>
        <v>0</v>
      </c>
      <c r="K2345" s="70"/>
    </row>
    <row r="2346" spans="1:11" ht="24" customHeight="1">
      <c r="A2346" s="74" t="s">
        <v>2453</v>
      </c>
      <c r="B2346" s="74" t="s">
        <v>814</v>
      </c>
      <c r="C2346" s="74">
        <v>1</v>
      </c>
      <c r="D2346" s="33" t="s">
        <v>2363</v>
      </c>
      <c r="E2346" s="33">
        <v>5</v>
      </c>
      <c r="F2346" s="33"/>
      <c r="G2346" s="522"/>
      <c r="H2346" s="707"/>
      <c r="I2346" s="707">
        <f t="shared" si="72"/>
        <v>0</v>
      </c>
      <c r="J2346" s="707">
        <f t="shared" si="73"/>
        <v>0</v>
      </c>
      <c r="K2346" s="70"/>
    </row>
    <row r="2347" spans="1:11" ht="24" customHeight="1">
      <c r="A2347" s="2" t="s">
        <v>352</v>
      </c>
      <c r="B2347" s="2" t="s">
        <v>353</v>
      </c>
      <c r="C2347" s="2">
        <v>75</v>
      </c>
      <c r="D2347" s="2" t="s">
        <v>274</v>
      </c>
      <c r="E2347" s="33">
        <v>1</v>
      </c>
      <c r="F2347" s="33"/>
      <c r="G2347" s="522"/>
      <c r="H2347" s="707">
        <v>0.5</v>
      </c>
      <c r="I2347" s="707">
        <f t="shared" si="72"/>
        <v>0.57499999999999996</v>
      </c>
      <c r="J2347" s="707">
        <f t="shared" si="73"/>
        <v>0.65</v>
      </c>
      <c r="K2347" s="70"/>
    </row>
    <row r="2348" spans="1:11" ht="24" customHeight="1">
      <c r="A2348" s="2" t="s">
        <v>346</v>
      </c>
      <c r="B2348" s="2" t="s">
        <v>347</v>
      </c>
      <c r="C2348" s="2">
        <v>314</v>
      </c>
      <c r="D2348" s="2" t="s">
        <v>274</v>
      </c>
      <c r="E2348" s="33">
        <v>1</v>
      </c>
      <c r="F2348" s="33"/>
      <c r="G2348" s="522"/>
      <c r="H2348" s="707">
        <v>2</v>
      </c>
      <c r="I2348" s="707">
        <f t="shared" si="72"/>
        <v>2.2999999999999998</v>
      </c>
      <c r="J2348" s="707">
        <f t="shared" si="73"/>
        <v>2.6</v>
      </c>
      <c r="K2348" s="70"/>
    </row>
    <row r="2349" spans="1:11" ht="24" customHeight="1">
      <c r="A2349" s="33" t="s">
        <v>1009</v>
      </c>
      <c r="B2349" s="33" t="s">
        <v>1010</v>
      </c>
      <c r="C2349" s="33">
        <v>24</v>
      </c>
      <c r="D2349" s="33" t="s">
        <v>992</v>
      </c>
      <c r="E2349" s="33">
        <v>3</v>
      </c>
      <c r="F2349" s="33"/>
      <c r="G2349" s="522"/>
      <c r="H2349" s="707">
        <v>1.9</v>
      </c>
      <c r="I2349" s="707">
        <f t="shared" si="72"/>
        <v>2.1849999999999996</v>
      </c>
      <c r="J2349" s="707">
        <f t="shared" si="73"/>
        <v>2.4699999999999998</v>
      </c>
      <c r="K2349" s="70"/>
    </row>
    <row r="2350" spans="1:11" ht="24" customHeight="1">
      <c r="A2350" s="33" t="s">
        <v>2280</v>
      </c>
      <c r="B2350" s="33" t="s">
        <v>2281</v>
      </c>
      <c r="C2350" s="33">
        <v>2</v>
      </c>
      <c r="D2350" s="33" t="s">
        <v>2276</v>
      </c>
      <c r="E2350" s="33">
        <v>1</v>
      </c>
      <c r="F2350" s="33"/>
      <c r="G2350" s="522"/>
      <c r="H2350" s="707">
        <v>5</v>
      </c>
      <c r="I2350" s="707">
        <f t="shared" si="72"/>
        <v>5.75</v>
      </c>
      <c r="J2350" s="707">
        <f t="shared" si="73"/>
        <v>6.5</v>
      </c>
      <c r="K2350" s="70"/>
    </row>
    <row r="2351" spans="1:11" ht="24" customHeight="1">
      <c r="A2351" s="33" t="s">
        <v>2285</v>
      </c>
      <c r="B2351" s="33" t="s">
        <v>637</v>
      </c>
      <c r="C2351" s="33">
        <v>14</v>
      </c>
      <c r="D2351" s="33" t="s">
        <v>2276</v>
      </c>
      <c r="E2351" s="33">
        <v>1</v>
      </c>
      <c r="F2351" s="33"/>
      <c r="G2351" s="522"/>
      <c r="H2351" s="707">
        <v>4</v>
      </c>
      <c r="I2351" s="707">
        <f t="shared" si="72"/>
        <v>4.5999999999999996</v>
      </c>
      <c r="J2351" s="707">
        <f t="shared" si="73"/>
        <v>5.2</v>
      </c>
      <c r="K2351" s="70"/>
    </row>
    <row r="2352" spans="1:11" ht="24" customHeight="1">
      <c r="A2352" s="33" t="s">
        <v>2304</v>
      </c>
      <c r="B2352" s="33" t="s">
        <v>2281</v>
      </c>
      <c r="C2352" s="33">
        <v>14</v>
      </c>
      <c r="D2352" s="33" t="s">
        <v>2276</v>
      </c>
      <c r="E2352" s="33">
        <v>1</v>
      </c>
      <c r="F2352" s="33"/>
      <c r="G2352" s="522"/>
      <c r="H2352" s="707"/>
      <c r="I2352" s="707">
        <f t="shared" si="72"/>
        <v>0</v>
      </c>
      <c r="J2352" s="707">
        <f t="shared" si="73"/>
        <v>0</v>
      </c>
      <c r="K2352" s="70"/>
    </row>
    <row r="2353" spans="1:11" ht="24" customHeight="1">
      <c r="A2353" s="59" t="s">
        <v>3249</v>
      </c>
      <c r="B2353" s="59" t="s">
        <v>2281</v>
      </c>
      <c r="C2353" s="59">
        <v>3</v>
      </c>
      <c r="D2353" s="33" t="s">
        <v>3053</v>
      </c>
      <c r="E2353" s="354">
        <v>5</v>
      </c>
      <c r="F2353" s="354"/>
      <c r="G2353" s="688"/>
      <c r="H2353" s="707"/>
      <c r="I2353" s="707">
        <f t="shared" si="72"/>
        <v>0</v>
      </c>
      <c r="J2353" s="707">
        <f t="shared" si="73"/>
        <v>0</v>
      </c>
      <c r="K2353" s="70"/>
    </row>
    <row r="2354" spans="1:11" ht="24" customHeight="1">
      <c r="A2354" s="33" t="s">
        <v>3363</v>
      </c>
      <c r="B2354" s="33" t="s">
        <v>2281</v>
      </c>
      <c r="C2354" s="33">
        <v>11</v>
      </c>
      <c r="D2354" s="33" t="s">
        <v>3348</v>
      </c>
      <c r="E2354" s="33">
        <v>3</v>
      </c>
      <c r="F2354" s="33"/>
      <c r="G2354" s="522"/>
      <c r="H2354" s="707"/>
      <c r="I2354" s="707">
        <f t="shared" si="72"/>
        <v>0</v>
      </c>
      <c r="J2354" s="707">
        <f t="shared" si="73"/>
        <v>0</v>
      </c>
      <c r="K2354" s="70"/>
    </row>
    <row r="2355" spans="1:11" ht="24" customHeight="1">
      <c r="A2355" s="74" t="s">
        <v>2443</v>
      </c>
      <c r="B2355" s="74" t="s">
        <v>2281</v>
      </c>
      <c r="C2355" s="74">
        <v>15</v>
      </c>
      <c r="D2355" s="33" t="s">
        <v>2363</v>
      </c>
      <c r="E2355" s="33">
        <v>5</v>
      </c>
      <c r="F2355" s="33"/>
      <c r="G2355" s="522"/>
      <c r="H2355" s="707"/>
      <c r="I2355" s="707">
        <f t="shared" si="72"/>
        <v>0</v>
      </c>
      <c r="J2355" s="707">
        <f t="shared" si="73"/>
        <v>0</v>
      </c>
      <c r="K2355" s="70"/>
    </row>
    <row r="2356" spans="1:11" ht="24" customHeight="1">
      <c r="A2356" s="33" t="s">
        <v>1015</v>
      </c>
      <c r="B2356" s="33" t="s">
        <v>1016</v>
      </c>
      <c r="C2356" s="33">
        <v>2</v>
      </c>
      <c r="D2356" s="33" t="s">
        <v>992</v>
      </c>
      <c r="E2356" s="33">
        <v>3</v>
      </c>
      <c r="F2356" s="33"/>
      <c r="G2356" s="522"/>
      <c r="H2356" s="707"/>
      <c r="I2356" s="707">
        <f t="shared" si="72"/>
        <v>0</v>
      </c>
      <c r="J2356" s="707">
        <f t="shared" si="73"/>
        <v>0</v>
      </c>
      <c r="K2356" s="70"/>
    </row>
    <row r="2357" spans="1:11" ht="24" customHeight="1">
      <c r="A2357" s="33" t="s">
        <v>451</v>
      </c>
      <c r="B2357" s="33" t="s">
        <v>19</v>
      </c>
      <c r="C2357" s="33">
        <v>45</v>
      </c>
      <c r="D2357" s="2" t="s">
        <v>274</v>
      </c>
      <c r="E2357" s="33">
        <v>3</v>
      </c>
      <c r="F2357" s="33"/>
      <c r="G2357" s="522"/>
      <c r="H2357" s="707"/>
      <c r="I2357" s="707">
        <f t="shared" si="72"/>
        <v>0</v>
      </c>
      <c r="J2357" s="707">
        <f t="shared" si="73"/>
        <v>0</v>
      </c>
      <c r="K2357" s="70"/>
    </row>
    <row r="2358" spans="1:11" ht="24" customHeight="1">
      <c r="A2358" s="33" t="s">
        <v>453</v>
      </c>
      <c r="B2358" s="33" t="s">
        <v>19</v>
      </c>
      <c r="C2358" s="33">
        <v>10</v>
      </c>
      <c r="D2358" s="2" t="s">
        <v>274</v>
      </c>
      <c r="E2358" s="33">
        <v>3</v>
      </c>
      <c r="F2358" s="33"/>
      <c r="G2358" s="522"/>
      <c r="H2358" s="707"/>
      <c r="I2358" s="707">
        <f t="shared" si="72"/>
        <v>0</v>
      </c>
      <c r="J2358" s="707">
        <f t="shared" si="73"/>
        <v>0</v>
      </c>
      <c r="K2358" s="70"/>
    </row>
    <row r="2359" spans="1:11" ht="24" customHeight="1">
      <c r="A2359" s="2" t="s">
        <v>453</v>
      </c>
      <c r="B2359" s="2" t="s">
        <v>19</v>
      </c>
      <c r="C2359" s="2">
        <v>5</v>
      </c>
      <c r="D2359" s="2" t="s">
        <v>593</v>
      </c>
      <c r="E2359" s="33">
        <v>3</v>
      </c>
      <c r="F2359" s="33"/>
      <c r="G2359" s="522"/>
      <c r="H2359" s="707"/>
      <c r="I2359" s="707">
        <f t="shared" si="72"/>
        <v>0</v>
      </c>
      <c r="J2359" s="707">
        <f t="shared" si="73"/>
        <v>0</v>
      </c>
      <c r="K2359" s="70"/>
    </row>
    <row r="2360" spans="1:11" ht="24" customHeight="1">
      <c r="A2360" s="59" t="s">
        <v>2688</v>
      </c>
      <c r="B2360" s="59" t="s">
        <v>19</v>
      </c>
      <c r="C2360" s="59">
        <v>46</v>
      </c>
      <c r="D2360" s="33" t="s">
        <v>2624</v>
      </c>
      <c r="E2360" s="354">
        <v>5</v>
      </c>
      <c r="F2360" s="354"/>
      <c r="G2360" s="688"/>
      <c r="H2360" s="707">
        <v>0.5</v>
      </c>
      <c r="I2360" s="707">
        <f t="shared" si="72"/>
        <v>0.57499999999999996</v>
      </c>
      <c r="J2360" s="707">
        <f t="shared" si="73"/>
        <v>0.65</v>
      </c>
      <c r="K2360" s="70"/>
    </row>
    <row r="2361" spans="1:11" ht="24" customHeight="1">
      <c r="A2361" s="33" t="s">
        <v>1885</v>
      </c>
      <c r="B2361" s="33" t="s">
        <v>19</v>
      </c>
      <c r="C2361" s="33">
        <v>42</v>
      </c>
      <c r="D2361" s="2" t="s">
        <v>1785</v>
      </c>
      <c r="E2361" s="33">
        <v>3</v>
      </c>
      <c r="F2361" s="33"/>
      <c r="G2361" s="522"/>
      <c r="H2361" s="707"/>
      <c r="I2361" s="707">
        <f t="shared" si="72"/>
        <v>0</v>
      </c>
      <c r="J2361" s="707">
        <f t="shared" si="73"/>
        <v>0</v>
      </c>
      <c r="K2361" s="70"/>
    </row>
    <row r="2362" spans="1:11" ht="24" customHeight="1">
      <c r="A2362" s="33" t="s">
        <v>865</v>
      </c>
      <c r="B2362" s="33" t="s">
        <v>19</v>
      </c>
      <c r="C2362" s="33">
        <v>34</v>
      </c>
      <c r="D2362" s="2" t="s">
        <v>593</v>
      </c>
      <c r="E2362" s="33">
        <v>3</v>
      </c>
      <c r="F2362" s="33"/>
      <c r="G2362" s="522"/>
      <c r="H2362" s="707"/>
      <c r="I2362" s="707">
        <f t="shared" si="72"/>
        <v>0</v>
      </c>
      <c r="J2362" s="707">
        <f t="shared" si="73"/>
        <v>0</v>
      </c>
      <c r="K2362" s="70"/>
    </row>
    <row r="2363" spans="1:11" ht="24" customHeight="1">
      <c r="A2363" s="33" t="s">
        <v>869</v>
      </c>
      <c r="B2363" s="33" t="s">
        <v>19</v>
      </c>
      <c r="C2363" s="33">
        <v>28</v>
      </c>
      <c r="D2363" s="2" t="s">
        <v>593</v>
      </c>
      <c r="E2363" s="33">
        <v>3</v>
      </c>
      <c r="F2363" s="33"/>
      <c r="G2363" s="522"/>
      <c r="H2363" s="707"/>
      <c r="I2363" s="707">
        <f t="shared" si="72"/>
        <v>0</v>
      </c>
      <c r="J2363" s="707">
        <f t="shared" si="73"/>
        <v>0</v>
      </c>
      <c r="K2363" s="70"/>
    </row>
    <row r="2364" spans="1:11" ht="24" customHeight="1">
      <c r="A2364" s="74" t="s">
        <v>2139</v>
      </c>
      <c r="B2364" s="74" t="s">
        <v>19</v>
      </c>
      <c r="C2364" s="74">
        <v>1</v>
      </c>
      <c r="D2364" s="33" t="s">
        <v>2111</v>
      </c>
      <c r="E2364" s="33">
        <v>2</v>
      </c>
      <c r="F2364" s="33"/>
      <c r="G2364" s="522"/>
      <c r="H2364" s="707"/>
      <c r="I2364" s="707">
        <f t="shared" si="72"/>
        <v>0</v>
      </c>
      <c r="J2364" s="707">
        <f t="shared" si="73"/>
        <v>0</v>
      </c>
      <c r="K2364" s="70"/>
    </row>
    <row r="2365" spans="1:11" ht="24" customHeight="1">
      <c r="A2365" s="33" t="s">
        <v>526</v>
      </c>
      <c r="B2365" s="33" t="s">
        <v>19</v>
      </c>
      <c r="C2365" s="33">
        <v>24</v>
      </c>
      <c r="D2365" s="2" t="s">
        <v>274</v>
      </c>
      <c r="E2365" s="33">
        <v>3</v>
      </c>
      <c r="F2365" s="33"/>
      <c r="G2365" s="522"/>
      <c r="H2365" s="707"/>
      <c r="I2365" s="707">
        <f t="shared" si="72"/>
        <v>0</v>
      </c>
      <c r="J2365" s="707">
        <f t="shared" si="73"/>
        <v>0</v>
      </c>
      <c r="K2365" s="70"/>
    </row>
    <row r="2366" spans="1:11" ht="24" customHeight="1">
      <c r="A2366" s="33" t="s">
        <v>2229</v>
      </c>
      <c r="B2366" s="33" t="s">
        <v>19</v>
      </c>
      <c r="C2366" s="33">
        <v>88</v>
      </c>
      <c r="D2366" s="33" t="s">
        <v>2191</v>
      </c>
      <c r="E2366" s="33">
        <v>5</v>
      </c>
      <c r="F2366" s="33"/>
      <c r="G2366" s="522"/>
      <c r="H2366" s="707"/>
      <c r="I2366" s="707">
        <f t="shared" si="72"/>
        <v>0</v>
      </c>
      <c r="J2366" s="707">
        <f t="shared" si="73"/>
        <v>0</v>
      </c>
      <c r="K2366" s="70"/>
    </row>
    <row r="2367" spans="1:11" ht="24" customHeight="1">
      <c r="A2367" s="33" t="s">
        <v>621</v>
      </c>
      <c r="B2367" s="33" t="s">
        <v>622</v>
      </c>
      <c r="C2367" s="33">
        <v>8</v>
      </c>
      <c r="D2367" s="2" t="s">
        <v>593</v>
      </c>
      <c r="E2367" s="33">
        <v>1</v>
      </c>
      <c r="F2367" s="33"/>
      <c r="G2367" s="522"/>
      <c r="H2367" s="707">
        <v>15</v>
      </c>
      <c r="I2367" s="707">
        <f t="shared" si="72"/>
        <v>17.25</v>
      </c>
      <c r="J2367" s="707">
        <f t="shared" si="73"/>
        <v>19.5</v>
      </c>
      <c r="K2367" s="55"/>
    </row>
    <row r="2368" spans="1:11" ht="24" customHeight="1">
      <c r="A2368" s="2" t="s">
        <v>650</v>
      </c>
      <c r="B2368" s="2" t="s">
        <v>19</v>
      </c>
      <c r="C2368" s="2">
        <v>81</v>
      </c>
      <c r="D2368" s="2" t="s">
        <v>593</v>
      </c>
      <c r="E2368" s="33">
        <v>1</v>
      </c>
      <c r="F2368" s="33"/>
      <c r="G2368" s="522"/>
      <c r="H2368" s="708">
        <v>15</v>
      </c>
      <c r="I2368" s="707">
        <f t="shared" si="72"/>
        <v>17.25</v>
      </c>
      <c r="J2368" s="708">
        <f t="shared" si="73"/>
        <v>19.5</v>
      </c>
      <c r="K2368" s="55"/>
    </row>
    <row r="2369" spans="1:11" ht="24" customHeight="1">
      <c r="A2369" s="33" t="s">
        <v>982</v>
      </c>
      <c r="B2369" s="33" t="s">
        <v>19</v>
      </c>
      <c r="C2369" s="33">
        <v>6</v>
      </c>
      <c r="D2369" s="33" t="s">
        <v>910</v>
      </c>
      <c r="E2369" s="33">
        <v>2</v>
      </c>
      <c r="F2369" s="33"/>
      <c r="G2369" s="522"/>
      <c r="H2369" s="707">
        <v>3</v>
      </c>
      <c r="I2369" s="707">
        <f t="shared" si="72"/>
        <v>3.4499999999999997</v>
      </c>
      <c r="J2369" s="707">
        <f t="shared" si="73"/>
        <v>3.9000000000000004</v>
      </c>
      <c r="K2369" s="70"/>
    </row>
    <row r="2370" spans="1:11" ht="24" customHeight="1">
      <c r="A2370" s="74" t="s">
        <v>982</v>
      </c>
      <c r="B2370" s="33" t="s">
        <v>19</v>
      </c>
      <c r="C2370" s="33">
        <v>8</v>
      </c>
      <c r="D2370" s="33" t="s">
        <v>992</v>
      </c>
      <c r="E2370" s="33">
        <v>5</v>
      </c>
      <c r="F2370" s="33"/>
      <c r="G2370" s="522"/>
      <c r="H2370" s="707">
        <v>3</v>
      </c>
      <c r="I2370" s="707">
        <f t="shared" si="72"/>
        <v>3.4499999999999997</v>
      </c>
      <c r="J2370" s="707">
        <f t="shared" si="73"/>
        <v>3.9000000000000004</v>
      </c>
      <c r="K2370" s="70"/>
    </row>
    <row r="2371" spans="1:11" ht="24" customHeight="1">
      <c r="A2371" s="33" t="s">
        <v>982</v>
      </c>
      <c r="B2371" s="33" t="s">
        <v>19</v>
      </c>
      <c r="C2371" s="33">
        <v>4</v>
      </c>
      <c r="D2371" s="33" t="s">
        <v>1141</v>
      </c>
      <c r="E2371" s="33">
        <v>2</v>
      </c>
      <c r="F2371" s="33"/>
      <c r="G2371" s="522"/>
      <c r="H2371" s="707"/>
      <c r="I2371" s="707">
        <f t="shared" ref="I2371:I2434" si="74">H2371 * 1.15</f>
        <v>0</v>
      </c>
      <c r="J2371" s="707">
        <f t="shared" ref="J2371:J2434" si="75">H2371 * 1.3</f>
        <v>0</v>
      </c>
      <c r="K2371" s="70"/>
    </row>
    <row r="2372" spans="1:11" ht="24" customHeight="1">
      <c r="A2372" s="74" t="s">
        <v>982</v>
      </c>
      <c r="B2372" s="74" t="s">
        <v>19</v>
      </c>
      <c r="C2372" s="74">
        <v>2</v>
      </c>
      <c r="D2372" s="33" t="s">
        <v>2363</v>
      </c>
      <c r="E2372" s="33">
        <v>5</v>
      </c>
      <c r="F2372" s="33"/>
      <c r="G2372" s="522"/>
      <c r="H2372" s="707">
        <v>3</v>
      </c>
      <c r="I2372" s="707">
        <f t="shared" si="74"/>
        <v>3.4499999999999997</v>
      </c>
      <c r="J2372" s="707">
        <f t="shared" si="75"/>
        <v>3.9000000000000004</v>
      </c>
      <c r="K2372" s="70"/>
    </row>
    <row r="2373" spans="1:11" ht="24" customHeight="1">
      <c r="A2373" s="3" t="s">
        <v>2820</v>
      </c>
      <c r="B2373" s="3" t="s">
        <v>19</v>
      </c>
      <c r="C2373" s="3">
        <v>20</v>
      </c>
      <c r="D2373" s="58" t="s">
        <v>2802</v>
      </c>
      <c r="E2373" s="33">
        <v>2</v>
      </c>
      <c r="F2373" s="33"/>
      <c r="G2373" s="522"/>
      <c r="H2373" s="707"/>
      <c r="I2373" s="707">
        <f t="shared" si="74"/>
        <v>0</v>
      </c>
      <c r="J2373" s="707">
        <f t="shared" si="75"/>
        <v>0</v>
      </c>
      <c r="K2373" s="70"/>
    </row>
    <row r="2374" spans="1:11" ht="24" customHeight="1">
      <c r="A2374" s="2" t="s">
        <v>728</v>
      </c>
      <c r="B2374" s="2" t="s">
        <v>19</v>
      </c>
      <c r="C2374" s="2">
        <v>5</v>
      </c>
      <c r="D2374" s="2" t="s">
        <v>593</v>
      </c>
      <c r="E2374" s="33">
        <v>3</v>
      </c>
      <c r="F2374" s="33"/>
      <c r="G2374" s="522"/>
      <c r="H2374" s="707">
        <v>10</v>
      </c>
      <c r="I2374" s="707">
        <f t="shared" si="74"/>
        <v>11.5</v>
      </c>
      <c r="J2374" s="707">
        <f t="shared" si="75"/>
        <v>13</v>
      </c>
      <c r="K2374" s="70"/>
    </row>
    <row r="2375" spans="1:11" ht="24" customHeight="1">
      <c r="A2375" s="17" t="s">
        <v>1756</v>
      </c>
      <c r="B2375" s="17" t="s">
        <v>19</v>
      </c>
      <c r="C2375" s="17">
        <v>194</v>
      </c>
      <c r="D2375" s="131" t="s">
        <v>1723</v>
      </c>
      <c r="E2375" s="15">
        <v>1</v>
      </c>
      <c r="F2375" s="15"/>
      <c r="G2375" s="684"/>
      <c r="H2375" s="708"/>
      <c r="I2375" s="707">
        <f t="shared" si="74"/>
        <v>0</v>
      </c>
      <c r="J2375" s="708">
        <f t="shared" si="75"/>
        <v>0</v>
      </c>
      <c r="K2375" s="70"/>
    </row>
    <row r="2376" spans="1:11" ht="24" customHeight="1">
      <c r="A2376" s="33" t="s">
        <v>2590</v>
      </c>
      <c r="B2376" s="33" t="s">
        <v>19</v>
      </c>
      <c r="C2376" s="33">
        <v>98</v>
      </c>
      <c r="D2376" s="33" t="s">
        <v>2540</v>
      </c>
      <c r="E2376" s="33">
        <v>2</v>
      </c>
      <c r="F2376" s="33"/>
      <c r="G2376" s="522"/>
      <c r="H2376" s="707"/>
      <c r="I2376" s="707">
        <f t="shared" si="74"/>
        <v>0</v>
      </c>
      <c r="J2376" s="707">
        <f t="shared" si="75"/>
        <v>0</v>
      </c>
      <c r="K2376" s="70"/>
    </row>
    <row r="2377" spans="1:11" ht="24" customHeight="1">
      <c r="A2377" s="33" t="s">
        <v>927</v>
      </c>
      <c r="B2377" s="33" t="s">
        <v>19</v>
      </c>
      <c r="C2377" s="33">
        <v>25</v>
      </c>
      <c r="D2377" s="33" t="s">
        <v>910</v>
      </c>
      <c r="E2377" s="33">
        <v>1</v>
      </c>
      <c r="F2377" s="33"/>
      <c r="G2377" s="522"/>
      <c r="H2377" s="711">
        <v>0.1</v>
      </c>
      <c r="I2377" s="711">
        <f t="shared" si="74"/>
        <v>0.11499999999999999</v>
      </c>
      <c r="J2377" s="711">
        <f t="shared" si="75"/>
        <v>0.13</v>
      </c>
      <c r="K2377" s="70"/>
    </row>
    <row r="2378" spans="1:11" ht="24" customHeight="1">
      <c r="A2378" s="2" t="s">
        <v>462</v>
      </c>
      <c r="B2378" s="2" t="s">
        <v>19</v>
      </c>
      <c r="C2378" s="2">
        <v>89</v>
      </c>
      <c r="D2378" s="2" t="s">
        <v>274</v>
      </c>
      <c r="E2378" s="33">
        <v>3</v>
      </c>
      <c r="F2378" s="33"/>
      <c r="G2378" s="522"/>
      <c r="H2378" s="707"/>
      <c r="I2378" s="707">
        <f t="shared" si="74"/>
        <v>0</v>
      </c>
      <c r="J2378" s="707">
        <f t="shared" si="75"/>
        <v>0</v>
      </c>
      <c r="K2378" s="70"/>
    </row>
    <row r="2379" spans="1:11" ht="24" customHeight="1">
      <c r="A2379" s="17" t="s">
        <v>1765</v>
      </c>
      <c r="B2379" s="17" t="s">
        <v>19</v>
      </c>
      <c r="C2379" s="17">
        <v>30</v>
      </c>
      <c r="D2379" s="131" t="s">
        <v>1723</v>
      </c>
      <c r="E2379" s="15">
        <v>2</v>
      </c>
      <c r="F2379" s="15"/>
      <c r="G2379" s="684"/>
      <c r="H2379" s="707"/>
      <c r="I2379" s="707">
        <f t="shared" si="74"/>
        <v>0</v>
      </c>
      <c r="J2379" s="707">
        <f t="shared" si="75"/>
        <v>0</v>
      </c>
      <c r="K2379" s="70"/>
    </row>
    <row r="2380" spans="1:11" ht="24" customHeight="1">
      <c r="A2380" s="33" t="s">
        <v>250</v>
      </c>
      <c r="B2380" s="33" t="s">
        <v>19</v>
      </c>
      <c r="C2380" s="33">
        <v>83</v>
      </c>
      <c r="D2380" s="2" t="s">
        <v>188</v>
      </c>
      <c r="E2380" s="33">
        <v>5</v>
      </c>
      <c r="F2380" s="33"/>
      <c r="G2380" s="522"/>
      <c r="H2380" s="707"/>
      <c r="I2380" s="707">
        <f t="shared" si="74"/>
        <v>0</v>
      </c>
      <c r="J2380" s="707">
        <f t="shared" si="75"/>
        <v>0</v>
      </c>
      <c r="K2380" s="70"/>
    </row>
    <row r="2381" spans="1:11" ht="24" customHeight="1">
      <c r="A2381" s="17" t="s">
        <v>1707</v>
      </c>
      <c r="B2381" s="17" t="s">
        <v>19</v>
      </c>
      <c r="C2381" s="17">
        <v>86</v>
      </c>
      <c r="D2381" s="131" t="s">
        <v>1681</v>
      </c>
      <c r="E2381" s="15">
        <v>1</v>
      </c>
      <c r="F2381" s="15"/>
      <c r="G2381" s="684"/>
      <c r="H2381" s="707"/>
      <c r="I2381" s="707">
        <f t="shared" si="74"/>
        <v>0</v>
      </c>
      <c r="J2381" s="707">
        <f t="shared" si="75"/>
        <v>0</v>
      </c>
      <c r="K2381" s="70"/>
    </row>
    <row r="2382" spans="1:11" ht="24" customHeight="1">
      <c r="A2382" s="74" t="s">
        <v>1487</v>
      </c>
      <c r="B2382" s="74" t="s">
        <v>19</v>
      </c>
      <c r="C2382" s="74">
        <v>606</v>
      </c>
      <c r="D2382" s="33" t="s">
        <v>1372</v>
      </c>
      <c r="E2382" s="33">
        <v>5</v>
      </c>
      <c r="F2382" s="33"/>
      <c r="G2382" s="522"/>
      <c r="H2382" s="707"/>
      <c r="I2382" s="707">
        <f t="shared" si="74"/>
        <v>0</v>
      </c>
      <c r="J2382" s="707">
        <f t="shared" si="75"/>
        <v>0</v>
      </c>
      <c r="K2382" s="70"/>
    </row>
    <row r="2383" spans="1:11" ht="24" customHeight="1">
      <c r="A2383" s="2" t="s">
        <v>837</v>
      </c>
      <c r="B2383" s="2" t="s">
        <v>19</v>
      </c>
      <c r="C2383" s="2">
        <v>17</v>
      </c>
      <c r="D2383" s="2" t="s">
        <v>593</v>
      </c>
      <c r="E2383" s="33">
        <v>3</v>
      </c>
      <c r="F2383" s="33"/>
      <c r="G2383" s="522"/>
      <c r="H2383" s="707">
        <v>2</v>
      </c>
      <c r="I2383" s="707">
        <f t="shared" si="74"/>
        <v>2.2999999999999998</v>
      </c>
      <c r="J2383" s="707">
        <f t="shared" si="75"/>
        <v>2.6</v>
      </c>
      <c r="K2383" s="70"/>
    </row>
    <row r="2384" spans="1:11" ht="24" customHeight="1">
      <c r="A2384" s="33" t="s">
        <v>860</v>
      </c>
      <c r="B2384" s="33" t="s">
        <v>19</v>
      </c>
      <c r="C2384" s="33">
        <v>10</v>
      </c>
      <c r="D2384" s="2" t="s">
        <v>593</v>
      </c>
      <c r="E2384" s="33">
        <v>3</v>
      </c>
      <c r="F2384" s="33"/>
      <c r="G2384" s="522"/>
      <c r="H2384" s="707">
        <v>5</v>
      </c>
      <c r="I2384" s="707">
        <f t="shared" si="74"/>
        <v>5.75</v>
      </c>
      <c r="J2384" s="707">
        <f t="shared" si="75"/>
        <v>6.5</v>
      </c>
      <c r="K2384" s="70"/>
    </row>
    <row r="2385" spans="1:11" ht="24" customHeight="1">
      <c r="A2385" s="2" t="s">
        <v>836</v>
      </c>
      <c r="B2385" s="2" t="s">
        <v>19</v>
      </c>
      <c r="C2385" s="2">
        <v>54</v>
      </c>
      <c r="D2385" s="2" t="s">
        <v>593</v>
      </c>
      <c r="E2385" s="33">
        <v>3</v>
      </c>
      <c r="F2385" s="33"/>
      <c r="G2385" s="522"/>
      <c r="H2385" s="707">
        <v>1</v>
      </c>
      <c r="I2385" s="707">
        <f t="shared" si="74"/>
        <v>1.1499999999999999</v>
      </c>
      <c r="J2385" s="707">
        <f t="shared" si="75"/>
        <v>1.3</v>
      </c>
      <c r="K2385" s="70"/>
    </row>
    <row r="2386" spans="1:11" ht="24" customHeight="1">
      <c r="A2386" s="2" t="s">
        <v>1808</v>
      </c>
      <c r="B2386" s="2" t="s">
        <v>19</v>
      </c>
      <c r="C2386" s="2">
        <v>122</v>
      </c>
      <c r="D2386" s="2" t="s">
        <v>1785</v>
      </c>
      <c r="E2386" s="33">
        <v>1</v>
      </c>
      <c r="F2386" s="33"/>
      <c r="G2386" s="522"/>
      <c r="H2386" s="707">
        <v>2</v>
      </c>
      <c r="I2386" s="707">
        <f t="shared" si="74"/>
        <v>2.2999999999999998</v>
      </c>
      <c r="J2386" s="707">
        <f t="shared" si="75"/>
        <v>2.6</v>
      </c>
      <c r="K2386" s="70"/>
    </row>
    <row r="2387" spans="1:11" ht="24" customHeight="1">
      <c r="A2387" s="2" t="s">
        <v>1809</v>
      </c>
      <c r="B2387" s="2" t="s">
        <v>19</v>
      </c>
      <c r="C2387" s="2">
        <v>96</v>
      </c>
      <c r="D2387" s="2" t="s">
        <v>1785</v>
      </c>
      <c r="E2387" s="33">
        <v>1</v>
      </c>
      <c r="F2387" s="33"/>
      <c r="G2387" s="522"/>
      <c r="H2387" s="707">
        <v>2</v>
      </c>
      <c r="I2387" s="707">
        <f t="shared" si="74"/>
        <v>2.2999999999999998</v>
      </c>
      <c r="J2387" s="707">
        <f t="shared" si="75"/>
        <v>2.6</v>
      </c>
      <c r="K2387" s="70"/>
    </row>
    <row r="2388" spans="1:11" ht="24" customHeight="1">
      <c r="A2388" s="3" t="s">
        <v>768</v>
      </c>
      <c r="B2388" s="3" t="s">
        <v>19</v>
      </c>
      <c r="C2388" s="3">
        <v>12</v>
      </c>
      <c r="D2388" s="58" t="s">
        <v>2802</v>
      </c>
      <c r="E2388" s="33">
        <v>2</v>
      </c>
      <c r="F2388" s="33"/>
      <c r="G2388" s="522"/>
      <c r="H2388" s="707"/>
      <c r="I2388" s="707">
        <f t="shared" si="74"/>
        <v>0</v>
      </c>
      <c r="J2388" s="707">
        <f t="shared" si="75"/>
        <v>0</v>
      </c>
      <c r="K2388" s="70"/>
    </row>
    <row r="2389" spans="1:11" ht="24" customHeight="1">
      <c r="A2389" s="33" t="s">
        <v>706</v>
      </c>
      <c r="B2389" s="33" t="s">
        <v>19</v>
      </c>
      <c r="C2389" s="33">
        <v>4</v>
      </c>
      <c r="D2389" s="2" t="s">
        <v>593</v>
      </c>
      <c r="E2389" s="33">
        <v>2</v>
      </c>
      <c r="F2389" s="33"/>
      <c r="G2389" s="522"/>
      <c r="H2389" s="707"/>
      <c r="I2389" s="707">
        <f t="shared" si="74"/>
        <v>0</v>
      </c>
      <c r="J2389" s="707">
        <f t="shared" si="75"/>
        <v>0</v>
      </c>
      <c r="K2389" s="70"/>
    </row>
    <row r="2390" spans="1:11" ht="24" customHeight="1">
      <c r="A2390" s="2" t="s">
        <v>839</v>
      </c>
      <c r="B2390" s="2" t="s">
        <v>19</v>
      </c>
      <c r="C2390" s="2">
        <v>15</v>
      </c>
      <c r="D2390" s="2" t="s">
        <v>593</v>
      </c>
      <c r="E2390" s="33">
        <v>3</v>
      </c>
      <c r="F2390" s="33"/>
      <c r="G2390" s="522"/>
      <c r="H2390" s="707"/>
      <c r="I2390" s="707">
        <f t="shared" si="74"/>
        <v>0</v>
      </c>
      <c r="J2390" s="707">
        <f t="shared" si="75"/>
        <v>0</v>
      </c>
      <c r="K2390" s="70"/>
    </row>
    <row r="2391" spans="1:11" ht="24" customHeight="1">
      <c r="A2391" s="2" t="s">
        <v>729</v>
      </c>
      <c r="B2391" s="2" t="s">
        <v>19</v>
      </c>
      <c r="C2391" s="2">
        <v>31</v>
      </c>
      <c r="D2391" s="2" t="s">
        <v>593</v>
      </c>
      <c r="E2391" s="33">
        <v>3</v>
      </c>
      <c r="F2391" s="33"/>
      <c r="G2391" s="522"/>
      <c r="H2391" s="707"/>
      <c r="I2391" s="707">
        <f t="shared" si="74"/>
        <v>0</v>
      </c>
      <c r="J2391" s="707">
        <f t="shared" si="75"/>
        <v>0</v>
      </c>
      <c r="K2391" s="70"/>
    </row>
    <row r="2392" spans="1:11" ht="24" customHeight="1">
      <c r="A2392" s="74" t="s">
        <v>729</v>
      </c>
      <c r="B2392" s="74" t="s">
        <v>19</v>
      </c>
      <c r="C2392" s="74">
        <v>3</v>
      </c>
      <c r="D2392" s="33" t="s">
        <v>2363</v>
      </c>
      <c r="E2392" s="33">
        <v>5</v>
      </c>
      <c r="F2392" s="33"/>
      <c r="G2392" s="522"/>
      <c r="H2392" s="707">
        <v>1.5</v>
      </c>
      <c r="I2392" s="707">
        <f t="shared" si="74"/>
        <v>1.7249999999999999</v>
      </c>
      <c r="J2392" s="707">
        <f t="shared" si="75"/>
        <v>1.9500000000000002</v>
      </c>
      <c r="K2392" s="70"/>
    </row>
    <row r="2393" spans="1:11" ht="24" customHeight="1">
      <c r="A2393" s="17" t="s">
        <v>1713</v>
      </c>
      <c r="B2393" s="17" t="s">
        <v>19</v>
      </c>
      <c r="C2393" s="17">
        <v>31</v>
      </c>
      <c r="D2393" s="131" t="s">
        <v>1681</v>
      </c>
      <c r="E2393" s="15">
        <v>1</v>
      </c>
      <c r="F2393" s="15"/>
      <c r="G2393" s="684"/>
      <c r="H2393" s="707"/>
      <c r="I2393" s="707">
        <f t="shared" si="74"/>
        <v>0</v>
      </c>
      <c r="J2393" s="707">
        <f t="shared" si="75"/>
        <v>0</v>
      </c>
      <c r="K2393" s="70"/>
    </row>
    <row r="2394" spans="1:11" ht="24" customHeight="1">
      <c r="A2394" s="17" t="s">
        <v>1706</v>
      </c>
      <c r="B2394" s="17" t="s">
        <v>19</v>
      </c>
      <c r="C2394" s="17">
        <v>41</v>
      </c>
      <c r="D2394" s="131" t="s">
        <v>1681</v>
      </c>
      <c r="E2394" s="15">
        <v>1</v>
      </c>
      <c r="F2394" s="15"/>
      <c r="G2394" s="684"/>
      <c r="H2394" s="707"/>
      <c r="I2394" s="707">
        <f t="shared" si="74"/>
        <v>0</v>
      </c>
      <c r="J2394" s="707">
        <f t="shared" si="75"/>
        <v>0</v>
      </c>
      <c r="K2394" s="70"/>
    </row>
    <row r="2395" spans="1:11" ht="24" customHeight="1">
      <c r="A2395" s="74" t="s">
        <v>2137</v>
      </c>
      <c r="B2395" s="74" t="s">
        <v>19</v>
      </c>
      <c r="C2395" s="74">
        <v>1</v>
      </c>
      <c r="D2395" s="33" t="s">
        <v>2111</v>
      </c>
      <c r="E2395" s="33">
        <v>2</v>
      </c>
      <c r="F2395" s="33"/>
      <c r="G2395" s="522"/>
      <c r="H2395" s="707"/>
      <c r="I2395" s="707">
        <f t="shared" si="74"/>
        <v>0</v>
      </c>
      <c r="J2395" s="707">
        <f t="shared" si="75"/>
        <v>0</v>
      </c>
      <c r="K2395" s="70"/>
    </row>
    <row r="2396" spans="1:11" ht="24" customHeight="1">
      <c r="A2396" s="74" t="s">
        <v>2138</v>
      </c>
      <c r="B2396" s="74" t="s">
        <v>19</v>
      </c>
      <c r="C2396" s="74">
        <v>1</v>
      </c>
      <c r="D2396" s="33" t="s">
        <v>2111</v>
      </c>
      <c r="E2396" s="33">
        <v>2</v>
      </c>
      <c r="F2396" s="33"/>
      <c r="G2396" s="522"/>
      <c r="H2396" s="707"/>
      <c r="I2396" s="707">
        <f t="shared" si="74"/>
        <v>0</v>
      </c>
      <c r="J2396" s="707">
        <f t="shared" si="75"/>
        <v>0</v>
      </c>
      <c r="K2396" s="70"/>
    </row>
    <row r="2397" spans="1:11" ht="24" customHeight="1">
      <c r="A2397" s="33" t="s">
        <v>1159</v>
      </c>
      <c r="B2397" s="33" t="s">
        <v>19</v>
      </c>
      <c r="C2397" s="33">
        <v>1036</v>
      </c>
      <c r="D2397" s="33" t="s">
        <v>1141</v>
      </c>
      <c r="E2397" s="33">
        <v>1</v>
      </c>
      <c r="F2397" s="33"/>
      <c r="G2397" s="522"/>
      <c r="H2397" s="707">
        <v>0.5</v>
      </c>
      <c r="I2397" s="707">
        <f t="shared" si="74"/>
        <v>0.57499999999999996</v>
      </c>
      <c r="J2397" s="707">
        <f t="shared" si="75"/>
        <v>0.65</v>
      </c>
      <c r="K2397" s="70"/>
    </row>
    <row r="2398" spans="1:11" ht="24" customHeight="1">
      <c r="A2398" s="2" t="s">
        <v>725</v>
      </c>
      <c r="B2398" s="2" t="s">
        <v>19</v>
      </c>
      <c r="C2398" s="2">
        <v>19</v>
      </c>
      <c r="D2398" s="2" t="s">
        <v>593</v>
      </c>
      <c r="E2398" s="33">
        <v>3</v>
      </c>
      <c r="F2398" s="33"/>
      <c r="G2398" s="522"/>
      <c r="H2398" s="707"/>
      <c r="I2398" s="707">
        <f t="shared" si="74"/>
        <v>0</v>
      </c>
      <c r="J2398" s="707">
        <f t="shared" si="75"/>
        <v>0</v>
      </c>
      <c r="K2398" s="70"/>
    </row>
    <row r="2399" spans="1:11" ht="24" customHeight="1">
      <c r="A2399" s="2" t="s">
        <v>18</v>
      </c>
      <c r="B2399" s="2" t="s">
        <v>19</v>
      </c>
      <c r="C2399" s="2">
        <v>260</v>
      </c>
      <c r="D2399" s="2" t="s">
        <v>11</v>
      </c>
      <c r="E2399" s="33">
        <v>1</v>
      </c>
      <c r="F2399" s="33"/>
      <c r="G2399" s="522"/>
      <c r="H2399" s="707"/>
      <c r="I2399" s="707">
        <f t="shared" si="74"/>
        <v>0</v>
      </c>
      <c r="J2399" s="707">
        <f t="shared" si="75"/>
        <v>0</v>
      </c>
      <c r="K2399" s="70"/>
    </row>
    <row r="2400" spans="1:11" ht="24" customHeight="1">
      <c r="A2400" s="74" t="s">
        <v>2140</v>
      </c>
      <c r="B2400" s="74" t="s">
        <v>19</v>
      </c>
      <c r="C2400" s="74">
        <v>71</v>
      </c>
      <c r="D2400" s="33" t="s">
        <v>2111</v>
      </c>
      <c r="E2400" s="33">
        <v>2</v>
      </c>
      <c r="F2400" s="33"/>
      <c r="G2400" s="522"/>
      <c r="H2400" s="707"/>
      <c r="I2400" s="707">
        <f t="shared" si="74"/>
        <v>0</v>
      </c>
      <c r="J2400" s="707">
        <f t="shared" si="75"/>
        <v>0</v>
      </c>
      <c r="K2400" s="70"/>
    </row>
    <row r="2401" spans="1:11" ht="24" customHeight="1">
      <c r="A2401" s="2" t="s">
        <v>296</v>
      </c>
      <c r="B2401" s="2" t="s">
        <v>19</v>
      </c>
      <c r="C2401" s="2">
        <v>46</v>
      </c>
      <c r="D2401" s="2" t="s">
        <v>274</v>
      </c>
      <c r="E2401" s="33">
        <v>1</v>
      </c>
      <c r="F2401" s="33"/>
      <c r="G2401" s="522"/>
      <c r="H2401" s="707"/>
      <c r="I2401" s="707">
        <f t="shared" si="74"/>
        <v>0</v>
      </c>
      <c r="J2401" s="707">
        <f t="shared" si="75"/>
        <v>0</v>
      </c>
      <c r="K2401" s="70"/>
    </row>
    <row r="2402" spans="1:11" ht="24" customHeight="1">
      <c r="A2402" s="74" t="s">
        <v>2450</v>
      </c>
      <c r="B2402" s="74" t="s">
        <v>19</v>
      </c>
      <c r="C2402" s="74">
        <v>127</v>
      </c>
      <c r="D2402" s="33" t="s">
        <v>2363</v>
      </c>
      <c r="E2402" s="33">
        <v>5</v>
      </c>
      <c r="F2402" s="33"/>
      <c r="G2402" s="522"/>
      <c r="H2402" s="707"/>
      <c r="I2402" s="707">
        <f t="shared" si="74"/>
        <v>0</v>
      </c>
      <c r="J2402" s="707">
        <f t="shared" si="75"/>
        <v>0</v>
      </c>
      <c r="K2402" s="70"/>
    </row>
    <row r="2403" spans="1:11" ht="24" customHeight="1">
      <c r="A2403" s="74" t="s">
        <v>2530</v>
      </c>
      <c r="B2403" s="74" t="s">
        <v>19</v>
      </c>
      <c r="C2403" s="74">
        <v>52</v>
      </c>
      <c r="D2403" s="33" t="s">
        <v>2504</v>
      </c>
      <c r="E2403" s="33">
        <v>5</v>
      </c>
      <c r="F2403" s="33"/>
      <c r="G2403" s="522"/>
      <c r="H2403" s="707">
        <v>0.5</v>
      </c>
      <c r="I2403" s="707">
        <f t="shared" si="74"/>
        <v>0.57499999999999996</v>
      </c>
      <c r="J2403" s="707">
        <f t="shared" si="75"/>
        <v>0.65</v>
      </c>
      <c r="K2403" s="70"/>
    </row>
    <row r="2404" spans="1:11" ht="24" customHeight="1">
      <c r="A2404" s="2" t="s">
        <v>761</v>
      </c>
      <c r="B2404" s="2" t="s">
        <v>19</v>
      </c>
      <c r="C2404" s="2">
        <v>51</v>
      </c>
      <c r="D2404" s="2" t="s">
        <v>593</v>
      </c>
      <c r="E2404" s="33">
        <v>3</v>
      </c>
      <c r="F2404" s="33"/>
      <c r="G2404" s="522"/>
      <c r="H2404" s="707"/>
      <c r="I2404" s="707">
        <f t="shared" si="74"/>
        <v>0</v>
      </c>
      <c r="J2404" s="707">
        <f t="shared" si="75"/>
        <v>0</v>
      </c>
      <c r="K2404" s="70"/>
    </row>
    <row r="2405" spans="1:11" ht="24" customHeight="1">
      <c r="A2405" s="33" t="s">
        <v>2336</v>
      </c>
      <c r="B2405" s="33" t="s">
        <v>2171</v>
      </c>
      <c r="C2405" s="33">
        <v>1</v>
      </c>
      <c r="D2405" s="33" t="s">
        <v>2276</v>
      </c>
      <c r="E2405" s="33">
        <v>1</v>
      </c>
      <c r="F2405" s="33"/>
      <c r="G2405" s="522"/>
      <c r="H2405" s="707"/>
      <c r="I2405" s="707">
        <f t="shared" si="74"/>
        <v>0</v>
      </c>
      <c r="J2405" s="707">
        <f t="shared" si="75"/>
        <v>0</v>
      </c>
      <c r="K2405" s="70"/>
    </row>
    <row r="2406" spans="1:11" ht="24" customHeight="1">
      <c r="A2406" s="33" t="s">
        <v>3389</v>
      </c>
      <c r="B2406" s="33" t="s">
        <v>27</v>
      </c>
      <c r="C2406" s="33">
        <v>9</v>
      </c>
      <c r="D2406" s="33" t="s">
        <v>3348</v>
      </c>
      <c r="E2406" s="33">
        <v>4</v>
      </c>
      <c r="F2406" s="33"/>
      <c r="G2406" s="522"/>
      <c r="H2406" s="707"/>
      <c r="I2406" s="707">
        <f t="shared" si="74"/>
        <v>0</v>
      </c>
      <c r="J2406" s="707">
        <f t="shared" si="75"/>
        <v>0</v>
      </c>
      <c r="K2406" s="70"/>
    </row>
    <row r="2407" spans="1:11" ht="24" customHeight="1">
      <c r="A2407" s="59" t="s">
        <v>2975</v>
      </c>
      <c r="B2407" s="59" t="s">
        <v>110</v>
      </c>
      <c r="C2407" s="59" t="s">
        <v>2976</v>
      </c>
      <c r="D2407" s="71" t="s">
        <v>2947</v>
      </c>
      <c r="E2407" s="354">
        <v>4</v>
      </c>
      <c r="F2407" s="354"/>
      <c r="G2407" s="688"/>
      <c r="H2407" s="707">
        <v>20</v>
      </c>
      <c r="I2407" s="707">
        <f t="shared" si="74"/>
        <v>23</v>
      </c>
      <c r="J2407" s="707">
        <f t="shared" si="75"/>
        <v>26</v>
      </c>
      <c r="K2407" s="70"/>
    </row>
    <row r="2408" spans="1:11" ht="24" customHeight="1">
      <c r="A2408" s="33" t="s">
        <v>3266</v>
      </c>
      <c r="B2408" s="66" t="s">
        <v>110</v>
      </c>
      <c r="C2408" s="66">
        <v>2</v>
      </c>
      <c r="D2408" s="66" t="s">
        <v>3279</v>
      </c>
      <c r="E2408" s="66">
        <v>3</v>
      </c>
      <c r="F2408" s="66"/>
      <c r="G2408" s="689"/>
      <c r="H2408" s="707"/>
      <c r="I2408" s="707">
        <f t="shared" si="74"/>
        <v>0</v>
      </c>
      <c r="J2408" s="707">
        <f t="shared" si="75"/>
        <v>0</v>
      </c>
      <c r="K2408" s="70"/>
    </row>
    <row r="2409" spans="1:11" ht="24" customHeight="1">
      <c r="A2409" s="33" t="s">
        <v>2278</v>
      </c>
      <c r="B2409" s="33" t="s">
        <v>110</v>
      </c>
      <c r="C2409" s="33">
        <v>5</v>
      </c>
      <c r="D2409" s="33" t="s">
        <v>2276</v>
      </c>
      <c r="E2409" s="33">
        <v>1</v>
      </c>
      <c r="F2409" s="33"/>
      <c r="G2409" s="522"/>
      <c r="H2409" s="707">
        <v>1</v>
      </c>
      <c r="I2409" s="707">
        <f t="shared" si="74"/>
        <v>1.1499999999999999</v>
      </c>
      <c r="J2409" s="707">
        <f t="shared" si="75"/>
        <v>1.3</v>
      </c>
      <c r="K2409" s="70"/>
    </row>
    <row r="2410" spans="1:11" ht="24" customHeight="1">
      <c r="A2410" s="33" t="s">
        <v>2316</v>
      </c>
      <c r="B2410" s="33" t="s">
        <v>110</v>
      </c>
      <c r="C2410" s="33">
        <v>6</v>
      </c>
      <c r="D2410" s="33" t="s">
        <v>2276</v>
      </c>
      <c r="E2410" s="33">
        <v>1</v>
      </c>
      <c r="F2410" s="33"/>
      <c r="G2410" s="522"/>
      <c r="H2410" s="707">
        <v>20</v>
      </c>
      <c r="I2410" s="707">
        <f t="shared" si="74"/>
        <v>23</v>
      </c>
      <c r="J2410" s="707">
        <f t="shared" si="75"/>
        <v>26</v>
      </c>
      <c r="K2410" s="70"/>
    </row>
    <row r="2411" spans="1:11" ht="24" customHeight="1">
      <c r="A2411" s="33" t="s">
        <v>2286</v>
      </c>
      <c r="B2411" s="33" t="s">
        <v>110</v>
      </c>
      <c r="C2411" s="33">
        <v>2</v>
      </c>
      <c r="D2411" s="33" t="s">
        <v>2276</v>
      </c>
      <c r="E2411" s="33">
        <v>1</v>
      </c>
      <c r="F2411" s="33"/>
      <c r="G2411" s="522"/>
      <c r="H2411" s="707"/>
      <c r="I2411" s="707">
        <f t="shared" si="74"/>
        <v>0</v>
      </c>
      <c r="J2411" s="707">
        <f t="shared" si="75"/>
        <v>0</v>
      </c>
      <c r="K2411" s="70"/>
    </row>
    <row r="2412" spans="1:11" ht="24" customHeight="1">
      <c r="A2412" s="2" t="s">
        <v>3677</v>
      </c>
      <c r="B2412" s="2" t="s">
        <v>3678</v>
      </c>
      <c r="C2412" s="2">
        <v>1</v>
      </c>
      <c r="D2412" s="2" t="s">
        <v>3671</v>
      </c>
      <c r="E2412" s="33">
        <v>2</v>
      </c>
      <c r="F2412" s="33"/>
      <c r="G2412" s="522"/>
      <c r="H2412" s="707"/>
      <c r="I2412" s="707">
        <f t="shared" si="74"/>
        <v>0</v>
      </c>
      <c r="J2412" s="707">
        <f t="shared" si="75"/>
        <v>0</v>
      </c>
      <c r="K2412" s="70"/>
    </row>
    <row r="2413" spans="1:11" ht="24" customHeight="1">
      <c r="A2413" s="33" t="s">
        <v>1147</v>
      </c>
      <c r="B2413" s="33" t="s">
        <v>707</v>
      </c>
      <c r="C2413" s="33">
        <v>3</v>
      </c>
      <c r="D2413" s="33" t="s">
        <v>1141</v>
      </c>
      <c r="E2413" s="33">
        <v>1</v>
      </c>
      <c r="F2413" s="33"/>
      <c r="G2413" s="522"/>
      <c r="H2413" s="707"/>
      <c r="I2413" s="707">
        <f t="shared" si="74"/>
        <v>0</v>
      </c>
      <c r="J2413" s="707">
        <f t="shared" si="75"/>
        <v>0</v>
      </c>
      <c r="K2413" s="70"/>
    </row>
    <row r="2414" spans="1:11" ht="24" customHeight="1">
      <c r="A2414" s="33" t="s">
        <v>2344</v>
      </c>
      <c r="B2414" s="33" t="s">
        <v>2187</v>
      </c>
      <c r="C2414" s="33">
        <v>1</v>
      </c>
      <c r="D2414" s="33" t="s">
        <v>2276</v>
      </c>
      <c r="E2414" s="33">
        <v>1</v>
      </c>
      <c r="F2414" s="33"/>
      <c r="G2414" s="522"/>
      <c r="H2414" s="707"/>
      <c r="I2414" s="707">
        <f t="shared" si="74"/>
        <v>0</v>
      </c>
      <c r="J2414" s="707">
        <f t="shared" si="75"/>
        <v>0</v>
      </c>
      <c r="K2414" s="70"/>
    </row>
    <row r="2415" spans="1:11" ht="24" customHeight="1">
      <c r="A2415" s="3" t="s">
        <v>3024</v>
      </c>
      <c r="B2415" s="3" t="s">
        <v>10</v>
      </c>
      <c r="C2415" s="3">
        <v>1</v>
      </c>
      <c r="D2415" s="71" t="s">
        <v>2947</v>
      </c>
      <c r="E2415" s="354">
        <v>5</v>
      </c>
      <c r="F2415" s="354"/>
      <c r="G2415" s="688"/>
      <c r="H2415" s="707">
        <v>70</v>
      </c>
      <c r="I2415" s="707">
        <f t="shared" si="74"/>
        <v>80.5</v>
      </c>
      <c r="J2415" s="707">
        <f t="shared" si="75"/>
        <v>91</v>
      </c>
      <c r="K2415" s="70"/>
    </row>
    <row r="2416" spans="1:11" ht="24" customHeight="1">
      <c r="A2416" s="33" t="s">
        <v>1955</v>
      </c>
      <c r="B2416" s="33" t="s">
        <v>1164</v>
      </c>
      <c r="C2416" s="33">
        <v>1</v>
      </c>
      <c r="D2416" s="33" t="s">
        <v>1938</v>
      </c>
      <c r="E2416" s="33">
        <v>1</v>
      </c>
      <c r="F2416" s="33"/>
      <c r="G2416" s="522"/>
      <c r="H2416" s="707"/>
      <c r="I2416" s="707">
        <f t="shared" si="74"/>
        <v>0</v>
      </c>
      <c r="J2416" s="707">
        <f t="shared" si="75"/>
        <v>0</v>
      </c>
      <c r="K2416" s="70"/>
    </row>
    <row r="2417" spans="1:11" ht="24" customHeight="1">
      <c r="A2417" s="59" t="s">
        <v>3003</v>
      </c>
      <c r="B2417" s="59" t="s">
        <v>3004</v>
      </c>
      <c r="C2417" s="59">
        <v>1</v>
      </c>
      <c r="D2417" s="71" t="s">
        <v>2947</v>
      </c>
      <c r="E2417" s="354">
        <v>5</v>
      </c>
      <c r="F2417" s="354"/>
      <c r="G2417" s="688"/>
      <c r="H2417" s="707"/>
      <c r="I2417" s="707">
        <f t="shared" si="74"/>
        <v>0</v>
      </c>
      <c r="J2417" s="707">
        <f t="shared" si="75"/>
        <v>0</v>
      </c>
      <c r="K2417" s="70"/>
    </row>
    <row r="2418" spans="1:11" ht="24" customHeight="1">
      <c r="A2418" s="11" t="s">
        <v>3166</v>
      </c>
      <c r="B2418" s="34" t="s">
        <v>3167</v>
      </c>
      <c r="C2418" s="11">
        <v>2</v>
      </c>
      <c r="D2418" s="33" t="s">
        <v>3053</v>
      </c>
      <c r="E2418" s="33">
        <v>3</v>
      </c>
      <c r="F2418" s="33"/>
      <c r="G2418" s="522"/>
      <c r="H2418" s="707"/>
      <c r="I2418" s="707">
        <f t="shared" si="74"/>
        <v>0</v>
      </c>
      <c r="J2418" s="707">
        <f t="shared" si="75"/>
        <v>0</v>
      </c>
      <c r="K2418" s="70"/>
    </row>
    <row r="2419" spans="1:11" ht="24" customHeight="1">
      <c r="A2419" s="11" t="s">
        <v>3163</v>
      </c>
      <c r="B2419" s="34" t="s">
        <v>207</v>
      </c>
      <c r="C2419" s="11">
        <v>6</v>
      </c>
      <c r="D2419" s="33" t="s">
        <v>3053</v>
      </c>
      <c r="E2419" s="33">
        <v>3</v>
      </c>
      <c r="F2419" s="33"/>
      <c r="G2419" s="522"/>
      <c r="H2419" s="707"/>
      <c r="I2419" s="707">
        <f t="shared" si="74"/>
        <v>0</v>
      </c>
      <c r="J2419" s="707">
        <f t="shared" si="75"/>
        <v>0</v>
      </c>
      <c r="K2419" s="70"/>
    </row>
    <row r="2420" spans="1:11" ht="24" customHeight="1">
      <c r="A2420" s="2" t="s">
        <v>373</v>
      </c>
      <c r="B2420" s="2" t="s">
        <v>41</v>
      </c>
      <c r="C2420" s="2">
        <v>29</v>
      </c>
      <c r="D2420" s="2" t="s">
        <v>274</v>
      </c>
      <c r="E2420" s="33">
        <v>2</v>
      </c>
      <c r="F2420" s="33"/>
      <c r="G2420" s="522"/>
      <c r="H2420" s="707"/>
      <c r="I2420" s="707">
        <f t="shared" si="74"/>
        <v>0</v>
      </c>
      <c r="J2420" s="707">
        <f t="shared" si="75"/>
        <v>0</v>
      </c>
      <c r="K2420" s="70"/>
    </row>
    <row r="2421" spans="1:11" ht="24" customHeight="1">
      <c r="A2421" s="2" t="s">
        <v>374</v>
      </c>
      <c r="B2421" s="2" t="s">
        <v>41</v>
      </c>
      <c r="C2421" s="2">
        <v>14</v>
      </c>
      <c r="D2421" s="2" t="s">
        <v>274</v>
      </c>
      <c r="E2421" s="33">
        <v>2</v>
      </c>
      <c r="F2421" s="33"/>
      <c r="G2421" s="522"/>
      <c r="H2421" s="707"/>
      <c r="I2421" s="707">
        <f t="shared" si="74"/>
        <v>0</v>
      </c>
      <c r="J2421" s="707">
        <f t="shared" si="75"/>
        <v>0</v>
      </c>
      <c r="K2421" s="70"/>
    </row>
    <row r="2422" spans="1:11" ht="24" customHeight="1">
      <c r="A2422" s="2" t="s">
        <v>794</v>
      </c>
      <c r="B2422" s="2" t="s">
        <v>25</v>
      </c>
      <c r="C2422" s="2">
        <v>20</v>
      </c>
      <c r="D2422" s="2" t="s">
        <v>593</v>
      </c>
      <c r="E2422" s="33">
        <v>3</v>
      </c>
      <c r="F2422" s="33"/>
      <c r="G2422" s="522"/>
      <c r="H2422" s="707"/>
      <c r="I2422" s="707">
        <f t="shared" si="74"/>
        <v>0</v>
      </c>
      <c r="J2422" s="707">
        <f t="shared" si="75"/>
        <v>0</v>
      </c>
      <c r="K2422" s="70"/>
    </row>
    <row r="2423" spans="1:11" ht="24" customHeight="1">
      <c r="A2423" s="74" t="s">
        <v>2161</v>
      </c>
      <c r="B2423" s="74" t="s">
        <v>2162</v>
      </c>
      <c r="C2423" s="74">
        <v>1</v>
      </c>
      <c r="D2423" s="33" t="s">
        <v>2111</v>
      </c>
      <c r="E2423" s="33">
        <v>2</v>
      </c>
      <c r="F2423" s="33"/>
      <c r="G2423" s="522"/>
      <c r="H2423" s="707"/>
      <c r="I2423" s="707">
        <f t="shared" si="74"/>
        <v>0</v>
      </c>
      <c r="J2423" s="707">
        <f t="shared" si="75"/>
        <v>0</v>
      </c>
      <c r="K2423" s="70"/>
    </row>
    <row r="2424" spans="1:11" ht="24" customHeight="1">
      <c r="A2424" s="3" t="s">
        <v>3014</v>
      </c>
      <c r="B2424" s="3" t="s">
        <v>1319</v>
      </c>
      <c r="C2424" s="3">
        <v>25</v>
      </c>
      <c r="D2424" s="71" t="s">
        <v>2947</v>
      </c>
      <c r="E2424" s="354">
        <v>5</v>
      </c>
      <c r="F2424" s="354"/>
      <c r="G2424" s="688"/>
      <c r="H2424" s="707"/>
      <c r="I2424" s="707">
        <f t="shared" si="74"/>
        <v>0</v>
      </c>
      <c r="J2424" s="707">
        <f t="shared" si="75"/>
        <v>0</v>
      </c>
      <c r="K2424" s="70"/>
    </row>
    <row r="2425" spans="1:11" ht="24" customHeight="1">
      <c r="A2425" s="33" t="s">
        <v>3367</v>
      </c>
      <c r="B2425" s="33" t="s">
        <v>371</v>
      </c>
      <c r="C2425" s="33">
        <v>230</v>
      </c>
      <c r="D2425" s="33" t="s">
        <v>3348</v>
      </c>
      <c r="E2425" s="33">
        <v>3</v>
      </c>
      <c r="F2425" s="33"/>
      <c r="G2425" s="522"/>
      <c r="H2425" s="707"/>
      <c r="I2425" s="707">
        <f t="shared" si="74"/>
        <v>0</v>
      </c>
      <c r="J2425" s="707">
        <f t="shared" si="75"/>
        <v>0</v>
      </c>
      <c r="K2425" s="70"/>
    </row>
    <row r="2426" spans="1:11" ht="24" customHeight="1">
      <c r="A2426" s="2" t="s">
        <v>289</v>
      </c>
      <c r="B2426" s="2" t="s">
        <v>290</v>
      </c>
      <c r="C2426" s="2">
        <v>8</v>
      </c>
      <c r="D2426" s="2" t="s">
        <v>274</v>
      </c>
      <c r="E2426" s="33">
        <v>1</v>
      </c>
      <c r="F2426" s="33"/>
      <c r="G2426" s="522"/>
      <c r="H2426" s="707"/>
      <c r="I2426" s="707">
        <f t="shared" si="74"/>
        <v>0</v>
      </c>
      <c r="J2426" s="707">
        <f t="shared" si="75"/>
        <v>0</v>
      </c>
      <c r="K2426" s="70"/>
    </row>
    <row r="2427" spans="1:11" ht="24" customHeight="1">
      <c r="A2427" s="2" t="s">
        <v>569</v>
      </c>
      <c r="B2427" s="2" t="s">
        <v>96</v>
      </c>
      <c r="C2427" s="2">
        <v>2</v>
      </c>
      <c r="D2427" s="2" t="s">
        <v>536</v>
      </c>
      <c r="E2427" s="33">
        <v>5</v>
      </c>
      <c r="F2427" s="33"/>
      <c r="G2427" s="522"/>
      <c r="H2427" s="707"/>
      <c r="I2427" s="707">
        <f t="shared" si="74"/>
        <v>0</v>
      </c>
      <c r="J2427" s="707">
        <f t="shared" si="75"/>
        <v>0</v>
      </c>
      <c r="K2427" s="70"/>
    </row>
    <row r="2428" spans="1:11" ht="24" customHeight="1">
      <c r="A2428" s="33" t="s">
        <v>1263</v>
      </c>
      <c r="B2428" s="33" t="s">
        <v>915</v>
      </c>
      <c r="C2428" s="33">
        <v>4</v>
      </c>
      <c r="D2428" s="33" t="s">
        <v>1201</v>
      </c>
      <c r="E2428" s="33">
        <v>4</v>
      </c>
      <c r="F2428" s="33"/>
      <c r="G2428" s="522"/>
      <c r="H2428" s="707"/>
      <c r="I2428" s="707">
        <f t="shared" si="74"/>
        <v>0</v>
      </c>
      <c r="J2428" s="707">
        <f t="shared" si="75"/>
        <v>0</v>
      </c>
      <c r="K2428" s="70"/>
    </row>
    <row r="2429" spans="1:11" ht="24" customHeight="1">
      <c r="A2429" s="74" t="s">
        <v>2235</v>
      </c>
      <c r="B2429" s="74" t="s">
        <v>25</v>
      </c>
      <c r="C2429" s="74">
        <v>160</v>
      </c>
      <c r="D2429" s="33" t="s">
        <v>2191</v>
      </c>
      <c r="E2429" s="33">
        <v>5</v>
      </c>
      <c r="F2429" s="33"/>
      <c r="G2429" s="522"/>
      <c r="H2429" s="707"/>
      <c r="I2429" s="707">
        <f t="shared" si="74"/>
        <v>0</v>
      </c>
      <c r="J2429" s="707">
        <f t="shared" si="75"/>
        <v>0</v>
      </c>
      <c r="K2429" s="70"/>
    </row>
    <row r="2430" spans="1:11" ht="24" customHeight="1">
      <c r="A2430" s="74" t="s">
        <v>2261</v>
      </c>
      <c r="B2430" s="74" t="s">
        <v>25</v>
      </c>
      <c r="C2430" s="74">
        <v>100</v>
      </c>
      <c r="D2430" s="33" t="s">
        <v>2191</v>
      </c>
      <c r="E2430" s="33">
        <v>5</v>
      </c>
      <c r="F2430" s="33"/>
      <c r="G2430" s="522"/>
      <c r="H2430" s="707"/>
      <c r="I2430" s="707">
        <f t="shared" si="74"/>
        <v>0</v>
      </c>
      <c r="J2430" s="707">
        <f t="shared" si="75"/>
        <v>0</v>
      </c>
      <c r="K2430" s="70"/>
    </row>
    <row r="2431" spans="1:11" ht="24" customHeight="1">
      <c r="A2431" s="33" t="s">
        <v>280</v>
      </c>
      <c r="B2431" s="33" t="s">
        <v>25</v>
      </c>
      <c r="C2431" s="33">
        <v>100</v>
      </c>
      <c r="D2431" s="2" t="s">
        <v>188</v>
      </c>
      <c r="E2431" s="33">
        <v>5</v>
      </c>
      <c r="F2431" s="33"/>
      <c r="G2431" s="522"/>
      <c r="H2431" s="707"/>
      <c r="I2431" s="707">
        <f t="shared" si="74"/>
        <v>0</v>
      </c>
      <c r="J2431" s="707">
        <f t="shared" si="75"/>
        <v>0</v>
      </c>
      <c r="K2431" s="70"/>
    </row>
    <row r="2432" spans="1:11" ht="24" customHeight="1">
      <c r="A2432" s="33" t="s">
        <v>278</v>
      </c>
      <c r="B2432" s="33" t="s">
        <v>25</v>
      </c>
      <c r="C2432" s="33">
        <v>100</v>
      </c>
      <c r="D2432" s="2" t="s">
        <v>188</v>
      </c>
      <c r="E2432" s="33">
        <v>5</v>
      </c>
      <c r="F2432" s="33"/>
      <c r="G2432" s="522"/>
      <c r="H2432" s="707"/>
      <c r="I2432" s="707">
        <f t="shared" si="74"/>
        <v>0</v>
      </c>
      <c r="J2432" s="707">
        <f t="shared" si="75"/>
        <v>0</v>
      </c>
      <c r="K2432" s="70"/>
    </row>
    <row r="2433" spans="1:11" ht="24" customHeight="1">
      <c r="A2433" s="33" t="s">
        <v>276</v>
      </c>
      <c r="B2433" s="33" t="s">
        <v>25</v>
      </c>
      <c r="C2433" s="33">
        <v>100</v>
      </c>
      <c r="D2433" s="2" t="s">
        <v>188</v>
      </c>
      <c r="E2433" s="33">
        <v>5</v>
      </c>
      <c r="F2433" s="33"/>
      <c r="G2433" s="522"/>
      <c r="H2433" s="707"/>
      <c r="I2433" s="707">
        <f t="shared" si="74"/>
        <v>0</v>
      </c>
      <c r="J2433" s="707">
        <f t="shared" si="75"/>
        <v>0</v>
      </c>
      <c r="K2433" s="70"/>
    </row>
    <row r="2434" spans="1:11" ht="24" customHeight="1">
      <c r="A2434" s="33" t="s">
        <v>1358</v>
      </c>
      <c r="B2434" s="33" t="s">
        <v>25</v>
      </c>
      <c r="C2434" s="33">
        <v>293</v>
      </c>
      <c r="D2434" s="33" t="s">
        <v>1325</v>
      </c>
      <c r="E2434" s="33">
        <v>2</v>
      </c>
      <c r="F2434" s="33"/>
      <c r="G2434" s="522"/>
      <c r="H2434" s="707"/>
      <c r="I2434" s="707">
        <f t="shared" si="74"/>
        <v>0</v>
      </c>
      <c r="J2434" s="707">
        <f t="shared" si="75"/>
        <v>0</v>
      </c>
      <c r="K2434" s="70"/>
    </row>
    <row r="2435" spans="1:11" ht="24" customHeight="1">
      <c r="A2435" s="33" t="s">
        <v>1368</v>
      </c>
      <c r="B2435" s="33" t="s">
        <v>25</v>
      </c>
      <c r="C2435" s="33">
        <v>94</v>
      </c>
      <c r="D2435" s="33" t="s">
        <v>1325</v>
      </c>
      <c r="E2435" s="33">
        <v>2</v>
      </c>
      <c r="F2435" s="33"/>
      <c r="G2435" s="522"/>
      <c r="H2435" s="707"/>
      <c r="I2435" s="707">
        <f t="shared" ref="I2435:I2498" si="76">H2435 * 1.15</f>
        <v>0</v>
      </c>
      <c r="J2435" s="707">
        <f t="shared" ref="J2435:J2498" si="77">H2435 * 1.3</f>
        <v>0</v>
      </c>
      <c r="K2435" s="70"/>
    </row>
    <row r="2436" spans="1:11" ht="24" customHeight="1">
      <c r="A2436" s="11" t="s">
        <v>2839</v>
      </c>
      <c r="B2436" s="11" t="s">
        <v>25</v>
      </c>
      <c r="C2436" s="11">
        <v>100</v>
      </c>
      <c r="D2436" s="131" t="s">
        <v>2802</v>
      </c>
      <c r="E2436" s="15">
        <v>3</v>
      </c>
      <c r="F2436" s="15"/>
      <c r="G2436" s="684"/>
      <c r="H2436" s="707"/>
      <c r="I2436" s="707">
        <f t="shared" si="76"/>
        <v>0</v>
      </c>
      <c r="J2436" s="707">
        <f t="shared" si="77"/>
        <v>0</v>
      </c>
      <c r="K2436" s="70"/>
    </row>
    <row r="2437" spans="1:11" ht="24" customHeight="1">
      <c r="A2437" s="33" t="s">
        <v>2385</v>
      </c>
      <c r="B2437" s="33" t="s">
        <v>25</v>
      </c>
      <c r="C2437" s="33">
        <v>100</v>
      </c>
      <c r="D2437" s="33" t="s">
        <v>2363</v>
      </c>
      <c r="E2437" s="33">
        <v>3</v>
      </c>
      <c r="F2437" s="33"/>
      <c r="G2437" s="522"/>
      <c r="H2437" s="707"/>
      <c r="I2437" s="707">
        <f t="shared" si="76"/>
        <v>0</v>
      </c>
      <c r="J2437" s="707">
        <f t="shared" si="77"/>
        <v>0</v>
      </c>
      <c r="K2437" s="70"/>
    </row>
    <row r="2438" spans="1:11" ht="24" customHeight="1">
      <c r="A2438" s="2" t="s">
        <v>751</v>
      </c>
      <c r="B2438" s="2" t="s">
        <v>25</v>
      </c>
      <c r="C2438" s="2">
        <v>75</v>
      </c>
      <c r="D2438" s="2" t="s">
        <v>593</v>
      </c>
      <c r="E2438" s="33">
        <v>3</v>
      </c>
      <c r="F2438" s="33"/>
      <c r="G2438" s="522"/>
      <c r="H2438" s="707">
        <v>1.5</v>
      </c>
      <c r="I2438" s="707">
        <f t="shared" si="76"/>
        <v>1.7249999999999999</v>
      </c>
      <c r="J2438" s="707">
        <f t="shared" si="77"/>
        <v>1.9500000000000002</v>
      </c>
      <c r="K2438" s="70"/>
    </row>
    <row r="2439" spans="1:11" ht="24" customHeight="1">
      <c r="A2439" s="33" t="s">
        <v>279</v>
      </c>
      <c r="B2439" s="33" t="s">
        <v>25</v>
      </c>
      <c r="C2439" s="33">
        <v>100</v>
      </c>
      <c r="D2439" s="2" t="s">
        <v>188</v>
      </c>
      <c r="E2439" s="33">
        <v>5</v>
      </c>
      <c r="F2439" s="33"/>
      <c r="G2439" s="522"/>
      <c r="H2439" s="707"/>
      <c r="I2439" s="707">
        <f t="shared" si="76"/>
        <v>0</v>
      </c>
      <c r="J2439" s="707">
        <f t="shared" si="77"/>
        <v>0</v>
      </c>
      <c r="K2439" s="70"/>
    </row>
    <row r="2440" spans="1:11" ht="24" customHeight="1">
      <c r="A2440" s="33" t="s">
        <v>275</v>
      </c>
      <c r="B2440" s="33" t="s">
        <v>25</v>
      </c>
      <c r="C2440" s="33">
        <v>100</v>
      </c>
      <c r="D2440" s="2" t="s">
        <v>188</v>
      </c>
      <c r="E2440" s="33">
        <v>5</v>
      </c>
      <c r="F2440" s="33"/>
      <c r="G2440" s="522"/>
      <c r="H2440" s="707"/>
      <c r="I2440" s="707">
        <f t="shared" si="76"/>
        <v>0</v>
      </c>
      <c r="J2440" s="707">
        <f t="shared" si="77"/>
        <v>0</v>
      </c>
      <c r="K2440" s="70"/>
    </row>
    <row r="2441" spans="1:11" ht="24" customHeight="1">
      <c r="A2441" s="33" t="s">
        <v>277</v>
      </c>
      <c r="B2441" s="33" t="s">
        <v>25</v>
      </c>
      <c r="C2441" s="33">
        <v>100</v>
      </c>
      <c r="D2441" s="2" t="s">
        <v>188</v>
      </c>
      <c r="E2441" s="33">
        <v>5</v>
      </c>
      <c r="F2441" s="33"/>
      <c r="G2441" s="522"/>
      <c r="H2441" s="707"/>
      <c r="I2441" s="707">
        <f t="shared" si="76"/>
        <v>0</v>
      </c>
      <c r="J2441" s="707">
        <f t="shared" si="77"/>
        <v>0</v>
      </c>
      <c r="K2441" s="70"/>
    </row>
    <row r="2442" spans="1:11" ht="24" customHeight="1">
      <c r="A2442" s="33" t="s">
        <v>281</v>
      </c>
      <c r="B2442" s="33" t="s">
        <v>25</v>
      </c>
      <c r="C2442" s="33">
        <v>100</v>
      </c>
      <c r="D2442" s="2" t="s">
        <v>188</v>
      </c>
      <c r="E2442" s="33">
        <v>5</v>
      </c>
      <c r="F2442" s="33"/>
      <c r="G2442" s="522"/>
      <c r="H2442" s="707"/>
      <c r="I2442" s="707">
        <f t="shared" si="76"/>
        <v>0</v>
      </c>
      <c r="J2442" s="707">
        <f t="shared" si="77"/>
        <v>0</v>
      </c>
      <c r="K2442" s="70"/>
    </row>
    <row r="2443" spans="1:11" ht="24" customHeight="1">
      <c r="A2443" s="33" t="s">
        <v>282</v>
      </c>
      <c r="B2443" s="33" t="s">
        <v>25</v>
      </c>
      <c r="C2443" s="33">
        <v>100</v>
      </c>
      <c r="D2443" s="2" t="s">
        <v>188</v>
      </c>
      <c r="E2443" s="33">
        <v>5</v>
      </c>
      <c r="F2443" s="33"/>
      <c r="G2443" s="522"/>
      <c r="H2443" s="707"/>
      <c r="I2443" s="707">
        <f t="shared" si="76"/>
        <v>0</v>
      </c>
      <c r="J2443" s="707">
        <f t="shared" si="77"/>
        <v>0</v>
      </c>
      <c r="K2443" s="70"/>
    </row>
    <row r="2444" spans="1:11" ht="24" customHeight="1">
      <c r="A2444" s="2" t="s">
        <v>816</v>
      </c>
      <c r="B2444" s="2" t="s">
        <v>25</v>
      </c>
      <c r="C2444" s="2">
        <v>51</v>
      </c>
      <c r="D2444" s="2" t="s">
        <v>593</v>
      </c>
      <c r="E2444" s="33">
        <v>3</v>
      </c>
      <c r="F2444" s="33"/>
      <c r="G2444" s="522"/>
      <c r="H2444" s="707"/>
      <c r="I2444" s="707">
        <f t="shared" si="76"/>
        <v>0</v>
      </c>
      <c r="J2444" s="707">
        <f t="shared" si="77"/>
        <v>0</v>
      </c>
      <c r="K2444" s="70"/>
    </row>
    <row r="2445" spans="1:11" ht="24" customHeight="1">
      <c r="A2445" s="2" t="s">
        <v>321</v>
      </c>
      <c r="B2445" s="2" t="s">
        <v>322</v>
      </c>
      <c r="C2445" s="2">
        <v>100</v>
      </c>
      <c r="D2445" s="2" t="s">
        <v>274</v>
      </c>
      <c r="E2445" s="33">
        <v>1</v>
      </c>
      <c r="F2445" s="33"/>
      <c r="G2445" s="522"/>
      <c r="H2445" s="707"/>
      <c r="I2445" s="707">
        <f t="shared" si="76"/>
        <v>0</v>
      </c>
      <c r="J2445" s="707">
        <f t="shared" si="77"/>
        <v>0</v>
      </c>
      <c r="K2445" s="70"/>
    </row>
    <row r="2446" spans="1:11" ht="24" customHeight="1">
      <c r="A2446" s="74" t="s">
        <v>2430</v>
      </c>
      <c r="B2446" s="74" t="s">
        <v>25</v>
      </c>
      <c r="C2446" s="74">
        <v>20</v>
      </c>
      <c r="D2446" s="33" t="s">
        <v>2363</v>
      </c>
      <c r="E2446" s="33">
        <v>5</v>
      </c>
      <c r="F2446" s="33"/>
      <c r="G2446" s="522"/>
      <c r="H2446" s="707">
        <v>2</v>
      </c>
      <c r="I2446" s="707">
        <f t="shared" si="76"/>
        <v>2.2999999999999998</v>
      </c>
      <c r="J2446" s="707">
        <f t="shared" si="77"/>
        <v>2.6</v>
      </c>
      <c r="K2446" s="70"/>
    </row>
    <row r="2447" spans="1:11" ht="24" customHeight="1">
      <c r="A2447" s="2" t="s">
        <v>432</v>
      </c>
      <c r="B2447" s="2" t="s">
        <v>25</v>
      </c>
      <c r="C2447" s="2">
        <v>20</v>
      </c>
      <c r="D2447" s="2" t="s">
        <v>274</v>
      </c>
      <c r="E2447" s="33">
        <v>3</v>
      </c>
      <c r="F2447" s="33"/>
      <c r="G2447" s="522"/>
      <c r="H2447" s="707"/>
      <c r="I2447" s="707">
        <f t="shared" si="76"/>
        <v>0</v>
      </c>
      <c r="J2447" s="707">
        <f t="shared" si="77"/>
        <v>0</v>
      </c>
      <c r="K2447" s="70"/>
    </row>
    <row r="2448" spans="1:11" ht="24" customHeight="1">
      <c r="A2448" s="74" t="s">
        <v>2417</v>
      </c>
      <c r="B2448" s="74" t="s">
        <v>25</v>
      </c>
      <c r="C2448" s="74">
        <v>20</v>
      </c>
      <c r="D2448" s="33" t="s">
        <v>2363</v>
      </c>
      <c r="E2448" s="33">
        <v>5</v>
      </c>
      <c r="F2448" s="33"/>
      <c r="G2448" s="522"/>
      <c r="H2448" s="707"/>
      <c r="I2448" s="707">
        <f t="shared" si="76"/>
        <v>0</v>
      </c>
      <c r="J2448" s="707">
        <f t="shared" si="77"/>
        <v>0</v>
      </c>
      <c r="K2448" s="70"/>
    </row>
    <row r="2449" spans="1:11" ht="24" customHeight="1">
      <c r="A2449" s="2" t="s">
        <v>1866</v>
      </c>
      <c r="B2449" s="2" t="s">
        <v>1867</v>
      </c>
      <c r="C2449" s="2">
        <v>100</v>
      </c>
      <c r="D2449" s="2" t="s">
        <v>1785</v>
      </c>
      <c r="E2449" s="33">
        <v>3</v>
      </c>
      <c r="F2449" s="33"/>
      <c r="G2449" s="522"/>
      <c r="H2449" s="707"/>
      <c r="I2449" s="707">
        <f t="shared" si="76"/>
        <v>0</v>
      </c>
      <c r="J2449" s="707">
        <f t="shared" si="77"/>
        <v>0</v>
      </c>
      <c r="K2449" s="70"/>
    </row>
    <row r="2450" spans="1:11" ht="24" customHeight="1">
      <c r="A2450" s="2" t="s">
        <v>1792</v>
      </c>
      <c r="B2450" s="2" t="s">
        <v>41</v>
      </c>
      <c r="C2450" s="2">
        <v>70</v>
      </c>
      <c r="D2450" s="2" t="s">
        <v>1785</v>
      </c>
      <c r="E2450" s="33">
        <v>1</v>
      </c>
      <c r="F2450" s="33"/>
      <c r="G2450" s="522"/>
      <c r="H2450" s="707"/>
      <c r="I2450" s="707">
        <f t="shared" si="76"/>
        <v>0</v>
      </c>
      <c r="J2450" s="707">
        <f t="shared" si="77"/>
        <v>0</v>
      </c>
      <c r="K2450" s="70"/>
    </row>
    <row r="2451" spans="1:11" ht="24" customHeight="1">
      <c r="A2451" s="2" t="s">
        <v>381</v>
      </c>
      <c r="B2451" s="2" t="s">
        <v>322</v>
      </c>
      <c r="C2451" s="2">
        <v>90</v>
      </c>
      <c r="D2451" s="2" t="s">
        <v>274</v>
      </c>
      <c r="E2451" s="33">
        <v>2</v>
      </c>
      <c r="F2451" s="33"/>
      <c r="G2451" s="522"/>
      <c r="H2451" s="707">
        <v>5</v>
      </c>
      <c r="I2451" s="707">
        <f t="shared" si="76"/>
        <v>5.75</v>
      </c>
      <c r="J2451" s="707">
        <f t="shared" si="77"/>
        <v>6.5</v>
      </c>
      <c r="K2451" s="70"/>
    </row>
    <row r="2452" spans="1:11" ht="24" customHeight="1">
      <c r="A2452" s="2" t="s">
        <v>1797</v>
      </c>
      <c r="B2452" s="2" t="s">
        <v>41</v>
      </c>
      <c r="C2452" s="2">
        <v>26</v>
      </c>
      <c r="D2452" s="2" t="s">
        <v>1785</v>
      </c>
      <c r="E2452" s="33">
        <v>1</v>
      </c>
      <c r="F2452" s="33"/>
      <c r="G2452" s="522"/>
      <c r="H2452" s="707">
        <v>2</v>
      </c>
      <c r="I2452" s="707">
        <f t="shared" si="76"/>
        <v>2.2999999999999998</v>
      </c>
      <c r="J2452" s="707">
        <f t="shared" si="77"/>
        <v>2.6</v>
      </c>
      <c r="K2452" s="70"/>
    </row>
    <row r="2453" spans="1:11" ht="24" customHeight="1">
      <c r="A2453" s="2" t="s">
        <v>24</v>
      </c>
      <c r="B2453" s="2" t="s">
        <v>25</v>
      </c>
      <c r="C2453" s="2">
        <v>21</v>
      </c>
      <c r="D2453" s="2" t="s">
        <v>11</v>
      </c>
      <c r="E2453" s="33">
        <v>1</v>
      </c>
      <c r="F2453" s="33"/>
      <c r="G2453" s="522"/>
      <c r="H2453" s="707">
        <v>1</v>
      </c>
      <c r="I2453" s="707">
        <f t="shared" si="76"/>
        <v>1.1499999999999999</v>
      </c>
      <c r="J2453" s="707">
        <f t="shared" si="77"/>
        <v>1.3</v>
      </c>
      <c r="K2453" s="70"/>
    </row>
    <row r="2454" spans="1:11" ht="24" customHeight="1">
      <c r="A2454" s="33" t="s">
        <v>3300</v>
      </c>
      <c r="B2454" s="33" t="s">
        <v>3299</v>
      </c>
      <c r="C2454" s="33">
        <v>80</v>
      </c>
      <c r="D2454" s="33" t="s">
        <v>3279</v>
      </c>
      <c r="E2454" s="33">
        <v>3</v>
      </c>
      <c r="F2454" s="33"/>
      <c r="G2454" s="522"/>
      <c r="H2454" s="707">
        <v>5</v>
      </c>
      <c r="I2454" s="707">
        <f t="shared" si="76"/>
        <v>5.75</v>
      </c>
      <c r="J2454" s="707">
        <f t="shared" si="77"/>
        <v>6.5</v>
      </c>
      <c r="K2454" s="70"/>
    </row>
    <row r="2455" spans="1:11" ht="24" customHeight="1">
      <c r="A2455" s="2" t="s">
        <v>822</v>
      </c>
      <c r="B2455" s="2" t="s">
        <v>25</v>
      </c>
      <c r="C2455" s="2">
        <v>15</v>
      </c>
      <c r="D2455" s="2" t="s">
        <v>593</v>
      </c>
      <c r="E2455" s="33">
        <v>3</v>
      </c>
      <c r="F2455" s="33"/>
      <c r="G2455" s="522"/>
      <c r="H2455" s="707">
        <v>2</v>
      </c>
      <c r="I2455" s="707">
        <f t="shared" si="76"/>
        <v>2.2999999999999998</v>
      </c>
      <c r="J2455" s="707">
        <f t="shared" si="77"/>
        <v>2.6</v>
      </c>
      <c r="K2455" s="70"/>
    </row>
    <row r="2456" spans="1:11" ht="24" customHeight="1">
      <c r="A2456" s="33" t="s">
        <v>822</v>
      </c>
      <c r="B2456" s="33" t="s">
        <v>3299</v>
      </c>
      <c r="C2456" s="33">
        <v>80</v>
      </c>
      <c r="D2456" s="33" t="s">
        <v>3279</v>
      </c>
      <c r="E2456" s="33">
        <v>3</v>
      </c>
      <c r="F2456" s="33"/>
      <c r="G2456" s="522"/>
      <c r="H2456" s="707">
        <v>2</v>
      </c>
      <c r="I2456" s="707">
        <f t="shared" si="76"/>
        <v>2.2999999999999998</v>
      </c>
      <c r="J2456" s="707">
        <f t="shared" si="77"/>
        <v>2.6</v>
      </c>
      <c r="K2456" s="70"/>
    </row>
    <row r="2457" spans="1:11" ht="24" customHeight="1">
      <c r="A2457" s="74" t="s">
        <v>2133</v>
      </c>
      <c r="B2457" s="74" t="s">
        <v>25</v>
      </c>
      <c r="C2457" s="74">
        <v>72</v>
      </c>
      <c r="D2457" s="33" t="s">
        <v>2111</v>
      </c>
      <c r="E2457" s="33">
        <v>2</v>
      </c>
      <c r="F2457" s="33"/>
      <c r="G2457" s="522"/>
      <c r="H2457" s="707"/>
      <c r="I2457" s="707">
        <f t="shared" si="76"/>
        <v>0</v>
      </c>
      <c r="J2457" s="707">
        <f t="shared" si="77"/>
        <v>0</v>
      </c>
      <c r="K2457" s="70"/>
    </row>
    <row r="2458" spans="1:11" ht="24" customHeight="1">
      <c r="A2458" s="33" t="s">
        <v>936</v>
      </c>
      <c r="B2458" s="33" t="s">
        <v>937</v>
      </c>
      <c r="C2458" s="33">
        <v>200</v>
      </c>
      <c r="D2458" s="33" t="s">
        <v>910</v>
      </c>
      <c r="E2458" s="33">
        <v>1</v>
      </c>
      <c r="F2458" s="33"/>
      <c r="G2458" s="522"/>
      <c r="H2458" s="711">
        <v>5</v>
      </c>
      <c r="I2458" s="711">
        <f t="shared" si="76"/>
        <v>5.75</v>
      </c>
      <c r="J2458" s="711">
        <f t="shared" si="77"/>
        <v>6.5</v>
      </c>
      <c r="K2458" s="70"/>
    </row>
    <row r="2459" spans="1:11" ht="24" customHeight="1">
      <c r="A2459" s="11" t="s">
        <v>3502</v>
      </c>
      <c r="B2459" s="11" t="s">
        <v>25</v>
      </c>
      <c r="C2459" s="11">
        <v>67</v>
      </c>
      <c r="D2459" s="131" t="s">
        <v>3451</v>
      </c>
      <c r="E2459" s="15">
        <v>3</v>
      </c>
      <c r="F2459" s="15"/>
      <c r="G2459" s="684"/>
      <c r="H2459" s="707">
        <v>1</v>
      </c>
      <c r="I2459" s="707">
        <f t="shared" si="76"/>
        <v>1.1499999999999999</v>
      </c>
      <c r="J2459" s="707">
        <f t="shared" si="77"/>
        <v>1.3</v>
      </c>
      <c r="K2459" s="70"/>
    </row>
    <row r="2460" spans="1:11" ht="24" customHeight="1">
      <c r="A2460" s="33" t="s">
        <v>1245</v>
      </c>
      <c r="B2460" s="33" t="s">
        <v>1246</v>
      </c>
      <c r="C2460" s="33">
        <v>100</v>
      </c>
      <c r="D2460" s="33" t="s">
        <v>1201</v>
      </c>
      <c r="E2460" s="33">
        <v>4</v>
      </c>
      <c r="F2460" s="33"/>
      <c r="G2460" s="522"/>
      <c r="H2460" s="707"/>
      <c r="I2460" s="707">
        <f t="shared" si="76"/>
        <v>0</v>
      </c>
      <c r="J2460" s="707">
        <f t="shared" si="77"/>
        <v>0</v>
      </c>
      <c r="K2460" s="70"/>
    </row>
    <row r="2461" spans="1:11" ht="24" customHeight="1">
      <c r="A2461" s="33" t="s">
        <v>1362</v>
      </c>
      <c r="B2461" s="33" t="s">
        <v>25</v>
      </c>
      <c r="C2461" s="33">
        <v>100</v>
      </c>
      <c r="D2461" s="33" t="s">
        <v>1325</v>
      </c>
      <c r="E2461" s="33">
        <v>2</v>
      </c>
      <c r="F2461" s="33"/>
      <c r="G2461" s="522"/>
      <c r="H2461" s="707"/>
      <c r="I2461" s="707">
        <f t="shared" si="76"/>
        <v>0</v>
      </c>
      <c r="J2461" s="707">
        <f t="shared" si="77"/>
        <v>0</v>
      </c>
      <c r="K2461" s="70"/>
    </row>
    <row r="2462" spans="1:11" ht="24" customHeight="1">
      <c r="A2462" s="33" t="s">
        <v>1216</v>
      </c>
      <c r="B2462" s="33" t="s">
        <v>937</v>
      </c>
      <c r="C2462" s="33">
        <v>100</v>
      </c>
      <c r="D2462" s="33" t="s">
        <v>1201</v>
      </c>
      <c r="E2462" s="33">
        <v>3</v>
      </c>
      <c r="F2462" s="33"/>
      <c r="G2462" s="522"/>
      <c r="H2462" s="707"/>
      <c r="I2462" s="707">
        <f t="shared" si="76"/>
        <v>0</v>
      </c>
      <c r="J2462" s="707">
        <f t="shared" si="77"/>
        <v>0</v>
      </c>
      <c r="K2462" s="70"/>
    </row>
    <row r="2463" spans="1:11" ht="24" customHeight="1">
      <c r="A2463" s="33" t="s">
        <v>2381</v>
      </c>
      <c r="B2463" s="33" t="s">
        <v>25</v>
      </c>
      <c r="C2463" s="33">
        <v>90</v>
      </c>
      <c r="D2463" s="33" t="s">
        <v>2363</v>
      </c>
      <c r="E2463" s="33">
        <v>3</v>
      </c>
      <c r="F2463" s="33"/>
      <c r="G2463" s="522"/>
      <c r="H2463" s="707"/>
      <c r="I2463" s="707">
        <f t="shared" si="76"/>
        <v>0</v>
      </c>
      <c r="J2463" s="707">
        <f t="shared" si="77"/>
        <v>0</v>
      </c>
      <c r="K2463" s="70"/>
    </row>
    <row r="2464" spans="1:11" ht="24" customHeight="1">
      <c r="A2464" s="74" t="s">
        <v>2438</v>
      </c>
      <c r="B2464" s="74" t="s">
        <v>25</v>
      </c>
      <c r="C2464" s="74">
        <v>10</v>
      </c>
      <c r="D2464" s="33" t="s">
        <v>2363</v>
      </c>
      <c r="E2464" s="33">
        <v>5</v>
      </c>
      <c r="F2464" s="33"/>
      <c r="G2464" s="522"/>
      <c r="H2464" s="707"/>
      <c r="I2464" s="707">
        <f t="shared" si="76"/>
        <v>0</v>
      </c>
      <c r="J2464" s="707">
        <f t="shared" si="77"/>
        <v>0</v>
      </c>
      <c r="K2464" s="70"/>
    </row>
    <row r="2465" spans="1:11" ht="24" customHeight="1">
      <c r="A2465" s="33" t="s">
        <v>3109</v>
      </c>
      <c r="B2465" s="33" t="s">
        <v>937</v>
      </c>
      <c r="C2465" s="33">
        <v>14</v>
      </c>
      <c r="D2465" s="33" t="s">
        <v>3053</v>
      </c>
      <c r="E2465" s="33">
        <v>3</v>
      </c>
      <c r="F2465" s="33"/>
      <c r="G2465" s="522"/>
      <c r="H2465" s="707"/>
      <c r="I2465" s="707">
        <f t="shared" si="76"/>
        <v>0</v>
      </c>
      <c r="J2465" s="707">
        <f t="shared" si="77"/>
        <v>0</v>
      </c>
      <c r="K2465" s="70"/>
    </row>
    <row r="2466" spans="1:11" ht="24" customHeight="1">
      <c r="A2466" s="33" t="s">
        <v>1375</v>
      </c>
      <c r="B2466" s="33" t="s">
        <v>937</v>
      </c>
      <c r="C2466" s="33">
        <v>100</v>
      </c>
      <c r="D2466" s="33" t="s">
        <v>1372</v>
      </c>
      <c r="E2466" s="33">
        <v>3</v>
      </c>
      <c r="F2466" s="33"/>
      <c r="G2466" s="522"/>
      <c r="H2466" s="707">
        <v>1</v>
      </c>
      <c r="I2466" s="707">
        <f t="shared" si="76"/>
        <v>1.1499999999999999</v>
      </c>
      <c r="J2466" s="707">
        <f t="shared" si="77"/>
        <v>1.3</v>
      </c>
      <c r="K2466" s="70"/>
    </row>
    <row r="2467" spans="1:11" ht="24" customHeight="1">
      <c r="A2467" s="33" t="s">
        <v>981</v>
      </c>
      <c r="B2467" s="33" t="s">
        <v>937</v>
      </c>
      <c r="C2467" s="33">
        <v>146</v>
      </c>
      <c r="D2467" s="33" t="s">
        <v>910</v>
      </c>
      <c r="E2467" s="33">
        <v>2</v>
      </c>
      <c r="F2467" s="33"/>
      <c r="G2467" s="522"/>
      <c r="H2467" s="707">
        <v>2.5</v>
      </c>
      <c r="I2467" s="707">
        <f t="shared" si="76"/>
        <v>2.875</v>
      </c>
      <c r="J2467" s="707">
        <f t="shared" si="77"/>
        <v>3.25</v>
      </c>
      <c r="K2467" s="70"/>
    </row>
    <row r="2468" spans="1:11" ht="24" customHeight="1">
      <c r="A2468" s="33" t="s">
        <v>981</v>
      </c>
      <c r="B2468" s="33" t="s">
        <v>937</v>
      </c>
      <c r="C2468" s="33">
        <v>10</v>
      </c>
      <c r="D2468" s="33" t="s">
        <v>992</v>
      </c>
      <c r="E2468" s="33">
        <v>3</v>
      </c>
      <c r="F2468" s="33"/>
      <c r="G2468" s="522"/>
      <c r="H2468" s="707">
        <v>2.5</v>
      </c>
      <c r="I2468" s="707">
        <f t="shared" si="76"/>
        <v>2.875</v>
      </c>
      <c r="J2468" s="707">
        <f t="shared" si="77"/>
        <v>3.25</v>
      </c>
      <c r="K2468" s="70"/>
    </row>
    <row r="2469" spans="1:11" ht="24" customHeight="1">
      <c r="A2469" s="33" t="s">
        <v>1217</v>
      </c>
      <c r="B2469" s="33" t="s">
        <v>937</v>
      </c>
      <c r="C2469" s="33">
        <v>92</v>
      </c>
      <c r="D2469" s="33" t="s">
        <v>1201</v>
      </c>
      <c r="E2469" s="33">
        <v>3</v>
      </c>
      <c r="F2469" s="33"/>
      <c r="G2469" s="522"/>
      <c r="H2469" s="707">
        <v>6</v>
      </c>
      <c r="I2469" s="707">
        <f t="shared" si="76"/>
        <v>6.8999999999999995</v>
      </c>
      <c r="J2469" s="707">
        <f t="shared" si="77"/>
        <v>7.8000000000000007</v>
      </c>
      <c r="K2469" s="70"/>
    </row>
    <row r="2470" spans="1:11" ht="24" customHeight="1">
      <c r="A2470" s="33" t="s">
        <v>1374</v>
      </c>
      <c r="B2470" s="33" t="s">
        <v>937</v>
      </c>
      <c r="C2470" s="33">
        <v>94</v>
      </c>
      <c r="D2470" s="33" t="s">
        <v>1372</v>
      </c>
      <c r="E2470" s="33">
        <v>3</v>
      </c>
      <c r="F2470" s="33"/>
      <c r="G2470" s="522"/>
      <c r="H2470" s="707">
        <v>20</v>
      </c>
      <c r="I2470" s="707">
        <f t="shared" si="76"/>
        <v>23</v>
      </c>
      <c r="J2470" s="707">
        <f t="shared" si="77"/>
        <v>26</v>
      </c>
      <c r="K2470" s="70"/>
    </row>
    <row r="2471" spans="1:11" ht="24" customHeight="1">
      <c r="A2471" s="33" t="s">
        <v>2977</v>
      </c>
      <c r="B2471" s="33" t="s">
        <v>25</v>
      </c>
      <c r="C2471" s="33">
        <v>39</v>
      </c>
      <c r="D2471" s="71" t="s">
        <v>2947</v>
      </c>
      <c r="E2471" s="33">
        <v>4</v>
      </c>
      <c r="F2471" s="33"/>
      <c r="G2471" s="522"/>
      <c r="H2471" s="707">
        <v>3</v>
      </c>
      <c r="I2471" s="707">
        <f t="shared" si="76"/>
        <v>3.4499999999999997</v>
      </c>
      <c r="J2471" s="707">
        <f t="shared" si="77"/>
        <v>3.9000000000000004</v>
      </c>
      <c r="K2471" s="70"/>
    </row>
    <row r="2472" spans="1:11" ht="24" customHeight="1">
      <c r="A2472" s="33" t="s">
        <v>1357</v>
      </c>
      <c r="B2472" s="33" t="s">
        <v>25</v>
      </c>
      <c r="C2472" s="33">
        <v>98</v>
      </c>
      <c r="D2472" s="33" t="s">
        <v>1325</v>
      </c>
      <c r="E2472" s="33">
        <v>2</v>
      </c>
      <c r="F2472" s="33"/>
      <c r="G2472" s="522"/>
      <c r="H2472" s="707">
        <v>3</v>
      </c>
      <c r="I2472" s="707">
        <f t="shared" si="76"/>
        <v>3.4499999999999997</v>
      </c>
      <c r="J2472" s="707">
        <f t="shared" si="77"/>
        <v>3.9000000000000004</v>
      </c>
      <c r="K2472" s="70"/>
    </row>
    <row r="2473" spans="1:11" ht="24" customHeight="1">
      <c r="A2473" s="33" t="s">
        <v>2659</v>
      </c>
      <c r="B2473" s="33" t="s">
        <v>27</v>
      </c>
      <c r="C2473" s="33">
        <v>5</v>
      </c>
      <c r="D2473" s="33" t="s">
        <v>2624</v>
      </c>
      <c r="E2473" s="33">
        <v>4</v>
      </c>
      <c r="F2473" s="33"/>
      <c r="G2473" s="522"/>
      <c r="H2473" s="707"/>
      <c r="I2473" s="707">
        <f t="shared" si="76"/>
        <v>0</v>
      </c>
      <c r="J2473" s="707">
        <f t="shared" si="77"/>
        <v>0</v>
      </c>
      <c r="K2473" s="70"/>
    </row>
    <row r="2474" spans="1:11" ht="24" customHeight="1">
      <c r="A2474" s="33" t="s">
        <v>2655</v>
      </c>
      <c r="B2474" s="33" t="s">
        <v>1426</v>
      </c>
      <c r="C2474" s="33">
        <v>4</v>
      </c>
      <c r="D2474" s="33" t="s">
        <v>2624</v>
      </c>
      <c r="E2474" s="33">
        <v>4</v>
      </c>
      <c r="F2474" s="33"/>
      <c r="G2474" s="522"/>
      <c r="H2474" s="707"/>
      <c r="I2474" s="707">
        <f t="shared" si="76"/>
        <v>0</v>
      </c>
      <c r="J2474" s="707">
        <f t="shared" si="77"/>
        <v>0</v>
      </c>
      <c r="K2474" s="70"/>
    </row>
    <row r="2475" spans="1:11" ht="24" customHeight="1">
      <c r="A2475" s="2" t="s">
        <v>806</v>
      </c>
      <c r="B2475" s="2" t="s">
        <v>807</v>
      </c>
      <c r="C2475" s="2">
        <v>1</v>
      </c>
      <c r="D2475" s="2" t="s">
        <v>593</v>
      </c>
      <c r="E2475" s="33">
        <v>3</v>
      </c>
      <c r="F2475" s="33"/>
      <c r="G2475" s="522"/>
      <c r="H2475" s="707">
        <v>300</v>
      </c>
      <c r="I2475" s="707">
        <f t="shared" si="76"/>
        <v>345</v>
      </c>
      <c r="J2475" s="707">
        <f t="shared" si="77"/>
        <v>390</v>
      </c>
      <c r="K2475" s="70"/>
    </row>
    <row r="2476" spans="1:11" ht="24" customHeight="1">
      <c r="A2476" s="33" t="s">
        <v>2302</v>
      </c>
      <c r="B2476" s="33" t="s">
        <v>332</v>
      </c>
      <c r="C2476" s="33">
        <v>4</v>
      </c>
      <c r="D2476" s="33" t="s">
        <v>2276</v>
      </c>
      <c r="E2476" s="33">
        <v>1</v>
      </c>
      <c r="F2476" s="33"/>
      <c r="G2476" s="522"/>
      <c r="H2476" s="707">
        <v>2.5</v>
      </c>
      <c r="I2476" s="707">
        <f t="shared" si="76"/>
        <v>2.875</v>
      </c>
      <c r="J2476" s="707">
        <f t="shared" si="77"/>
        <v>3.25</v>
      </c>
      <c r="K2476" s="70"/>
    </row>
    <row r="2477" spans="1:11" ht="24" customHeight="1">
      <c r="A2477" s="33" t="s">
        <v>2749</v>
      </c>
      <c r="B2477" s="33" t="s">
        <v>2750</v>
      </c>
      <c r="C2477" s="33">
        <v>50</v>
      </c>
      <c r="D2477" s="33" t="s">
        <v>2716</v>
      </c>
      <c r="E2477" s="354">
        <v>3</v>
      </c>
      <c r="F2477" s="354"/>
      <c r="G2477" s="688"/>
      <c r="H2477" s="708"/>
      <c r="I2477" s="707">
        <f t="shared" si="76"/>
        <v>0</v>
      </c>
      <c r="J2477" s="708">
        <f t="shared" si="77"/>
        <v>0</v>
      </c>
      <c r="K2477" s="70"/>
    </row>
    <row r="2478" spans="1:11" ht="24" customHeight="1">
      <c r="A2478" s="33" t="s">
        <v>2303</v>
      </c>
      <c r="B2478" s="33" t="s">
        <v>332</v>
      </c>
      <c r="C2478" s="33">
        <v>2</v>
      </c>
      <c r="D2478" s="33" t="s">
        <v>2276</v>
      </c>
      <c r="E2478" s="33">
        <v>1</v>
      </c>
      <c r="F2478" s="33"/>
      <c r="G2478" s="522"/>
      <c r="H2478" s="707">
        <v>5</v>
      </c>
      <c r="I2478" s="707">
        <f t="shared" si="76"/>
        <v>5.75</v>
      </c>
      <c r="J2478" s="707">
        <f t="shared" si="77"/>
        <v>6.5</v>
      </c>
      <c r="K2478" s="70"/>
    </row>
    <row r="2479" spans="1:11" ht="24" customHeight="1">
      <c r="A2479" s="33" t="s">
        <v>2306</v>
      </c>
      <c r="B2479" s="33" t="s">
        <v>332</v>
      </c>
      <c r="C2479" s="33">
        <v>3</v>
      </c>
      <c r="D2479" s="33" t="s">
        <v>2276</v>
      </c>
      <c r="E2479" s="33">
        <v>1</v>
      </c>
      <c r="F2479" s="33"/>
      <c r="G2479" s="522"/>
      <c r="H2479" s="707">
        <v>6</v>
      </c>
      <c r="I2479" s="707">
        <f t="shared" si="76"/>
        <v>6.8999999999999995</v>
      </c>
      <c r="J2479" s="707">
        <f t="shared" si="77"/>
        <v>7.8000000000000007</v>
      </c>
      <c r="K2479" s="70"/>
    </row>
    <row r="2480" spans="1:11" ht="24" customHeight="1">
      <c r="A2480" s="17" t="s">
        <v>2858</v>
      </c>
      <c r="B2480" s="17" t="s">
        <v>332</v>
      </c>
      <c r="C2480" s="17">
        <v>14</v>
      </c>
      <c r="D2480" s="131" t="s">
        <v>2802</v>
      </c>
      <c r="E2480" s="15">
        <v>3</v>
      </c>
      <c r="F2480" s="15"/>
      <c r="G2480" s="684"/>
      <c r="H2480" s="707"/>
      <c r="I2480" s="707">
        <f t="shared" si="76"/>
        <v>0</v>
      </c>
      <c r="J2480" s="707">
        <f t="shared" si="77"/>
        <v>0</v>
      </c>
      <c r="K2480" s="70"/>
    </row>
    <row r="2481" spans="1:11" ht="24" customHeight="1">
      <c r="A2481" s="59" t="s">
        <v>2689</v>
      </c>
      <c r="B2481" s="59" t="s">
        <v>1030</v>
      </c>
      <c r="C2481" s="59">
        <v>1</v>
      </c>
      <c r="D2481" s="33" t="s">
        <v>2624</v>
      </c>
      <c r="E2481" s="354">
        <v>5</v>
      </c>
      <c r="F2481" s="354"/>
      <c r="G2481" s="688"/>
      <c r="H2481" s="707"/>
      <c r="I2481" s="707">
        <f t="shared" si="76"/>
        <v>0</v>
      </c>
      <c r="J2481" s="707">
        <f t="shared" si="77"/>
        <v>0</v>
      </c>
      <c r="K2481" s="70"/>
    </row>
    <row r="2482" spans="1:11" ht="24" customHeight="1">
      <c r="A2482" s="33" t="s">
        <v>2584</v>
      </c>
      <c r="B2482" s="33" t="s">
        <v>1067</v>
      </c>
      <c r="C2482" s="33">
        <v>2</v>
      </c>
      <c r="D2482" s="33" t="s">
        <v>2540</v>
      </c>
      <c r="E2482" s="33">
        <v>2</v>
      </c>
      <c r="F2482" s="33"/>
      <c r="G2482" s="522"/>
      <c r="H2482" s="707" t="s">
        <v>2585</v>
      </c>
      <c r="I2482" s="707" t="e">
        <f t="shared" si="76"/>
        <v>#VALUE!</v>
      </c>
      <c r="J2482" s="707" t="e">
        <f t="shared" si="77"/>
        <v>#VALUE!</v>
      </c>
      <c r="K2482" s="70"/>
    </row>
    <row r="2483" spans="1:11" ht="24" customHeight="1">
      <c r="A2483" s="74" t="s">
        <v>2447</v>
      </c>
      <c r="B2483" s="78" t="s">
        <v>272</v>
      </c>
      <c r="C2483" s="74">
        <v>1</v>
      </c>
      <c r="D2483" s="33" t="s">
        <v>2363</v>
      </c>
      <c r="E2483" s="33">
        <v>5</v>
      </c>
      <c r="F2483" s="33"/>
      <c r="G2483" s="522"/>
      <c r="H2483" s="707"/>
      <c r="I2483" s="707">
        <f t="shared" si="76"/>
        <v>0</v>
      </c>
      <c r="J2483" s="707">
        <f t="shared" si="77"/>
        <v>0</v>
      </c>
      <c r="K2483" s="70"/>
    </row>
    <row r="2484" spans="1:11" ht="24" customHeight="1">
      <c r="A2484" s="74" t="s">
        <v>1133</v>
      </c>
      <c r="B2484" s="74" t="s">
        <v>313</v>
      </c>
      <c r="C2484" s="74">
        <v>1</v>
      </c>
      <c r="D2484" s="33" t="s">
        <v>992</v>
      </c>
      <c r="E2484" s="33">
        <v>5</v>
      </c>
      <c r="F2484" s="33"/>
      <c r="G2484" s="522"/>
      <c r="H2484" s="707"/>
      <c r="I2484" s="707">
        <f t="shared" si="76"/>
        <v>0</v>
      </c>
      <c r="J2484" s="707">
        <f t="shared" si="77"/>
        <v>0</v>
      </c>
      <c r="K2484" s="70"/>
    </row>
    <row r="2485" spans="1:11" ht="24" customHeight="1">
      <c r="A2485" s="33" t="s">
        <v>2543</v>
      </c>
      <c r="B2485" s="33" t="s">
        <v>137</v>
      </c>
      <c r="C2485" s="33">
        <v>1</v>
      </c>
      <c r="D2485" s="33" t="s">
        <v>2540</v>
      </c>
      <c r="E2485" s="33">
        <v>1</v>
      </c>
      <c r="F2485" s="33"/>
      <c r="G2485" s="522"/>
      <c r="H2485" s="707"/>
      <c r="I2485" s="707">
        <f t="shared" si="76"/>
        <v>0</v>
      </c>
      <c r="J2485" s="707">
        <f t="shared" si="77"/>
        <v>0</v>
      </c>
      <c r="K2485" s="70"/>
    </row>
    <row r="2486" spans="1:11" ht="24" customHeight="1">
      <c r="A2486" s="33" t="s">
        <v>2198</v>
      </c>
      <c r="B2486" s="33" t="s">
        <v>2199</v>
      </c>
      <c r="C2486" s="33">
        <v>1</v>
      </c>
      <c r="D2486" s="33" t="s">
        <v>2191</v>
      </c>
      <c r="E2486" s="33">
        <v>3</v>
      </c>
      <c r="F2486" s="33"/>
      <c r="G2486" s="522"/>
      <c r="H2486" s="707"/>
      <c r="I2486" s="707">
        <f t="shared" si="76"/>
        <v>0</v>
      </c>
      <c r="J2486" s="707">
        <f t="shared" si="77"/>
        <v>0</v>
      </c>
      <c r="K2486" s="70"/>
    </row>
    <row r="2487" spans="1:11" ht="24" customHeight="1">
      <c r="A2487" s="3" t="s">
        <v>2807</v>
      </c>
      <c r="B2487" s="3" t="s">
        <v>2808</v>
      </c>
      <c r="C2487" s="3">
        <v>2</v>
      </c>
      <c r="D2487" s="58" t="s">
        <v>2802</v>
      </c>
      <c r="E2487" s="33">
        <v>2</v>
      </c>
      <c r="F2487" s="33"/>
      <c r="G2487" s="522"/>
      <c r="H2487" s="707"/>
      <c r="I2487" s="707">
        <f t="shared" si="76"/>
        <v>0</v>
      </c>
      <c r="J2487" s="707">
        <f t="shared" si="77"/>
        <v>0</v>
      </c>
      <c r="K2487" s="70"/>
    </row>
    <row r="2488" spans="1:11" ht="24" customHeight="1">
      <c r="A2488" s="33" t="s">
        <v>1985</v>
      </c>
      <c r="B2488" s="33" t="s">
        <v>19</v>
      </c>
      <c r="C2488" s="33">
        <v>300</v>
      </c>
      <c r="D2488" s="33" t="s">
        <v>1938</v>
      </c>
      <c r="E2488" s="33">
        <v>2</v>
      </c>
      <c r="F2488" s="33"/>
      <c r="G2488" s="522"/>
      <c r="H2488" s="707"/>
      <c r="I2488" s="707">
        <f t="shared" si="76"/>
        <v>0</v>
      </c>
      <c r="J2488" s="707">
        <f t="shared" si="77"/>
        <v>0</v>
      </c>
      <c r="K2488" s="70"/>
    </row>
    <row r="2489" spans="1:11" ht="24" customHeight="1">
      <c r="A2489" s="59" t="s">
        <v>3247</v>
      </c>
      <c r="B2489" s="59" t="s">
        <v>3098</v>
      </c>
      <c r="C2489" s="59">
        <v>1</v>
      </c>
      <c r="D2489" s="33" t="s">
        <v>3053</v>
      </c>
      <c r="E2489" s="354">
        <v>5</v>
      </c>
      <c r="F2489" s="354"/>
      <c r="G2489" s="688"/>
      <c r="H2489" s="707"/>
      <c r="I2489" s="707">
        <f t="shared" si="76"/>
        <v>0</v>
      </c>
      <c r="J2489" s="707">
        <f t="shared" si="77"/>
        <v>0</v>
      </c>
      <c r="K2489" s="70"/>
    </row>
    <row r="2490" spans="1:11" ht="24" customHeight="1">
      <c r="A2490" s="65" t="s">
        <v>589</v>
      </c>
      <c r="B2490" s="68" t="s">
        <v>27</v>
      </c>
      <c r="C2490" s="65">
        <v>104</v>
      </c>
      <c r="D2490" s="2" t="s">
        <v>536</v>
      </c>
      <c r="E2490" s="33">
        <v>5</v>
      </c>
      <c r="F2490" s="33"/>
      <c r="G2490" s="522"/>
      <c r="H2490" s="707"/>
      <c r="I2490" s="707">
        <f t="shared" si="76"/>
        <v>0</v>
      </c>
      <c r="J2490" s="707">
        <f t="shared" si="77"/>
        <v>0</v>
      </c>
      <c r="K2490" s="70"/>
    </row>
    <row r="2491" spans="1:11" ht="24" customHeight="1">
      <c r="A2491" s="33" t="s">
        <v>1523</v>
      </c>
      <c r="B2491" s="33" t="s">
        <v>1524</v>
      </c>
      <c r="C2491" s="33">
        <v>13</v>
      </c>
      <c r="D2491" s="33" t="s">
        <v>1494</v>
      </c>
      <c r="E2491" s="33">
        <v>2</v>
      </c>
      <c r="F2491" s="33"/>
      <c r="G2491" s="522"/>
      <c r="H2491" s="707"/>
      <c r="I2491" s="707">
        <f t="shared" si="76"/>
        <v>0</v>
      </c>
      <c r="J2491" s="707">
        <f t="shared" si="77"/>
        <v>0</v>
      </c>
      <c r="K2491" s="70"/>
    </row>
    <row r="2492" spans="1:11" ht="24" customHeight="1">
      <c r="A2492" s="33" t="s">
        <v>1525</v>
      </c>
      <c r="B2492" s="33" t="s">
        <v>1524</v>
      </c>
      <c r="C2492" s="33">
        <v>10</v>
      </c>
      <c r="D2492" s="33" t="s">
        <v>1494</v>
      </c>
      <c r="E2492" s="33">
        <v>2</v>
      </c>
      <c r="F2492" s="33"/>
      <c r="G2492" s="522"/>
      <c r="H2492" s="707"/>
      <c r="I2492" s="707">
        <f t="shared" si="76"/>
        <v>0</v>
      </c>
      <c r="J2492" s="707">
        <f t="shared" si="77"/>
        <v>0</v>
      </c>
      <c r="K2492" s="70"/>
    </row>
    <row r="2493" spans="1:11" ht="24" customHeight="1">
      <c r="A2493" s="33" t="s">
        <v>2399</v>
      </c>
      <c r="B2493" s="33" t="s">
        <v>2400</v>
      </c>
      <c r="C2493" s="33">
        <v>15</v>
      </c>
      <c r="D2493" s="33" t="s">
        <v>2363</v>
      </c>
      <c r="E2493" s="33">
        <v>4</v>
      </c>
      <c r="F2493" s="33"/>
      <c r="G2493" s="522"/>
      <c r="H2493" s="707"/>
      <c r="I2493" s="707">
        <f t="shared" si="76"/>
        <v>0</v>
      </c>
      <c r="J2493" s="707">
        <f t="shared" si="77"/>
        <v>0</v>
      </c>
      <c r="K2493" s="70"/>
    </row>
    <row r="2494" spans="1:11" ht="24" customHeight="1">
      <c r="A2494" s="2" t="s">
        <v>1833</v>
      </c>
      <c r="B2494" s="2" t="s">
        <v>1834</v>
      </c>
      <c r="C2494" s="2">
        <v>2</v>
      </c>
      <c r="D2494" s="2" t="s">
        <v>1785</v>
      </c>
      <c r="E2494" s="33">
        <v>2</v>
      </c>
      <c r="F2494" s="33"/>
      <c r="G2494" s="522"/>
      <c r="H2494" s="707"/>
      <c r="I2494" s="707">
        <f t="shared" si="76"/>
        <v>0</v>
      </c>
      <c r="J2494" s="707">
        <f t="shared" si="77"/>
        <v>0</v>
      </c>
      <c r="K2494" s="70"/>
    </row>
    <row r="2495" spans="1:11" ht="24" customHeight="1">
      <c r="A2495" s="65" t="s">
        <v>585</v>
      </c>
      <c r="B2495" s="68" t="s">
        <v>586</v>
      </c>
      <c r="C2495" s="65">
        <v>7</v>
      </c>
      <c r="D2495" s="2" t="s">
        <v>536</v>
      </c>
      <c r="E2495" s="33">
        <v>5</v>
      </c>
      <c r="F2495" s="33"/>
      <c r="G2495" s="522"/>
      <c r="H2495" s="707"/>
      <c r="I2495" s="707">
        <f t="shared" si="76"/>
        <v>0</v>
      </c>
      <c r="J2495" s="707">
        <f t="shared" si="77"/>
        <v>0</v>
      </c>
      <c r="K2495" s="70"/>
    </row>
    <row r="2496" spans="1:11" ht="24" customHeight="1">
      <c r="A2496" s="2" t="s">
        <v>441</v>
      </c>
      <c r="B2496" s="2" t="s">
        <v>442</v>
      </c>
      <c r="C2496" s="2">
        <v>7</v>
      </c>
      <c r="D2496" s="2" t="s">
        <v>274</v>
      </c>
      <c r="E2496" s="33">
        <v>3</v>
      </c>
      <c r="F2496" s="33"/>
      <c r="G2496" s="522"/>
      <c r="H2496" s="707">
        <v>10</v>
      </c>
      <c r="I2496" s="707">
        <f t="shared" si="76"/>
        <v>11.5</v>
      </c>
      <c r="J2496" s="707">
        <f t="shared" si="77"/>
        <v>13</v>
      </c>
      <c r="K2496" s="70"/>
    </row>
    <row r="2497" spans="1:11" ht="24" customHeight="1">
      <c r="A2497" s="74" t="s">
        <v>2454</v>
      </c>
      <c r="B2497" s="74" t="s">
        <v>2455</v>
      </c>
      <c r="C2497" s="74">
        <v>1</v>
      </c>
      <c r="D2497" s="33" t="s">
        <v>2363</v>
      </c>
      <c r="E2497" s="33">
        <v>5</v>
      </c>
      <c r="F2497" s="33"/>
      <c r="G2497" s="522"/>
      <c r="H2497" s="707"/>
      <c r="I2497" s="707">
        <f t="shared" si="76"/>
        <v>0</v>
      </c>
      <c r="J2497" s="707">
        <f t="shared" si="77"/>
        <v>0</v>
      </c>
      <c r="K2497" s="70"/>
    </row>
    <row r="2498" spans="1:11" ht="24" customHeight="1">
      <c r="A2498" s="2" t="s">
        <v>443</v>
      </c>
      <c r="B2498" s="2" t="s">
        <v>23</v>
      </c>
      <c r="C2498" s="2">
        <v>10</v>
      </c>
      <c r="D2498" s="2" t="s">
        <v>274</v>
      </c>
      <c r="E2498" s="33">
        <v>3</v>
      </c>
      <c r="F2498" s="33"/>
      <c r="G2498" s="522"/>
      <c r="H2498" s="707"/>
      <c r="I2498" s="707">
        <f t="shared" si="76"/>
        <v>0</v>
      </c>
      <c r="J2498" s="707">
        <f t="shared" si="77"/>
        <v>0</v>
      </c>
      <c r="K2498" s="70"/>
    </row>
    <row r="2499" spans="1:11" ht="24" customHeight="1">
      <c r="A2499" s="33" t="s">
        <v>3395</v>
      </c>
      <c r="B2499" s="33" t="s">
        <v>27</v>
      </c>
      <c r="C2499" s="33">
        <v>4</v>
      </c>
      <c r="D2499" s="33" t="s">
        <v>3348</v>
      </c>
      <c r="E2499" s="33">
        <v>4</v>
      </c>
      <c r="F2499" s="33"/>
      <c r="G2499" s="522"/>
      <c r="H2499" s="707"/>
      <c r="I2499" s="707">
        <f t="shared" ref="I2499:I2562" si="78">H2499 * 1.15</f>
        <v>0</v>
      </c>
      <c r="J2499" s="707">
        <f t="shared" ref="J2499:J2562" si="79">H2499 * 1.3</f>
        <v>0</v>
      </c>
      <c r="K2499" s="70"/>
    </row>
    <row r="2500" spans="1:11" ht="24" customHeight="1">
      <c r="A2500" s="33" t="s">
        <v>1151</v>
      </c>
      <c r="B2500" s="33" t="s">
        <v>27</v>
      </c>
      <c r="C2500" s="33">
        <v>1</v>
      </c>
      <c r="D2500" s="33" t="s">
        <v>1141</v>
      </c>
      <c r="E2500" s="33">
        <v>1</v>
      </c>
      <c r="F2500" s="33"/>
      <c r="G2500" s="522"/>
      <c r="H2500" s="707"/>
      <c r="I2500" s="707">
        <f t="shared" si="78"/>
        <v>0</v>
      </c>
      <c r="J2500" s="707">
        <f t="shared" si="79"/>
        <v>0</v>
      </c>
      <c r="K2500" s="70"/>
    </row>
    <row r="2501" spans="1:11" ht="24" customHeight="1">
      <c r="A2501" s="33" t="s">
        <v>3351</v>
      </c>
      <c r="B2501" s="33" t="s">
        <v>27</v>
      </c>
      <c r="C2501" s="33">
        <v>1</v>
      </c>
      <c r="D2501" s="33" t="s">
        <v>3348</v>
      </c>
      <c r="E2501" s="33">
        <v>3</v>
      </c>
      <c r="F2501" s="33"/>
      <c r="G2501" s="522"/>
      <c r="H2501" s="707"/>
      <c r="I2501" s="707">
        <f t="shared" si="78"/>
        <v>0</v>
      </c>
      <c r="J2501" s="707">
        <f t="shared" si="79"/>
        <v>0</v>
      </c>
      <c r="K2501" s="70"/>
    </row>
    <row r="2502" spans="1:11" ht="24" customHeight="1">
      <c r="A2502" s="74" t="s">
        <v>3073</v>
      </c>
      <c r="B2502" s="74" t="s">
        <v>21</v>
      </c>
      <c r="C2502" s="74">
        <v>25</v>
      </c>
      <c r="D2502" s="33" t="s">
        <v>3053</v>
      </c>
      <c r="E2502" s="33">
        <v>2</v>
      </c>
      <c r="F2502" s="33"/>
      <c r="G2502" s="522"/>
      <c r="H2502" s="707">
        <v>10</v>
      </c>
      <c r="I2502" s="707">
        <f t="shared" si="78"/>
        <v>11.5</v>
      </c>
      <c r="J2502" s="707">
        <f t="shared" si="79"/>
        <v>13</v>
      </c>
      <c r="K2502" s="70"/>
    </row>
    <row r="2503" spans="1:11" ht="24" customHeight="1">
      <c r="A2503" s="2" t="s">
        <v>3672</v>
      </c>
      <c r="B2503" s="2" t="s">
        <v>34</v>
      </c>
      <c r="C2503" s="2">
        <v>2</v>
      </c>
      <c r="D2503" s="2" t="s">
        <v>3671</v>
      </c>
      <c r="E2503" s="33">
        <v>2</v>
      </c>
      <c r="F2503" s="33"/>
      <c r="G2503" s="522"/>
      <c r="H2503" s="707"/>
      <c r="I2503" s="707">
        <f t="shared" si="78"/>
        <v>0</v>
      </c>
      <c r="J2503" s="707">
        <f t="shared" si="79"/>
        <v>0</v>
      </c>
      <c r="K2503" s="70"/>
    </row>
    <row r="2504" spans="1:11" ht="24" customHeight="1">
      <c r="A2504" s="2" t="s">
        <v>3732</v>
      </c>
      <c r="B2504" s="2" t="s">
        <v>3733</v>
      </c>
      <c r="C2504" s="2">
        <v>6</v>
      </c>
      <c r="D2504" s="2" t="s">
        <v>3705</v>
      </c>
      <c r="E2504" s="33">
        <v>3</v>
      </c>
      <c r="F2504" s="33"/>
      <c r="G2504" s="522"/>
      <c r="H2504" s="707"/>
      <c r="I2504" s="707">
        <f t="shared" si="78"/>
        <v>0</v>
      </c>
      <c r="J2504" s="707">
        <f t="shared" si="79"/>
        <v>0</v>
      </c>
      <c r="K2504" s="55"/>
    </row>
    <row r="2505" spans="1:11" ht="24" customHeight="1">
      <c r="A2505" s="33" t="s">
        <v>407</v>
      </c>
      <c r="B2505" s="33" t="s">
        <v>21</v>
      </c>
      <c r="C2505" s="33">
        <v>24</v>
      </c>
      <c r="D2505" s="2" t="s">
        <v>274</v>
      </c>
      <c r="E2505" s="33">
        <v>2</v>
      </c>
      <c r="F2505" s="33"/>
      <c r="G2505" s="522"/>
      <c r="H2505" s="707">
        <v>4.5</v>
      </c>
      <c r="I2505" s="707">
        <f t="shared" si="78"/>
        <v>5.1749999999999998</v>
      </c>
      <c r="J2505" s="707">
        <f t="shared" si="79"/>
        <v>5.8500000000000005</v>
      </c>
      <c r="K2505" s="70"/>
    </row>
    <row r="2506" spans="1:11" ht="24" customHeight="1">
      <c r="A2506" s="2" t="s">
        <v>501</v>
      </c>
      <c r="B2506" s="2" t="s">
        <v>172</v>
      </c>
      <c r="C2506" s="2">
        <v>21</v>
      </c>
      <c r="D2506" s="2" t="s">
        <v>274</v>
      </c>
      <c r="E2506" s="33">
        <v>3</v>
      </c>
      <c r="F2506" s="33"/>
      <c r="G2506" s="522"/>
      <c r="H2506" s="707"/>
      <c r="I2506" s="707">
        <f t="shared" si="78"/>
        <v>0</v>
      </c>
      <c r="J2506" s="707">
        <f t="shared" si="79"/>
        <v>0</v>
      </c>
      <c r="K2506" s="70"/>
    </row>
    <row r="2507" spans="1:11" ht="24" customHeight="1">
      <c r="A2507" s="74" t="s">
        <v>2079</v>
      </c>
      <c r="B2507" s="74" t="s">
        <v>2080</v>
      </c>
      <c r="C2507" s="74">
        <v>2</v>
      </c>
      <c r="D2507" s="33" t="s">
        <v>2026</v>
      </c>
      <c r="E2507" s="33">
        <v>5</v>
      </c>
      <c r="F2507" s="33"/>
      <c r="G2507" s="522"/>
      <c r="H2507" s="707">
        <v>3</v>
      </c>
      <c r="I2507" s="707">
        <f t="shared" si="78"/>
        <v>3.4499999999999997</v>
      </c>
      <c r="J2507" s="707">
        <f t="shared" si="79"/>
        <v>3.9000000000000004</v>
      </c>
      <c r="K2507" s="70"/>
    </row>
    <row r="2508" spans="1:11" ht="24" customHeight="1">
      <c r="A2508" s="33" t="s">
        <v>370</v>
      </c>
      <c r="B2508" s="33" t="s">
        <v>371</v>
      </c>
      <c r="C2508" s="33">
        <v>10</v>
      </c>
      <c r="D2508" s="2" t="s">
        <v>274</v>
      </c>
      <c r="E2508" s="33">
        <v>1</v>
      </c>
      <c r="F2508" s="33"/>
      <c r="G2508" s="522"/>
      <c r="H2508" s="707"/>
      <c r="I2508" s="707">
        <f t="shared" si="78"/>
        <v>0</v>
      </c>
      <c r="J2508" s="707">
        <f t="shared" si="79"/>
        <v>0</v>
      </c>
      <c r="K2508" s="70"/>
    </row>
    <row r="2509" spans="1:11" ht="24" customHeight="1">
      <c r="A2509" s="33" t="s">
        <v>2177</v>
      </c>
      <c r="B2509" s="33" t="s">
        <v>2178</v>
      </c>
      <c r="C2509" s="33">
        <v>1</v>
      </c>
      <c r="D2509" s="33" t="s">
        <v>2111</v>
      </c>
      <c r="E2509" s="33">
        <v>2</v>
      </c>
      <c r="F2509" s="33"/>
      <c r="G2509" s="522"/>
      <c r="H2509" s="707">
        <v>1400</v>
      </c>
      <c r="I2509" s="707">
        <f t="shared" si="78"/>
        <v>1609.9999999999998</v>
      </c>
      <c r="J2509" s="707">
        <f t="shared" si="79"/>
        <v>1820</v>
      </c>
      <c r="K2509" s="70"/>
    </row>
    <row r="2510" spans="1:11" ht="24" customHeight="1">
      <c r="A2510" s="11" t="s">
        <v>2854</v>
      </c>
      <c r="B2510" s="11" t="s">
        <v>19</v>
      </c>
      <c r="C2510" s="11">
        <v>48</v>
      </c>
      <c r="D2510" s="131" t="s">
        <v>2802</v>
      </c>
      <c r="E2510" s="15">
        <v>3</v>
      </c>
      <c r="F2510" s="15"/>
      <c r="G2510" s="684"/>
      <c r="H2510" s="707">
        <v>150</v>
      </c>
      <c r="I2510" s="707">
        <f t="shared" si="78"/>
        <v>172.5</v>
      </c>
      <c r="J2510" s="707">
        <f t="shared" si="79"/>
        <v>195</v>
      </c>
      <c r="K2510" s="70"/>
    </row>
    <row r="2511" spans="1:11" ht="24" customHeight="1">
      <c r="A2511" s="74" t="s">
        <v>2524</v>
      </c>
      <c r="B2511" s="74" t="s">
        <v>25</v>
      </c>
      <c r="C2511" s="74">
        <v>25</v>
      </c>
      <c r="D2511" s="33" t="s">
        <v>2504</v>
      </c>
      <c r="E2511" s="33">
        <v>5</v>
      </c>
      <c r="F2511" s="33"/>
      <c r="G2511" s="522"/>
      <c r="H2511" s="707">
        <v>2</v>
      </c>
      <c r="I2511" s="707">
        <f t="shared" si="78"/>
        <v>2.2999999999999998</v>
      </c>
      <c r="J2511" s="707">
        <f t="shared" si="79"/>
        <v>2.6</v>
      </c>
      <c r="K2511" s="70"/>
    </row>
    <row r="2512" spans="1:11" ht="24" customHeight="1">
      <c r="A2512" s="74" t="s">
        <v>1307</v>
      </c>
      <c r="B2512" s="74" t="s">
        <v>25</v>
      </c>
      <c r="C2512" s="74">
        <v>241</v>
      </c>
      <c r="D2512" s="33" t="s">
        <v>1201</v>
      </c>
      <c r="E2512" s="33">
        <v>5</v>
      </c>
      <c r="F2512" s="33"/>
      <c r="G2512" s="522"/>
      <c r="H2512" s="707">
        <v>10</v>
      </c>
      <c r="I2512" s="707">
        <f t="shared" si="78"/>
        <v>11.5</v>
      </c>
      <c r="J2512" s="707">
        <f t="shared" si="79"/>
        <v>13</v>
      </c>
      <c r="K2512" s="70"/>
    </row>
    <row r="2513" spans="1:11" ht="24" customHeight="1">
      <c r="A2513" s="33" t="s">
        <v>1307</v>
      </c>
      <c r="B2513" s="71" t="s">
        <v>25</v>
      </c>
      <c r="C2513" s="71">
        <v>13</v>
      </c>
      <c r="D2513" s="33" t="s">
        <v>3053</v>
      </c>
      <c r="E2513" s="71">
        <v>4</v>
      </c>
      <c r="F2513" s="71"/>
      <c r="G2513" s="686"/>
      <c r="H2513" s="707">
        <v>10</v>
      </c>
      <c r="I2513" s="707">
        <f t="shared" si="78"/>
        <v>11.5</v>
      </c>
      <c r="J2513" s="707">
        <f t="shared" si="79"/>
        <v>13</v>
      </c>
      <c r="K2513" s="70"/>
    </row>
    <row r="2514" spans="1:11" ht="24" customHeight="1">
      <c r="A2514" s="33" t="s">
        <v>1613</v>
      </c>
      <c r="B2514" s="33" t="s">
        <v>25</v>
      </c>
      <c r="C2514" s="33">
        <v>7</v>
      </c>
      <c r="D2514" s="33" t="s">
        <v>1548</v>
      </c>
      <c r="E2514" s="33">
        <v>3</v>
      </c>
      <c r="F2514" s="33"/>
      <c r="G2514" s="522"/>
      <c r="H2514" s="707">
        <v>6</v>
      </c>
      <c r="I2514" s="707">
        <f t="shared" si="78"/>
        <v>6.8999999999999995</v>
      </c>
      <c r="J2514" s="707">
        <f t="shared" si="79"/>
        <v>7.8000000000000007</v>
      </c>
      <c r="K2514" s="70"/>
    </row>
    <row r="2515" spans="1:11" ht="24" customHeight="1">
      <c r="A2515" s="74" t="s">
        <v>1312</v>
      </c>
      <c r="B2515" s="74" t="s">
        <v>322</v>
      </c>
      <c r="C2515" s="85">
        <v>1600</v>
      </c>
      <c r="D2515" s="33" t="s">
        <v>1201</v>
      </c>
      <c r="E2515" s="33">
        <v>5</v>
      </c>
      <c r="F2515" s="33"/>
      <c r="G2515" s="522"/>
      <c r="H2515" s="707">
        <v>1</v>
      </c>
      <c r="I2515" s="707">
        <f t="shared" si="78"/>
        <v>1.1499999999999999</v>
      </c>
      <c r="J2515" s="707">
        <f t="shared" si="79"/>
        <v>1.3</v>
      </c>
      <c r="K2515" s="70"/>
    </row>
    <row r="2516" spans="1:11" ht="24" customHeight="1">
      <c r="A2516" s="11" t="s">
        <v>2722</v>
      </c>
      <c r="B2516" s="11" t="s">
        <v>25</v>
      </c>
      <c r="C2516" s="11">
        <v>589</v>
      </c>
      <c r="D2516" s="131" t="s">
        <v>2716</v>
      </c>
      <c r="E2516" s="15">
        <v>3</v>
      </c>
      <c r="F2516" s="15"/>
      <c r="G2516" s="684"/>
      <c r="H2516" s="707">
        <v>3</v>
      </c>
      <c r="I2516" s="707">
        <f t="shared" si="78"/>
        <v>3.4499999999999997</v>
      </c>
      <c r="J2516" s="707">
        <f t="shared" si="79"/>
        <v>3.9000000000000004</v>
      </c>
      <c r="K2516" s="70"/>
    </row>
    <row r="2517" spans="1:11" ht="24" customHeight="1">
      <c r="A2517" s="74" t="s">
        <v>1450</v>
      </c>
      <c r="B2517" s="74" t="s">
        <v>1451</v>
      </c>
      <c r="C2517" s="74">
        <v>1</v>
      </c>
      <c r="D2517" s="33" t="s">
        <v>1372</v>
      </c>
      <c r="E2517" s="33">
        <v>5</v>
      </c>
      <c r="F2517" s="33"/>
      <c r="G2517" s="522"/>
      <c r="H2517" s="707"/>
      <c r="I2517" s="707">
        <f t="shared" si="78"/>
        <v>0</v>
      </c>
      <c r="J2517" s="707">
        <f t="shared" si="79"/>
        <v>0</v>
      </c>
      <c r="K2517" s="70"/>
    </row>
    <row r="2518" spans="1:11" ht="24" customHeight="1">
      <c r="A2518" s="2" t="s">
        <v>578</v>
      </c>
      <c r="B2518" s="2" t="s">
        <v>579</v>
      </c>
      <c r="C2518" s="2">
        <v>1</v>
      </c>
      <c r="D2518" s="2" t="s">
        <v>536</v>
      </c>
      <c r="E2518" s="33">
        <v>5</v>
      </c>
      <c r="F2518" s="33"/>
      <c r="G2518" s="522"/>
      <c r="H2518" s="707"/>
      <c r="I2518" s="707">
        <f t="shared" si="78"/>
        <v>0</v>
      </c>
      <c r="J2518" s="707">
        <f t="shared" si="79"/>
        <v>0</v>
      </c>
      <c r="K2518" s="70"/>
    </row>
    <row r="2519" spans="1:11" ht="24" customHeight="1">
      <c r="A2519" s="399" t="s">
        <v>1921</v>
      </c>
      <c r="B2519" s="399" t="s">
        <v>1922</v>
      </c>
      <c r="C2519" s="399">
        <v>1</v>
      </c>
      <c r="D2519" s="400" t="s">
        <v>1898</v>
      </c>
      <c r="E2519" s="400">
        <v>4</v>
      </c>
      <c r="F2519" s="400" t="s">
        <v>1012</v>
      </c>
      <c r="G2519" s="690"/>
      <c r="H2519" s="713"/>
      <c r="I2519" s="713">
        <f t="shared" si="78"/>
        <v>0</v>
      </c>
      <c r="J2519" s="713">
        <f t="shared" si="79"/>
        <v>0</v>
      </c>
      <c r="K2519" s="401"/>
    </row>
    <row r="2520" spans="1:11" ht="24" customHeight="1">
      <c r="A2520" s="33" t="s">
        <v>92</v>
      </c>
      <c r="B2520" s="33" t="s">
        <v>21</v>
      </c>
      <c r="C2520" s="33">
        <v>20</v>
      </c>
      <c r="D2520" s="2" t="s">
        <v>11</v>
      </c>
      <c r="E2520" s="33">
        <v>1</v>
      </c>
      <c r="F2520" s="33"/>
      <c r="G2520" s="522"/>
      <c r="H2520" s="707"/>
      <c r="I2520" s="707">
        <f t="shared" si="78"/>
        <v>0</v>
      </c>
      <c r="J2520" s="707">
        <f t="shared" si="79"/>
        <v>0</v>
      </c>
      <c r="K2520" s="70"/>
    </row>
    <row r="2521" spans="1:11" ht="24" customHeight="1">
      <c r="A2521" s="33" t="s">
        <v>1773</v>
      </c>
      <c r="B2521" s="33" t="s">
        <v>1774</v>
      </c>
      <c r="C2521" s="33">
        <v>20</v>
      </c>
      <c r="D2521" s="58" t="s">
        <v>1775</v>
      </c>
      <c r="E2521" s="33">
        <v>4</v>
      </c>
      <c r="F2521" s="33"/>
      <c r="G2521" s="522"/>
      <c r="H2521" s="707"/>
      <c r="I2521" s="707">
        <f t="shared" si="78"/>
        <v>0</v>
      </c>
      <c r="J2521" s="707">
        <f t="shared" si="79"/>
        <v>0</v>
      </c>
      <c r="K2521" s="70"/>
    </row>
    <row r="2522" spans="1:11" ht="24" customHeight="1">
      <c r="A2522" s="33" t="s">
        <v>1022</v>
      </c>
      <c r="B2522" s="33" t="s">
        <v>485</v>
      </c>
      <c r="C2522" s="33">
        <v>6</v>
      </c>
      <c r="D2522" s="33" t="s">
        <v>992</v>
      </c>
      <c r="E2522" s="33">
        <v>3</v>
      </c>
      <c r="F2522" s="33"/>
      <c r="G2522" s="522"/>
      <c r="H2522" s="707"/>
      <c r="I2522" s="707">
        <f t="shared" si="78"/>
        <v>0</v>
      </c>
      <c r="J2522" s="707">
        <f t="shared" si="79"/>
        <v>0</v>
      </c>
      <c r="K2522" s="70"/>
    </row>
    <row r="2523" spans="1:11" ht="24" customHeight="1">
      <c r="A2523" s="2" t="s">
        <v>689</v>
      </c>
      <c r="B2523" s="2" t="s">
        <v>690</v>
      </c>
      <c r="C2523" s="2">
        <v>2</v>
      </c>
      <c r="D2523" s="2" t="s">
        <v>593</v>
      </c>
      <c r="E2523" s="33">
        <v>2</v>
      </c>
      <c r="F2523" s="33"/>
      <c r="G2523" s="522"/>
      <c r="H2523" s="707"/>
      <c r="I2523" s="707">
        <f t="shared" si="78"/>
        <v>0</v>
      </c>
      <c r="J2523" s="707">
        <f t="shared" si="79"/>
        <v>0</v>
      </c>
      <c r="K2523" s="70"/>
    </row>
    <row r="2524" spans="1:11" ht="24" customHeight="1">
      <c r="A2524" s="33" t="s">
        <v>1369</v>
      </c>
      <c r="B2524" s="33" t="s">
        <v>23</v>
      </c>
      <c r="C2524" s="33">
        <v>2</v>
      </c>
      <c r="D2524" s="33" t="s">
        <v>1325</v>
      </c>
      <c r="E2524" s="33">
        <v>2</v>
      </c>
      <c r="F2524" s="33"/>
      <c r="G2524" s="522"/>
      <c r="H2524" s="707"/>
      <c r="I2524" s="707">
        <f t="shared" si="78"/>
        <v>0</v>
      </c>
      <c r="J2524" s="707">
        <f t="shared" si="79"/>
        <v>0</v>
      </c>
      <c r="K2524" s="70"/>
    </row>
    <row r="2525" spans="1:11" ht="24" customHeight="1">
      <c r="A2525" s="33" t="s">
        <v>1886</v>
      </c>
      <c r="B2525" s="33" t="s">
        <v>1887</v>
      </c>
      <c r="C2525" s="33">
        <v>16</v>
      </c>
      <c r="D2525" s="2" t="s">
        <v>1785</v>
      </c>
      <c r="E2525" s="33">
        <v>3</v>
      </c>
      <c r="F2525" s="33"/>
      <c r="G2525" s="522"/>
      <c r="H2525" s="707"/>
      <c r="I2525" s="707">
        <f t="shared" si="78"/>
        <v>0</v>
      </c>
      <c r="J2525" s="707">
        <f t="shared" si="79"/>
        <v>0</v>
      </c>
      <c r="K2525" s="70"/>
    </row>
    <row r="2526" spans="1:11" ht="24" customHeight="1">
      <c r="A2526" s="92" t="s">
        <v>644</v>
      </c>
      <c r="B2526" s="33" t="s">
        <v>267</v>
      </c>
      <c r="C2526" s="33">
        <v>63</v>
      </c>
      <c r="D2526" s="2" t="s">
        <v>593</v>
      </c>
      <c r="E2526" s="33">
        <v>1</v>
      </c>
      <c r="F2526" s="33"/>
      <c r="G2526" s="522"/>
      <c r="H2526" s="707">
        <v>4</v>
      </c>
      <c r="I2526" s="707">
        <f t="shared" si="78"/>
        <v>4.5999999999999996</v>
      </c>
      <c r="J2526" s="707">
        <f t="shared" si="79"/>
        <v>5.2</v>
      </c>
      <c r="K2526" s="70"/>
    </row>
    <row r="2527" spans="1:11" ht="24" customHeight="1">
      <c r="A2527" s="33" t="s">
        <v>1129</v>
      </c>
      <c r="B2527" s="33" t="s">
        <v>267</v>
      </c>
      <c r="C2527" s="33">
        <v>4</v>
      </c>
      <c r="D2527" s="33" t="s">
        <v>992</v>
      </c>
      <c r="E2527" s="33">
        <v>5</v>
      </c>
      <c r="F2527" s="33"/>
      <c r="G2527" s="522"/>
      <c r="H2527" s="707">
        <v>1</v>
      </c>
      <c r="I2527" s="707">
        <f t="shared" si="78"/>
        <v>1.1499999999999999</v>
      </c>
      <c r="J2527" s="707">
        <f t="shared" si="79"/>
        <v>1.3</v>
      </c>
      <c r="K2527" s="70"/>
    </row>
    <row r="2528" spans="1:11" ht="24" customHeight="1">
      <c r="A2528" s="33" t="s">
        <v>907</v>
      </c>
      <c r="B2528" s="33" t="s">
        <v>23</v>
      </c>
      <c r="C2528" s="33">
        <v>13</v>
      </c>
      <c r="D2528" s="2" t="s">
        <v>888</v>
      </c>
      <c r="E2528" s="33">
        <v>5</v>
      </c>
      <c r="F2528" s="33"/>
      <c r="G2528" s="522"/>
      <c r="H2528" s="707"/>
      <c r="I2528" s="707">
        <f t="shared" si="78"/>
        <v>0</v>
      </c>
      <c r="J2528" s="707">
        <f t="shared" si="79"/>
        <v>0</v>
      </c>
      <c r="K2528" s="70"/>
    </row>
    <row r="2529" spans="1:11" ht="24" customHeight="1">
      <c r="A2529" s="33" t="s">
        <v>467</v>
      </c>
      <c r="B2529" s="33" t="s">
        <v>27</v>
      </c>
      <c r="C2529" s="33">
        <v>10</v>
      </c>
      <c r="D2529" s="2" t="s">
        <v>274</v>
      </c>
      <c r="E2529" s="33">
        <v>3</v>
      </c>
      <c r="F2529" s="33"/>
      <c r="G2529" s="522"/>
      <c r="H2529" s="707">
        <v>5</v>
      </c>
      <c r="I2529" s="707">
        <f t="shared" si="78"/>
        <v>5.75</v>
      </c>
      <c r="J2529" s="707">
        <f t="shared" si="79"/>
        <v>6.5</v>
      </c>
      <c r="K2529" s="70"/>
    </row>
    <row r="2530" spans="1:11" ht="24" customHeight="1">
      <c r="A2530" s="2" t="s">
        <v>853</v>
      </c>
      <c r="B2530" s="2" t="s">
        <v>27</v>
      </c>
      <c r="C2530" s="2">
        <v>25</v>
      </c>
      <c r="D2530" s="2" t="s">
        <v>593</v>
      </c>
      <c r="E2530" s="33">
        <v>3</v>
      </c>
      <c r="F2530" s="33"/>
      <c r="G2530" s="522"/>
      <c r="H2530" s="707"/>
      <c r="I2530" s="707">
        <f t="shared" si="78"/>
        <v>0</v>
      </c>
      <c r="J2530" s="707">
        <f t="shared" si="79"/>
        <v>0</v>
      </c>
      <c r="K2530" s="70"/>
    </row>
    <row r="2531" spans="1:11" ht="24" customHeight="1">
      <c r="A2531" s="33" t="s">
        <v>1279</v>
      </c>
      <c r="B2531" s="33" t="s">
        <v>23</v>
      </c>
      <c r="C2531" s="33">
        <v>23</v>
      </c>
      <c r="D2531" s="33" t="s">
        <v>1201</v>
      </c>
      <c r="E2531" s="33">
        <v>4</v>
      </c>
      <c r="F2531" s="33"/>
      <c r="G2531" s="522"/>
      <c r="H2531" s="707">
        <v>30</v>
      </c>
      <c r="I2531" s="707">
        <f t="shared" si="78"/>
        <v>34.5</v>
      </c>
      <c r="J2531" s="707">
        <f t="shared" si="79"/>
        <v>39</v>
      </c>
      <c r="K2531" s="70"/>
    </row>
    <row r="2532" spans="1:11" ht="24" customHeight="1">
      <c r="A2532" s="2" t="s">
        <v>651</v>
      </c>
      <c r="B2532" s="2" t="s">
        <v>27</v>
      </c>
      <c r="C2532" s="2">
        <v>45</v>
      </c>
      <c r="D2532" s="2" t="s">
        <v>593</v>
      </c>
      <c r="E2532" s="33">
        <v>1</v>
      </c>
      <c r="F2532" s="33"/>
      <c r="G2532" s="522"/>
      <c r="H2532" s="707">
        <v>5</v>
      </c>
      <c r="I2532" s="707">
        <f t="shared" si="78"/>
        <v>5.75</v>
      </c>
      <c r="J2532" s="707">
        <f t="shared" si="79"/>
        <v>6.5</v>
      </c>
      <c r="K2532" s="70"/>
    </row>
    <row r="2533" spans="1:11" ht="24" customHeight="1">
      <c r="A2533" s="33" t="s">
        <v>1892</v>
      </c>
      <c r="B2533" s="33" t="s">
        <v>773</v>
      </c>
      <c r="C2533" s="33">
        <v>30</v>
      </c>
      <c r="D2533" s="2" t="s">
        <v>1785</v>
      </c>
      <c r="E2533" s="33">
        <v>3</v>
      </c>
      <c r="F2533" s="33"/>
      <c r="G2533" s="522"/>
      <c r="H2533" s="707"/>
      <c r="I2533" s="707">
        <f t="shared" si="78"/>
        <v>0</v>
      </c>
      <c r="J2533" s="707">
        <f t="shared" si="79"/>
        <v>0</v>
      </c>
      <c r="K2533" s="70"/>
    </row>
    <row r="2534" spans="1:11" ht="24" customHeight="1">
      <c r="A2534" s="17" t="s">
        <v>2896</v>
      </c>
      <c r="B2534" s="17" t="s">
        <v>23</v>
      </c>
      <c r="C2534" s="17">
        <v>30</v>
      </c>
      <c r="D2534" s="131" t="s">
        <v>2882</v>
      </c>
      <c r="E2534" s="15">
        <v>1</v>
      </c>
      <c r="F2534" s="15"/>
      <c r="G2534" s="684"/>
      <c r="H2534" s="707"/>
      <c r="I2534" s="707">
        <f t="shared" si="78"/>
        <v>0</v>
      </c>
      <c r="J2534" s="707">
        <f t="shared" si="79"/>
        <v>0</v>
      </c>
      <c r="K2534" s="70"/>
    </row>
    <row r="2535" spans="1:11" ht="24" customHeight="1">
      <c r="A2535" s="2" t="s">
        <v>1796</v>
      </c>
      <c r="B2535" s="2" t="s">
        <v>23</v>
      </c>
      <c r="C2535" s="2">
        <v>15</v>
      </c>
      <c r="D2535" s="2" t="s">
        <v>1785</v>
      </c>
      <c r="E2535" s="33">
        <v>1</v>
      </c>
      <c r="F2535" s="33"/>
      <c r="G2535" s="522"/>
      <c r="H2535" s="707"/>
      <c r="I2535" s="707">
        <f t="shared" si="78"/>
        <v>0</v>
      </c>
      <c r="J2535" s="707">
        <f t="shared" si="79"/>
        <v>0</v>
      </c>
      <c r="K2535" s="70"/>
    </row>
    <row r="2536" spans="1:11" ht="24" customHeight="1">
      <c r="A2536" s="33" t="s">
        <v>1048</v>
      </c>
      <c r="B2536" s="33" t="s">
        <v>23</v>
      </c>
      <c r="C2536" s="33">
        <v>8</v>
      </c>
      <c r="D2536" s="33" t="s">
        <v>992</v>
      </c>
      <c r="E2536" s="33">
        <v>4</v>
      </c>
      <c r="F2536" s="33"/>
      <c r="G2536" s="522"/>
      <c r="H2536" s="707"/>
      <c r="I2536" s="707">
        <f t="shared" si="78"/>
        <v>0</v>
      </c>
      <c r="J2536" s="707">
        <f t="shared" si="79"/>
        <v>0</v>
      </c>
      <c r="K2536" s="70"/>
    </row>
    <row r="2537" spans="1:11" ht="24" customHeight="1">
      <c r="A2537" s="33" t="s">
        <v>1350</v>
      </c>
      <c r="B2537" s="33" t="s">
        <v>23</v>
      </c>
      <c r="C2537" s="33">
        <v>2</v>
      </c>
      <c r="D2537" s="33" t="s">
        <v>1325</v>
      </c>
      <c r="E2537" s="33">
        <v>1</v>
      </c>
      <c r="F2537" s="33"/>
      <c r="G2537" s="522"/>
      <c r="H2537" s="707"/>
      <c r="I2537" s="707">
        <f t="shared" si="78"/>
        <v>0</v>
      </c>
      <c r="J2537" s="707">
        <f t="shared" si="79"/>
        <v>0</v>
      </c>
      <c r="K2537" s="70"/>
    </row>
    <row r="2538" spans="1:11" ht="24" customHeight="1">
      <c r="A2538" s="33" t="s">
        <v>1893</v>
      </c>
      <c r="B2538" s="33" t="s">
        <v>773</v>
      </c>
      <c r="C2538" s="33">
        <v>60</v>
      </c>
      <c r="D2538" s="2" t="s">
        <v>1785</v>
      </c>
      <c r="E2538" s="33">
        <v>3</v>
      </c>
      <c r="F2538" s="33"/>
      <c r="G2538" s="522"/>
      <c r="H2538" s="707"/>
      <c r="I2538" s="707">
        <f t="shared" si="78"/>
        <v>0</v>
      </c>
      <c r="J2538" s="707">
        <f t="shared" si="79"/>
        <v>0</v>
      </c>
      <c r="K2538" s="70"/>
    </row>
    <row r="2539" spans="1:11" ht="24" customHeight="1">
      <c r="A2539" s="17" t="s">
        <v>2897</v>
      </c>
      <c r="B2539" s="17" t="s">
        <v>2898</v>
      </c>
      <c r="C2539" s="17">
        <v>292</v>
      </c>
      <c r="D2539" s="131" t="s">
        <v>2882</v>
      </c>
      <c r="E2539" s="15">
        <v>1</v>
      </c>
      <c r="F2539" s="15"/>
      <c r="G2539" s="684"/>
      <c r="H2539" s="707"/>
      <c r="I2539" s="707">
        <f t="shared" si="78"/>
        <v>0</v>
      </c>
      <c r="J2539" s="707">
        <f t="shared" si="79"/>
        <v>0</v>
      </c>
      <c r="K2539" s="70"/>
    </row>
    <row r="2540" spans="1:11" ht="24" customHeight="1">
      <c r="A2540" s="74" t="s">
        <v>1317</v>
      </c>
      <c r="B2540" s="74" t="s">
        <v>267</v>
      </c>
      <c r="C2540" s="74">
        <v>25</v>
      </c>
      <c r="D2540" s="33" t="s">
        <v>1201</v>
      </c>
      <c r="E2540" s="33">
        <v>5</v>
      </c>
      <c r="F2540" s="33"/>
      <c r="G2540" s="522"/>
      <c r="H2540" s="707">
        <v>10</v>
      </c>
      <c r="I2540" s="707">
        <f t="shared" si="78"/>
        <v>11.5</v>
      </c>
      <c r="J2540" s="707">
        <f t="shared" si="79"/>
        <v>13</v>
      </c>
      <c r="K2540" s="70"/>
    </row>
    <row r="2541" spans="1:11" ht="24" customHeight="1">
      <c r="A2541" s="33" t="s">
        <v>3194</v>
      </c>
      <c r="B2541" s="71" t="s">
        <v>23</v>
      </c>
      <c r="C2541" s="71">
        <v>27</v>
      </c>
      <c r="D2541" s="33" t="s">
        <v>3053</v>
      </c>
      <c r="E2541" s="71">
        <v>4</v>
      </c>
      <c r="F2541" s="71"/>
      <c r="G2541" s="686"/>
      <c r="H2541" s="707"/>
      <c r="I2541" s="707">
        <f t="shared" si="78"/>
        <v>0</v>
      </c>
      <c r="J2541" s="707">
        <f t="shared" si="79"/>
        <v>0</v>
      </c>
      <c r="K2541" s="70"/>
    </row>
    <row r="2542" spans="1:11" ht="24" customHeight="1">
      <c r="A2542" s="33" t="s">
        <v>1272</v>
      </c>
      <c r="B2542" s="33" t="s">
        <v>1143</v>
      </c>
      <c r="C2542" s="33">
        <v>16</v>
      </c>
      <c r="D2542" s="33" t="s">
        <v>1201</v>
      </c>
      <c r="E2542" s="33">
        <v>4</v>
      </c>
      <c r="F2542" s="33"/>
      <c r="G2542" s="522"/>
      <c r="H2542" s="707"/>
      <c r="I2542" s="707">
        <f t="shared" si="78"/>
        <v>0</v>
      </c>
      <c r="J2542" s="707">
        <f t="shared" si="79"/>
        <v>0</v>
      </c>
      <c r="K2542" s="70"/>
    </row>
    <row r="2543" spans="1:11" ht="24" customHeight="1">
      <c r="A2543" s="33" t="s">
        <v>1585</v>
      </c>
      <c r="B2543" s="33" t="s">
        <v>23</v>
      </c>
      <c r="C2543" s="33">
        <v>2</v>
      </c>
      <c r="D2543" s="33" t="s">
        <v>1548</v>
      </c>
      <c r="E2543" s="33">
        <v>3</v>
      </c>
      <c r="F2543" s="33"/>
      <c r="G2543" s="522"/>
      <c r="H2543" s="707"/>
      <c r="I2543" s="707">
        <f t="shared" si="78"/>
        <v>0</v>
      </c>
      <c r="J2543" s="707">
        <f t="shared" si="79"/>
        <v>0</v>
      </c>
      <c r="K2543" s="70"/>
    </row>
    <row r="2544" spans="1:11" ht="24" customHeight="1">
      <c r="A2544" s="33" t="s">
        <v>1567</v>
      </c>
      <c r="B2544" s="33" t="s">
        <v>23</v>
      </c>
      <c r="C2544" s="33">
        <v>1</v>
      </c>
      <c r="D2544" s="33" t="s">
        <v>1548</v>
      </c>
      <c r="E2544" s="33">
        <v>3</v>
      </c>
      <c r="F2544" s="33"/>
      <c r="G2544" s="522"/>
      <c r="H2544" s="707"/>
      <c r="I2544" s="707">
        <f t="shared" si="78"/>
        <v>0</v>
      </c>
      <c r="J2544" s="707">
        <f t="shared" si="79"/>
        <v>0</v>
      </c>
      <c r="K2544" s="70"/>
    </row>
    <row r="2545" spans="1:11" ht="24" customHeight="1">
      <c r="A2545" s="33" t="s">
        <v>1568</v>
      </c>
      <c r="B2545" s="33" t="s">
        <v>23</v>
      </c>
      <c r="C2545" s="33">
        <v>1</v>
      </c>
      <c r="D2545" s="33" t="s">
        <v>1548</v>
      </c>
      <c r="E2545" s="33">
        <v>3</v>
      </c>
      <c r="F2545" s="33"/>
      <c r="G2545" s="522"/>
      <c r="H2545" s="707"/>
      <c r="I2545" s="707">
        <f t="shared" si="78"/>
        <v>0</v>
      </c>
      <c r="J2545" s="707">
        <f t="shared" si="79"/>
        <v>0</v>
      </c>
      <c r="K2545" s="70"/>
    </row>
    <row r="2546" spans="1:11" ht="24" customHeight="1">
      <c r="A2546" s="33" t="s">
        <v>1573</v>
      </c>
      <c r="B2546" s="33" t="s">
        <v>23</v>
      </c>
      <c r="C2546" s="33">
        <v>3</v>
      </c>
      <c r="D2546" s="33" t="s">
        <v>1548</v>
      </c>
      <c r="E2546" s="33">
        <v>3</v>
      </c>
      <c r="F2546" s="33"/>
      <c r="G2546" s="522"/>
      <c r="H2546" s="707"/>
      <c r="I2546" s="707">
        <f t="shared" si="78"/>
        <v>0</v>
      </c>
      <c r="J2546" s="707">
        <f t="shared" si="79"/>
        <v>0</v>
      </c>
      <c r="K2546" s="70"/>
    </row>
    <row r="2547" spans="1:11" ht="24" customHeight="1">
      <c r="A2547" s="33" t="s">
        <v>1564</v>
      </c>
      <c r="B2547" s="33" t="s">
        <v>23</v>
      </c>
      <c r="C2547" s="33">
        <v>5</v>
      </c>
      <c r="D2547" s="33" t="s">
        <v>1548</v>
      </c>
      <c r="E2547" s="33">
        <v>3</v>
      </c>
      <c r="F2547" s="33"/>
      <c r="G2547" s="522"/>
      <c r="H2547" s="707">
        <v>8</v>
      </c>
      <c r="I2547" s="707">
        <f t="shared" si="78"/>
        <v>9.1999999999999993</v>
      </c>
      <c r="J2547" s="707">
        <f t="shared" si="79"/>
        <v>10.4</v>
      </c>
      <c r="K2547" s="70"/>
    </row>
    <row r="2548" spans="1:11" ht="24" customHeight="1">
      <c r="A2548" s="33" t="s">
        <v>1575</v>
      </c>
      <c r="B2548" s="33" t="s">
        <v>23</v>
      </c>
      <c r="C2548" s="33">
        <v>2</v>
      </c>
      <c r="D2548" s="33" t="s">
        <v>1548</v>
      </c>
      <c r="E2548" s="33">
        <v>3</v>
      </c>
      <c r="F2548" s="33"/>
      <c r="G2548" s="522"/>
      <c r="H2548" s="707"/>
      <c r="I2548" s="707">
        <f t="shared" si="78"/>
        <v>0</v>
      </c>
      <c r="J2548" s="707">
        <f t="shared" si="79"/>
        <v>0</v>
      </c>
      <c r="K2548" s="70"/>
    </row>
    <row r="2549" spans="1:11" ht="24" customHeight="1">
      <c r="A2549" s="33" t="s">
        <v>1586</v>
      </c>
      <c r="B2549" s="33" t="s">
        <v>23</v>
      </c>
      <c r="C2549" s="33">
        <v>1</v>
      </c>
      <c r="D2549" s="33" t="s">
        <v>1548</v>
      </c>
      <c r="E2549" s="33">
        <v>3</v>
      </c>
      <c r="F2549" s="33"/>
      <c r="G2549" s="522"/>
      <c r="H2549" s="707"/>
      <c r="I2549" s="707">
        <f t="shared" si="78"/>
        <v>0</v>
      </c>
      <c r="J2549" s="707">
        <f t="shared" si="79"/>
        <v>0</v>
      </c>
      <c r="K2549" s="70"/>
    </row>
    <row r="2550" spans="1:11" ht="24" customHeight="1">
      <c r="A2550" s="33" t="s">
        <v>1142</v>
      </c>
      <c r="B2550" s="33" t="s">
        <v>1143</v>
      </c>
      <c r="C2550" s="33">
        <v>5</v>
      </c>
      <c r="D2550" s="33" t="s">
        <v>1141</v>
      </c>
      <c r="E2550" s="33">
        <v>1</v>
      </c>
      <c r="F2550" s="33"/>
      <c r="G2550" s="522"/>
      <c r="H2550" s="707"/>
      <c r="I2550" s="707">
        <f t="shared" si="78"/>
        <v>0</v>
      </c>
      <c r="J2550" s="707">
        <f t="shared" si="79"/>
        <v>0</v>
      </c>
      <c r="K2550" s="70"/>
    </row>
    <row r="2551" spans="1:11" ht="24" customHeight="1">
      <c r="A2551" s="33" t="s">
        <v>1034</v>
      </c>
      <c r="B2551" s="33" t="s">
        <v>1035</v>
      </c>
      <c r="C2551" s="33">
        <v>10</v>
      </c>
      <c r="D2551" s="33" t="s">
        <v>992</v>
      </c>
      <c r="E2551" s="33">
        <v>3</v>
      </c>
      <c r="F2551" s="33"/>
      <c r="G2551" s="522"/>
      <c r="H2551" s="707"/>
      <c r="I2551" s="707">
        <f t="shared" si="78"/>
        <v>0</v>
      </c>
      <c r="J2551" s="707">
        <f t="shared" si="79"/>
        <v>0</v>
      </c>
      <c r="K2551" s="70"/>
    </row>
    <row r="2552" spans="1:11" ht="24" customHeight="1">
      <c r="A2552" s="33" t="s">
        <v>1235</v>
      </c>
      <c r="B2552" s="33" t="s">
        <v>1035</v>
      </c>
      <c r="C2552" s="33">
        <v>20</v>
      </c>
      <c r="D2552" s="33" t="s">
        <v>1201</v>
      </c>
      <c r="E2552" s="33">
        <v>3</v>
      </c>
      <c r="F2552" s="33"/>
      <c r="G2552" s="522"/>
      <c r="H2552" s="707"/>
      <c r="I2552" s="707">
        <f t="shared" si="78"/>
        <v>0</v>
      </c>
      <c r="J2552" s="707">
        <f t="shared" si="79"/>
        <v>0</v>
      </c>
      <c r="K2552" s="70"/>
    </row>
    <row r="2553" spans="1:11" ht="24" customHeight="1">
      <c r="A2553" s="33" t="s">
        <v>3364</v>
      </c>
      <c r="B2553" s="33" t="s">
        <v>3365</v>
      </c>
      <c r="C2553" s="33">
        <v>41</v>
      </c>
      <c r="D2553" s="33" t="s">
        <v>3348</v>
      </c>
      <c r="E2553" s="33">
        <v>3</v>
      </c>
      <c r="F2553" s="33"/>
      <c r="G2553" s="522"/>
      <c r="H2553" s="707"/>
      <c r="I2553" s="707">
        <f t="shared" si="78"/>
        <v>0</v>
      </c>
      <c r="J2553" s="707">
        <f t="shared" si="79"/>
        <v>0</v>
      </c>
      <c r="K2553" s="70"/>
    </row>
    <row r="2554" spans="1:11" ht="24" customHeight="1">
      <c r="A2554" s="11" t="s">
        <v>3488</v>
      </c>
      <c r="B2554" s="11" t="s">
        <v>3489</v>
      </c>
      <c r="C2554" s="11">
        <v>2</v>
      </c>
      <c r="D2554" s="131" t="s">
        <v>3451</v>
      </c>
      <c r="E2554" s="15">
        <v>3</v>
      </c>
      <c r="F2554" s="15"/>
      <c r="G2554" s="684"/>
      <c r="H2554" s="707"/>
      <c r="I2554" s="707">
        <f t="shared" si="78"/>
        <v>0</v>
      </c>
      <c r="J2554" s="707">
        <f t="shared" si="79"/>
        <v>0</v>
      </c>
      <c r="K2554" s="70"/>
    </row>
    <row r="2555" spans="1:11" ht="24" customHeight="1">
      <c r="A2555" s="11" t="s">
        <v>3464</v>
      </c>
      <c r="B2555" s="11" t="s">
        <v>3465</v>
      </c>
      <c r="C2555" s="11">
        <v>2</v>
      </c>
      <c r="D2555" s="131" t="s">
        <v>3451</v>
      </c>
      <c r="E2555" s="15">
        <v>2</v>
      </c>
      <c r="F2555" s="15"/>
      <c r="G2555" s="684"/>
      <c r="H2555" s="707"/>
      <c r="I2555" s="707">
        <f t="shared" si="78"/>
        <v>0</v>
      </c>
      <c r="J2555" s="707">
        <f t="shared" si="79"/>
        <v>0</v>
      </c>
      <c r="K2555" s="70"/>
    </row>
    <row r="2556" spans="1:11" ht="24" customHeight="1">
      <c r="A2556" s="11" t="s">
        <v>3125</v>
      </c>
      <c r="B2556" s="34" t="s">
        <v>3126</v>
      </c>
      <c r="C2556" s="11">
        <v>14</v>
      </c>
      <c r="D2556" s="33" t="s">
        <v>3053</v>
      </c>
      <c r="E2556" s="33">
        <v>3</v>
      </c>
      <c r="F2556" s="33"/>
      <c r="G2556" s="522"/>
      <c r="H2556" s="707"/>
      <c r="I2556" s="707">
        <f t="shared" si="78"/>
        <v>0</v>
      </c>
      <c r="J2556" s="707">
        <f t="shared" si="79"/>
        <v>0</v>
      </c>
      <c r="K2556" s="70"/>
    </row>
    <row r="2557" spans="1:11" ht="24" customHeight="1">
      <c r="A2557" s="33" t="s">
        <v>957</v>
      </c>
      <c r="B2557" s="33" t="s">
        <v>958</v>
      </c>
      <c r="C2557" s="33">
        <v>1</v>
      </c>
      <c r="D2557" s="33" t="s">
        <v>910</v>
      </c>
      <c r="E2557" s="33">
        <v>2</v>
      </c>
      <c r="F2557" s="33"/>
      <c r="G2557" s="522"/>
      <c r="H2557" s="707"/>
      <c r="I2557" s="707">
        <f t="shared" si="78"/>
        <v>0</v>
      </c>
      <c r="J2557" s="707">
        <f t="shared" si="79"/>
        <v>0</v>
      </c>
      <c r="K2557" s="70"/>
    </row>
    <row r="2558" spans="1:11" ht="24" customHeight="1">
      <c r="A2558" s="33" t="s">
        <v>2629</v>
      </c>
      <c r="B2558" s="33" t="s">
        <v>10</v>
      </c>
      <c r="C2558" s="33">
        <v>66</v>
      </c>
      <c r="D2558" s="33" t="s">
        <v>2624</v>
      </c>
      <c r="E2558" s="33">
        <v>3</v>
      </c>
      <c r="F2558" s="33"/>
      <c r="G2558" s="522"/>
      <c r="H2558" s="707"/>
      <c r="I2558" s="707">
        <f t="shared" si="78"/>
        <v>0</v>
      </c>
      <c r="J2558" s="707">
        <f t="shared" si="79"/>
        <v>0</v>
      </c>
      <c r="K2558" s="70"/>
    </row>
    <row r="2559" spans="1:11" ht="24" customHeight="1">
      <c r="A2559" s="33" t="s">
        <v>868</v>
      </c>
      <c r="B2559" s="33" t="s">
        <v>23</v>
      </c>
      <c r="C2559" s="33">
        <v>11</v>
      </c>
      <c r="D2559" s="2" t="s">
        <v>593</v>
      </c>
      <c r="E2559" s="33">
        <v>3</v>
      </c>
      <c r="F2559" s="33"/>
      <c r="G2559" s="522"/>
      <c r="H2559" s="707"/>
      <c r="I2559" s="707">
        <f t="shared" si="78"/>
        <v>0</v>
      </c>
      <c r="J2559" s="707">
        <f t="shared" si="79"/>
        <v>0</v>
      </c>
      <c r="K2559" s="70"/>
    </row>
    <row r="2560" spans="1:11" ht="24" customHeight="1">
      <c r="A2560" s="33" t="s">
        <v>3303</v>
      </c>
      <c r="B2560" s="33" t="s">
        <v>27</v>
      </c>
      <c r="C2560" s="33">
        <v>3</v>
      </c>
      <c r="D2560" s="33" t="s">
        <v>3279</v>
      </c>
      <c r="E2560" s="33">
        <v>3</v>
      </c>
      <c r="F2560" s="33"/>
      <c r="G2560" s="522"/>
      <c r="H2560" s="707"/>
      <c r="I2560" s="707">
        <f t="shared" si="78"/>
        <v>0</v>
      </c>
      <c r="J2560" s="707">
        <f t="shared" si="79"/>
        <v>0</v>
      </c>
      <c r="K2560" s="70"/>
    </row>
    <row r="2561" spans="1:11" ht="24" customHeight="1">
      <c r="A2561" s="33" t="s">
        <v>2356</v>
      </c>
      <c r="B2561" s="33" t="s">
        <v>27</v>
      </c>
      <c r="C2561" s="33">
        <v>1</v>
      </c>
      <c r="D2561" s="33" t="s">
        <v>2276</v>
      </c>
      <c r="E2561" s="33">
        <v>1</v>
      </c>
      <c r="F2561" s="33"/>
      <c r="G2561" s="522"/>
      <c r="H2561" s="707"/>
      <c r="I2561" s="707">
        <f t="shared" si="78"/>
        <v>0</v>
      </c>
      <c r="J2561" s="707">
        <f t="shared" si="79"/>
        <v>0</v>
      </c>
      <c r="K2561" s="70"/>
    </row>
    <row r="2562" spans="1:11" ht="24" customHeight="1">
      <c r="A2562" s="2" t="s">
        <v>1804</v>
      </c>
      <c r="B2562" s="2" t="s">
        <v>41</v>
      </c>
      <c r="C2562" s="2">
        <v>37</v>
      </c>
      <c r="D2562" s="2" t="s">
        <v>1785</v>
      </c>
      <c r="E2562" s="33">
        <v>1</v>
      </c>
      <c r="F2562" s="33"/>
      <c r="G2562" s="522"/>
      <c r="H2562" s="707">
        <v>3</v>
      </c>
      <c r="I2562" s="707">
        <f t="shared" si="78"/>
        <v>3.4499999999999997</v>
      </c>
      <c r="J2562" s="707">
        <f t="shared" si="79"/>
        <v>3.9000000000000004</v>
      </c>
      <c r="K2562" s="70"/>
    </row>
    <row r="2563" spans="1:11" ht="24" customHeight="1">
      <c r="A2563" s="3" t="s">
        <v>2811</v>
      </c>
      <c r="B2563" s="3" t="s">
        <v>485</v>
      </c>
      <c r="C2563" s="3">
        <v>2</v>
      </c>
      <c r="D2563" s="58" t="s">
        <v>2802</v>
      </c>
      <c r="E2563" s="33">
        <v>2</v>
      </c>
      <c r="F2563" s="33"/>
      <c r="G2563" s="522"/>
      <c r="H2563" s="707">
        <v>95</v>
      </c>
      <c r="I2563" s="707">
        <f t="shared" ref="I2563:I2626" si="80">H2563 * 1.15</f>
        <v>109.24999999999999</v>
      </c>
      <c r="J2563" s="707">
        <f t="shared" ref="J2563:J2626" si="81">H2563 * 1.3</f>
        <v>123.5</v>
      </c>
      <c r="K2563" s="70"/>
    </row>
    <row r="2564" spans="1:11" ht="24" customHeight="1">
      <c r="A2564" s="33" t="s">
        <v>1847</v>
      </c>
      <c r="B2564" s="33" t="s">
        <v>10</v>
      </c>
      <c r="C2564" s="33">
        <v>20</v>
      </c>
      <c r="D2564" s="2" t="s">
        <v>1785</v>
      </c>
      <c r="E2564" s="33">
        <v>2</v>
      </c>
      <c r="F2564" s="33"/>
      <c r="G2564" s="522"/>
      <c r="H2564" s="707"/>
      <c r="I2564" s="707">
        <f t="shared" si="80"/>
        <v>0</v>
      </c>
      <c r="J2564" s="707">
        <f t="shared" si="81"/>
        <v>0</v>
      </c>
      <c r="K2564" s="70"/>
    </row>
    <row r="2565" spans="1:11" ht="24" customHeight="1">
      <c r="A2565" s="33" t="s">
        <v>2637</v>
      </c>
      <c r="B2565" s="33" t="s">
        <v>10</v>
      </c>
      <c r="C2565" s="33">
        <v>59</v>
      </c>
      <c r="D2565" s="33" t="s">
        <v>2624</v>
      </c>
      <c r="E2565" s="33">
        <v>4</v>
      </c>
      <c r="F2565" s="33"/>
      <c r="G2565" s="522"/>
      <c r="H2565" s="707"/>
      <c r="I2565" s="707">
        <f t="shared" si="80"/>
        <v>0</v>
      </c>
      <c r="J2565" s="707">
        <f t="shared" si="81"/>
        <v>0</v>
      </c>
      <c r="K2565" s="70"/>
    </row>
    <row r="2566" spans="1:11" ht="24" customHeight="1">
      <c r="A2566" s="2" t="s">
        <v>145</v>
      </c>
      <c r="B2566" s="2" t="s">
        <v>10</v>
      </c>
      <c r="C2566" s="2">
        <v>2</v>
      </c>
      <c r="D2566" s="2" t="s">
        <v>11</v>
      </c>
      <c r="E2566" s="33">
        <v>3</v>
      </c>
      <c r="F2566" s="33"/>
      <c r="G2566" s="522"/>
      <c r="H2566" s="707"/>
      <c r="I2566" s="707">
        <f t="shared" si="80"/>
        <v>0</v>
      </c>
      <c r="J2566" s="707">
        <f t="shared" si="81"/>
        <v>0</v>
      </c>
      <c r="K2566" s="70"/>
    </row>
    <row r="2567" spans="1:11" ht="24" customHeight="1">
      <c r="A2567" s="11" t="s">
        <v>1742</v>
      </c>
      <c r="B2567" s="11" t="s">
        <v>10</v>
      </c>
      <c r="C2567" s="11">
        <v>20</v>
      </c>
      <c r="D2567" s="131" t="s">
        <v>1723</v>
      </c>
      <c r="E2567" s="15">
        <v>1</v>
      </c>
      <c r="F2567" s="15"/>
      <c r="G2567" s="684"/>
      <c r="H2567" s="707">
        <v>12</v>
      </c>
      <c r="I2567" s="707">
        <f t="shared" si="80"/>
        <v>13.799999999999999</v>
      </c>
      <c r="J2567" s="707">
        <f t="shared" si="81"/>
        <v>15.600000000000001</v>
      </c>
      <c r="K2567" s="377" t="s">
        <v>1743</v>
      </c>
    </row>
    <row r="2568" spans="1:11" ht="24" customHeight="1">
      <c r="A2568" s="74" t="s">
        <v>2233</v>
      </c>
      <c r="B2568" s="74" t="s">
        <v>10</v>
      </c>
      <c r="C2568" s="74">
        <v>3</v>
      </c>
      <c r="D2568" s="33" t="s">
        <v>2191</v>
      </c>
      <c r="E2568" s="33">
        <v>5</v>
      </c>
      <c r="F2568" s="33"/>
      <c r="G2568" s="522"/>
      <c r="H2568" s="707"/>
      <c r="I2568" s="707">
        <f t="shared" si="80"/>
        <v>0</v>
      </c>
      <c r="J2568" s="707">
        <f t="shared" si="81"/>
        <v>0</v>
      </c>
      <c r="K2568" s="70"/>
    </row>
    <row r="2569" spans="1:11" ht="24" customHeight="1">
      <c r="A2569" s="74" t="s">
        <v>2521</v>
      </c>
      <c r="B2569" s="74" t="s">
        <v>10</v>
      </c>
      <c r="C2569" s="74">
        <v>2</v>
      </c>
      <c r="D2569" s="33" t="s">
        <v>2504</v>
      </c>
      <c r="E2569" s="33">
        <v>5</v>
      </c>
      <c r="F2569" s="33"/>
      <c r="G2569" s="522"/>
      <c r="H2569" s="707"/>
      <c r="I2569" s="707">
        <f t="shared" si="80"/>
        <v>0</v>
      </c>
      <c r="J2569" s="707">
        <f t="shared" si="81"/>
        <v>0</v>
      </c>
      <c r="K2569" s="70"/>
    </row>
    <row r="2570" spans="1:11" ht="24" customHeight="1">
      <c r="A2570" s="74" t="s">
        <v>1469</v>
      </c>
      <c r="B2570" s="74" t="s">
        <v>10</v>
      </c>
      <c r="C2570" s="74">
        <v>2</v>
      </c>
      <c r="D2570" s="33" t="s">
        <v>1372</v>
      </c>
      <c r="E2570" s="33">
        <v>5</v>
      </c>
      <c r="F2570" s="33"/>
      <c r="G2570" s="522"/>
      <c r="H2570" s="707"/>
      <c r="I2570" s="707">
        <f t="shared" si="80"/>
        <v>0</v>
      </c>
      <c r="J2570" s="707">
        <f t="shared" si="81"/>
        <v>0</v>
      </c>
      <c r="K2570" s="70"/>
    </row>
    <row r="2571" spans="1:11" ht="24" customHeight="1">
      <c r="A2571" s="11" t="s">
        <v>1761</v>
      </c>
      <c r="B2571" s="11" t="s">
        <v>10</v>
      </c>
      <c r="C2571" s="11">
        <v>57</v>
      </c>
      <c r="D2571" s="131" t="s">
        <v>1723</v>
      </c>
      <c r="E2571" s="15">
        <v>2</v>
      </c>
      <c r="F2571" s="15"/>
      <c r="G2571" s="684"/>
      <c r="H2571" s="707">
        <v>20</v>
      </c>
      <c r="I2571" s="707">
        <f t="shared" si="80"/>
        <v>23</v>
      </c>
      <c r="J2571" s="707">
        <f t="shared" si="81"/>
        <v>26</v>
      </c>
      <c r="K2571" s="377" t="s">
        <v>1743</v>
      </c>
    </row>
    <row r="2572" spans="1:11" ht="24" customHeight="1">
      <c r="A2572" s="74" t="s">
        <v>1454</v>
      </c>
      <c r="B2572" s="74" t="s">
        <v>10</v>
      </c>
      <c r="C2572" s="74">
        <v>6</v>
      </c>
      <c r="D2572" s="33" t="s">
        <v>1372</v>
      </c>
      <c r="E2572" s="33">
        <v>5</v>
      </c>
      <c r="F2572" s="33"/>
      <c r="G2572" s="522"/>
      <c r="H2572" s="707">
        <v>2</v>
      </c>
      <c r="I2572" s="707">
        <f t="shared" si="80"/>
        <v>2.2999999999999998</v>
      </c>
      <c r="J2572" s="707">
        <f t="shared" si="81"/>
        <v>2.6</v>
      </c>
      <c r="K2572" s="70"/>
    </row>
    <row r="2573" spans="1:11" ht="24" customHeight="1">
      <c r="A2573" s="74" t="s">
        <v>2467</v>
      </c>
      <c r="B2573" s="74" t="s">
        <v>10</v>
      </c>
      <c r="C2573" s="74">
        <v>2</v>
      </c>
      <c r="D2573" s="33" t="s">
        <v>2363</v>
      </c>
      <c r="E2573" s="33">
        <v>5</v>
      </c>
      <c r="F2573" s="33"/>
      <c r="G2573" s="522"/>
      <c r="H2573" s="707"/>
      <c r="I2573" s="707">
        <f t="shared" si="80"/>
        <v>0</v>
      </c>
      <c r="J2573" s="707">
        <f t="shared" si="81"/>
        <v>0</v>
      </c>
      <c r="K2573" s="70"/>
    </row>
    <row r="2574" spans="1:11" ht="24" customHeight="1">
      <c r="A2574" s="33" t="s">
        <v>3114</v>
      </c>
      <c r="B2574" s="33" t="s">
        <v>690</v>
      </c>
      <c r="C2574" s="33">
        <v>3</v>
      </c>
      <c r="D2574" s="33" t="s">
        <v>3053</v>
      </c>
      <c r="E2574" s="33">
        <v>3</v>
      </c>
      <c r="F2574" s="33"/>
      <c r="G2574" s="522"/>
      <c r="H2574" s="707"/>
      <c r="I2574" s="707">
        <f t="shared" si="80"/>
        <v>0</v>
      </c>
      <c r="J2574" s="707">
        <f t="shared" si="81"/>
        <v>0</v>
      </c>
      <c r="K2574" s="70"/>
    </row>
    <row r="2575" spans="1:11" ht="24" customHeight="1">
      <c r="A2575" s="33" t="s">
        <v>1618</v>
      </c>
      <c r="B2575" s="33" t="s">
        <v>1619</v>
      </c>
      <c r="C2575" s="33">
        <v>100</v>
      </c>
      <c r="D2575" s="33" t="s">
        <v>1548</v>
      </c>
      <c r="E2575" s="33">
        <v>3</v>
      </c>
      <c r="F2575" s="33"/>
      <c r="G2575" s="522"/>
      <c r="H2575" s="707"/>
      <c r="I2575" s="707">
        <f t="shared" si="80"/>
        <v>0</v>
      </c>
      <c r="J2575" s="707">
        <f t="shared" si="81"/>
        <v>0</v>
      </c>
      <c r="K2575" s="70"/>
    </row>
    <row r="2576" spans="1:11" ht="24" customHeight="1">
      <c r="A2576" s="33" t="s">
        <v>1074</v>
      </c>
      <c r="B2576" s="33" t="s">
        <v>1075</v>
      </c>
      <c r="C2576" s="33">
        <v>2</v>
      </c>
      <c r="D2576" s="33" t="s">
        <v>992</v>
      </c>
      <c r="E2576" s="33">
        <v>4</v>
      </c>
      <c r="F2576" s="33"/>
      <c r="G2576" s="522"/>
      <c r="H2576" s="707">
        <v>300</v>
      </c>
      <c r="I2576" s="707">
        <f t="shared" si="80"/>
        <v>345</v>
      </c>
      <c r="J2576" s="707">
        <f t="shared" si="81"/>
        <v>390</v>
      </c>
      <c r="K2576" s="70"/>
    </row>
    <row r="2577" spans="1:11" ht="24" customHeight="1">
      <c r="A2577" s="33" t="s">
        <v>1492</v>
      </c>
      <c r="B2577" s="33" t="s">
        <v>1493</v>
      </c>
      <c r="C2577" s="33">
        <v>2</v>
      </c>
      <c r="D2577" s="33" t="s">
        <v>1494</v>
      </c>
      <c r="E2577" s="33">
        <v>1</v>
      </c>
      <c r="F2577" s="33"/>
      <c r="G2577" s="522"/>
      <c r="H2577" s="707"/>
      <c r="I2577" s="707">
        <f t="shared" si="80"/>
        <v>0</v>
      </c>
      <c r="J2577" s="707">
        <f t="shared" si="81"/>
        <v>0</v>
      </c>
      <c r="K2577" s="70"/>
    </row>
    <row r="2578" spans="1:11" ht="24" customHeight="1">
      <c r="A2578" s="33" t="s">
        <v>2597</v>
      </c>
      <c r="B2578" s="33" t="s">
        <v>56</v>
      </c>
      <c r="C2578" s="33">
        <v>2</v>
      </c>
      <c r="D2578" s="33" t="s">
        <v>2540</v>
      </c>
      <c r="E2578" s="33">
        <v>2</v>
      </c>
      <c r="F2578" s="33"/>
      <c r="G2578" s="522"/>
      <c r="H2578" s="707"/>
      <c r="I2578" s="707">
        <f t="shared" si="80"/>
        <v>0</v>
      </c>
      <c r="J2578" s="707">
        <f t="shared" si="81"/>
        <v>0</v>
      </c>
      <c r="K2578" s="70"/>
    </row>
    <row r="2579" spans="1:11" ht="24" customHeight="1">
      <c r="A2579" s="33" t="s">
        <v>1244</v>
      </c>
      <c r="B2579" s="33" t="s">
        <v>19</v>
      </c>
      <c r="C2579" s="33">
        <v>44</v>
      </c>
      <c r="D2579" s="33" t="s">
        <v>1201</v>
      </c>
      <c r="E2579" s="33">
        <v>4</v>
      </c>
      <c r="F2579" s="33"/>
      <c r="G2579" s="522"/>
      <c r="H2579" s="707"/>
      <c r="I2579" s="707">
        <f t="shared" si="80"/>
        <v>0</v>
      </c>
      <c r="J2579" s="707">
        <f t="shared" si="81"/>
        <v>0</v>
      </c>
      <c r="K2579" s="70"/>
    </row>
    <row r="2580" spans="1:11" ht="24" customHeight="1">
      <c r="A2580" s="33" t="s">
        <v>1244</v>
      </c>
      <c r="B2580" s="33" t="s">
        <v>19</v>
      </c>
      <c r="C2580" s="33">
        <v>20</v>
      </c>
      <c r="D2580" s="33" t="s">
        <v>2276</v>
      </c>
      <c r="E2580" s="33">
        <v>1</v>
      </c>
      <c r="F2580" s="33"/>
      <c r="G2580" s="522"/>
      <c r="H2580" s="707"/>
      <c r="I2580" s="707">
        <f t="shared" si="80"/>
        <v>0</v>
      </c>
      <c r="J2580" s="707">
        <f t="shared" si="81"/>
        <v>0</v>
      </c>
      <c r="K2580" s="70"/>
    </row>
    <row r="2581" spans="1:11" ht="24" customHeight="1">
      <c r="A2581" s="33" t="s">
        <v>1234</v>
      </c>
      <c r="B2581" s="33" t="s">
        <v>56</v>
      </c>
      <c r="C2581" s="33">
        <v>1</v>
      </c>
      <c r="D2581" s="33" t="s">
        <v>1201</v>
      </c>
      <c r="E2581" s="33">
        <v>3</v>
      </c>
      <c r="F2581" s="33"/>
      <c r="G2581" s="522"/>
      <c r="H2581" s="707"/>
      <c r="I2581" s="707">
        <f t="shared" si="80"/>
        <v>0</v>
      </c>
      <c r="J2581" s="707">
        <f t="shared" si="81"/>
        <v>0</v>
      </c>
      <c r="K2581" s="70"/>
    </row>
    <row r="2582" spans="1:11" ht="24" customHeight="1">
      <c r="A2582" s="33" t="s">
        <v>993</v>
      </c>
      <c r="B2582" s="33" t="s">
        <v>10</v>
      </c>
      <c r="C2582" s="33">
        <v>15</v>
      </c>
      <c r="D2582" s="33" t="s">
        <v>992</v>
      </c>
      <c r="E2582" s="33">
        <v>4</v>
      </c>
      <c r="F2582" s="33"/>
      <c r="G2582" s="522"/>
      <c r="H2582" s="707">
        <v>100</v>
      </c>
      <c r="I2582" s="707">
        <f t="shared" si="80"/>
        <v>114.99999999999999</v>
      </c>
      <c r="J2582" s="707">
        <f t="shared" si="81"/>
        <v>130</v>
      </c>
      <c r="K2582" s="70" t="s">
        <v>1062</v>
      </c>
    </row>
    <row r="2583" spans="1:11" ht="24" customHeight="1">
      <c r="A2583" s="33" t="s">
        <v>993</v>
      </c>
      <c r="B2583" s="33" t="s">
        <v>994</v>
      </c>
      <c r="C2583" s="33">
        <v>6</v>
      </c>
      <c r="D2583" s="33" t="s">
        <v>992</v>
      </c>
      <c r="E2583" s="33">
        <v>3</v>
      </c>
      <c r="F2583" s="33"/>
      <c r="G2583" s="522"/>
      <c r="H2583" s="707"/>
      <c r="I2583" s="707">
        <f t="shared" si="80"/>
        <v>0</v>
      </c>
      <c r="J2583" s="707">
        <f t="shared" si="81"/>
        <v>0</v>
      </c>
      <c r="K2583" s="70"/>
    </row>
    <row r="2584" spans="1:11" ht="24" customHeight="1">
      <c r="A2584" s="33" t="s">
        <v>1270</v>
      </c>
      <c r="B2584" s="33" t="s">
        <v>81</v>
      </c>
      <c r="C2584" s="33">
        <v>2</v>
      </c>
      <c r="D2584" s="33" t="s">
        <v>1201</v>
      </c>
      <c r="E2584" s="33">
        <v>4</v>
      </c>
      <c r="F2584" s="33"/>
      <c r="G2584" s="522"/>
      <c r="H2584" s="707"/>
      <c r="I2584" s="707">
        <f t="shared" si="80"/>
        <v>0</v>
      </c>
      <c r="J2584" s="707">
        <f t="shared" si="81"/>
        <v>0</v>
      </c>
      <c r="K2584" s="70" t="s">
        <v>51</v>
      </c>
    </row>
    <row r="2585" spans="1:11" ht="24" customHeight="1">
      <c r="A2585" s="33" t="s">
        <v>1237</v>
      </c>
      <c r="B2585" s="33" t="s">
        <v>83</v>
      </c>
      <c r="C2585" s="33">
        <v>6</v>
      </c>
      <c r="D2585" s="33" t="s">
        <v>2540</v>
      </c>
      <c r="E2585" s="33">
        <v>2</v>
      </c>
      <c r="F2585" s="33"/>
      <c r="G2585" s="522"/>
      <c r="H2585" s="707">
        <v>100</v>
      </c>
      <c r="I2585" s="707">
        <f t="shared" si="80"/>
        <v>114.99999999999999</v>
      </c>
      <c r="J2585" s="707">
        <f t="shared" si="81"/>
        <v>130</v>
      </c>
      <c r="K2585" s="70" t="s">
        <v>51</v>
      </c>
    </row>
    <row r="2586" spans="1:11" ht="24" customHeight="1">
      <c r="A2586" s="33" t="s">
        <v>1237</v>
      </c>
      <c r="B2586" s="33" t="s">
        <v>83</v>
      </c>
      <c r="C2586" s="33">
        <v>1</v>
      </c>
      <c r="D2586" s="33" t="s">
        <v>1201</v>
      </c>
      <c r="E2586" s="33">
        <v>4</v>
      </c>
      <c r="F2586" s="33"/>
      <c r="G2586" s="522"/>
      <c r="H2586" s="707">
        <v>100</v>
      </c>
      <c r="I2586" s="707">
        <f t="shared" si="80"/>
        <v>114.99999999999999</v>
      </c>
      <c r="J2586" s="707">
        <f t="shared" si="81"/>
        <v>130</v>
      </c>
      <c r="K2586" s="70"/>
    </row>
    <row r="2587" spans="1:11" ht="24" customHeight="1">
      <c r="A2587" s="33" t="s">
        <v>2955</v>
      </c>
      <c r="B2587" s="33" t="s">
        <v>115</v>
      </c>
      <c r="C2587" s="33">
        <v>4</v>
      </c>
      <c r="D2587" s="71" t="s">
        <v>2947</v>
      </c>
      <c r="E2587" s="33">
        <v>4</v>
      </c>
      <c r="F2587" s="33"/>
      <c r="G2587" s="522"/>
      <c r="H2587" s="707"/>
      <c r="I2587" s="707">
        <f t="shared" si="80"/>
        <v>0</v>
      </c>
      <c r="J2587" s="707">
        <f t="shared" si="81"/>
        <v>0</v>
      </c>
      <c r="K2587" s="70"/>
    </row>
    <row r="2588" spans="1:11" ht="24" customHeight="1">
      <c r="A2588" s="33" t="s">
        <v>3297</v>
      </c>
      <c r="B2588" s="33" t="s">
        <v>10</v>
      </c>
      <c r="C2588" s="33">
        <v>8</v>
      </c>
      <c r="D2588" s="33" t="s">
        <v>3279</v>
      </c>
      <c r="E2588" s="33">
        <v>3</v>
      </c>
      <c r="F2588" s="33"/>
      <c r="G2588" s="522"/>
      <c r="H2588" s="707"/>
      <c r="I2588" s="707">
        <f t="shared" si="80"/>
        <v>0</v>
      </c>
      <c r="J2588" s="707">
        <f t="shared" si="81"/>
        <v>0</v>
      </c>
      <c r="K2588" s="70"/>
    </row>
    <row r="2589" spans="1:11" ht="24" customHeight="1">
      <c r="A2589" s="74" t="s">
        <v>1096</v>
      </c>
      <c r="B2589" s="74" t="s">
        <v>1097</v>
      </c>
      <c r="C2589" s="74">
        <v>5</v>
      </c>
      <c r="D2589" s="33" t="s">
        <v>992</v>
      </c>
      <c r="E2589" s="33">
        <v>5</v>
      </c>
      <c r="F2589" s="33"/>
      <c r="G2589" s="522"/>
      <c r="H2589" s="707"/>
      <c r="I2589" s="707">
        <f t="shared" si="80"/>
        <v>0</v>
      </c>
      <c r="J2589" s="707">
        <f t="shared" si="81"/>
        <v>0</v>
      </c>
      <c r="K2589" s="70"/>
    </row>
    <row r="2590" spans="1:11" ht="24" customHeight="1">
      <c r="A2590" s="33" t="s">
        <v>1964</v>
      </c>
      <c r="B2590" s="33" t="s">
        <v>1965</v>
      </c>
      <c r="C2590" s="33">
        <v>1</v>
      </c>
      <c r="D2590" s="33" t="s">
        <v>1938</v>
      </c>
      <c r="E2590" s="33">
        <v>1</v>
      </c>
      <c r="F2590" s="33"/>
      <c r="G2590" s="522"/>
      <c r="H2590" s="707"/>
      <c r="I2590" s="707">
        <f t="shared" si="80"/>
        <v>0</v>
      </c>
      <c r="J2590" s="707">
        <f t="shared" si="81"/>
        <v>0</v>
      </c>
      <c r="K2590" s="70"/>
    </row>
    <row r="2591" spans="1:11" ht="24" customHeight="1">
      <c r="A2591" s="59" t="s">
        <v>2685</v>
      </c>
      <c r="B2591" s="59" t="s">
        <v>272</v>
      </c>
      <c r="C2591" s="59">
        <v>4</v>
      </c>
      <c r="D2591" s="33" t="s">
        <v>2624</v>
      </c>
      <c r="E2591" s="354">
        <v>5</v>
      </c>
      <c r="F2591" s="354"/>
      <c r="G2591" s="688"/>
      <c r="H2591" s="707">
        <v>90</v>
      </c>
      <c r="I2591" s="707">
        <f t="shared" si="80"/>
        <v>103.49999999999999</v>
      </c>
      <c r="J2591" s="707">
        <f t="shared" si="81"/>
        <v>117</v>
      </c>
      <c r="K2591" s="70"/>
    </row>
    <row r="2592" spans="1:11" ht="24" customHeight="1">
      <c r="A2592" s="11" t="s">
        <v>2774</v>
      </c>
      <c r="B2592" s="11" t="s">
        <v>272</v>
      </c>
      <c r="C2592" s="11">
        <v>3</v>
      </c>
      <c r="D2592" s="131" t="s">
        <v>2772</v>
      </c>
      <c r="E2592" s="17">
        <v>4</v>
      </c>
      <c r="F2592" s="17"/>
      <c r="G2592" s="687"/>
      <c r="H2592" s="707"/>
      <c r="I2592" s="707">
        <f t="shared" si="80"/>
        <v>0</v>
      </c>
      <c r="J2592" s="707">
        <f t="shared" si="81"/>
        <v>0</v>
      </c>
      <c r="K2592" s="70"/>
    </row>
    <row r="2593" spans="1:11" ht="24" customHeight="1">
      <c r="A2593" s="11" t="s">
        <v>2875</v>
      </c>
      <c r="B2593" s="11" t="s">
        <v>272</v>
      </c>
      <c r="C2593" s="11">
        <v>6</v>
      </c>
      <c r="D2593" s="131" t="s">
        <v>2868</v>
      </c>
      <c r="E2593" s="15">
        <v>5</v>
      </c>
      <c r="F2593" s="15"/>
      <c r="G2593" s="684"/>
      <c r="H2593" s="707">
        <v>140</v>
      </c>
      <c r="I2593" s="707">
        <f t="shared" si="80"/>
        <v>161</v>
      </c>
      <c r="J2593" s="707">
        <f t="shared" si="81"/>
        <v>182</v>
      </c>
      <c r="K2593" s="70"/>
    </row>
    <row r="2594" spans="1:11" ht="24" customHeight="1">
      <c r="A2594" s="10" t="s">
        <v>2773</v>
      </c>
      <c r="B2594" s="11" t="s">
        <v>272</v>
      </c>
      <c r="C2594" s="10">
        <v>3</v>
      </c>
      <c r="D2594" s="131" t="s">
        <v>2772</v>
      </c>
      <c r="E2594" s="17">
        <v>4</v>
      </c>
      <c r="F2594" s="17"/>
      <c r="G2594" s="687"/>
      <c r="H2594" s="707">
        <v>270</v>
      </c>
      <c r="I2594" s="707">
        <f t="shared" si="80"/>
        <v>310.5</v>
      </c>
      <c r="J2594" s="707">
        <f t="shared" si="81"/>
        <v>351</v>
      </c>
      <c r="K2594" s="70"/>
    </row>
    <row r="2595" spans="1:11" ht="24" customHeight="1">
      <c r="A2595" s="11" t="s">
        <v>2779</v>
      </c>
      <c r="B2595" s="11" t="s">
        <v>272</v>
      </c>
      <c r="C2595" s="11">
        <v>4</v>
      </c>
      <c r="D2595" s="131" t="s">
        <v>2772</v>
      </c>
      <c r="E2595" s="17">
        <v>4</v>
      </c>
      <c r="F2595" s="17"/>
      <c r="G2595" s="687"/>
      <c r="H2595" s="707">
        <v>90</v>
      </c>
      <c r="I2595" s="707">
        <f t="shared" si="80"/>
        <v>103.49999999999999</v>
      </c>
      <c r="J2595" s="707">
        <f t="shared" si="81"/>
        <v>117</v>
      </c>
      <c r="K2595" s="70"/>
    </row>
    <row r="2596" spans="1:11" ht="24" customHeight="1">
      <c r="A2596" s="11" t="s">
        <v>3452</v>
      </c>
      <c r="B2596" s="11" t="s">
        <v>272</v>
      </c>
      <c r="C2596" s="11">
        <v>8</v>
      </c>
      <c r="D2596" s="131" t="s">
        <v>3451</v>
      </c>
      <c r="E2596" s="15">
        <v>1</v>
      </c>
      <c r="F2596" s="15"/>
      <c r="G2596" s="684"/>
      <c r="H2596" s="707">
        <v>100</v>
      </c>
      <c r="I2596" s="707">
        <f t="shared" si="80"/>
        <v>114.99999999999999</v>
      </c>
      <c r="J2596" s="707">
        <f t="shared" si="81"/>
        <v>130</v>
      </c>
      <c r="K2596" s="70"/>
    </row>
    <row r="2597" spans="1:11" ht="24" customHeight="1">
      <c r="A2597" s="74" t="s">
        <v>2435</v>
      </c>
      <c r="B2597" s="74" t="s">
        <v>272</v>
      </c>
      <c r="C2597" s="74">
        <v>1</v>
      </c>
      <c r="D2597" s="33" t="s">
        <v>2363</v>
      </c>
      <c r="E2597" s="33">
        <v>5</v>
      </c>
      <c r="F2597" s="33"/>
      <c r="G2597" s="522"/>
      <c r="H2597" s="707"/>
      <c r="I2597" s="707">
        <f t="shared" si="80"/>
        <v>0</v>
      </c>
      <c r="J2597" s="707">
        <f t="shared" si="81"/>
        <v>0</v>
      </c>
      <c r="K2597" s="70"/>
    </row>
    <row r="2598" spans="1:11" ht="24" customHeight="1">
      <c r="A2598" s="33" t="s">
        <v>1171</v>
      </c>
      <c r="B2598" s="33" t="s">
        <v>1172</v>
      </c>
      <c r="C2598" s="33">
        <v>1</v>
      </c>
      <c r="D2598" s="33" t="s">
        <v>1141</v>
      </c>
      <c r="E2598" s="33">
        <v>2</v>
      </c>
      <c r="F2598" s="33"/>
      <c r="G2598" s="522"/>
      <c r="H2598" s="707"/>
      <c r="I2598" s="707">
        <f t="shared" si="80"/>
        <v>0</v>
      </c>
      <c r="J2598" s="707">
        <f t="shared" si="81"/>
        <v>0</v>
      </c>
      <c r="K2598" s="70"/>
    </row>
    <row r="2599" spans="1:11" ht="24" customHeight="1">
      <c r="A2599" s="33" t="s">
        <v>953</v>
      </c>
      <c r="B2599" s="33" t="s">
        <v>27</v>
      </c>
      <c r="C2599" s="33">
        <v>11</v>
      </c>
      <c r="D2599" s="33" t="s">
        <v>910</v>
      </c>
      <c r="E2599" s="33">
        <v>2</v>
      </c>
      <c r="F2599" s="33"/>
      <c r="G2599" s="522"/>
      <c r="H2599" s="707"/>
      <c r="I2599" s="707">
        <f t="shared" si="80"/>
        <v>0</v>
      </c>
      <c r="J2599" s="707">
        <f t="shared" si="81"/>
        <v>0</v>
      </c>
      <c r="K2599" s="70"/>
    </row>
    <row r="2600" spans="1:11" ht="24" customHeight="1">
      <c r="A2600" s="33" t="s">
        <v>2382</v>
      </c>
      <c r="B2600" s="33" t="s">
        <v>21</v>
      </c>
      <c r="C2600" s="33">
        <v>5</v>
      </c>
      <c r="D2600" s="33" t="s">
        <v>2363</v>
      </c>
      <c r="E2600" s="33">
        <v>3</v>
      </c>
      <c r="F2600" s="33"/>
      <c r="G2600" s="522"/>
      <c r="H2600" s="707">
        <v>120</v>
      </c>
      <c r="I2600" s="707">
        <f t="shared" si="80"/>
        <v>138</v>
      </c>
      <c r="J2600" s="707">
        <f t="shared" si="81"/>
        <v>156</v>
      </c>
      <c r="K2600" s="70"/>
    </row>
    <row r="2601" spans="1:11" ht="24" customHeight="1">
      <c r="A2601" s="3" t="s">
        <v>2812</v>
      </c>
      <c r="B2601" s="3" t="s">
        <v>1926</v>
      </c>
      <c r="C2601" s="3">
        <v>1</v>
      </c>
      <c r="D2601" s="58" t="s">
        <v>2802</v>
      </c>
      <c r="E2601" s="33">
        <v>2</v>
      </c>
      <c r="F2601" s="33"/>
      <c r="G2601" s="522"/>
      <c r="H2601" s="707"/>
      <c r="I2601" s="707">
        <f t="shared" si="80"/>
        <v>0</v>
      </c>
      <c r="J2601" s="707">
        <f t="shared" si="81"/>
        <v>0</v>
      </c>
      <c r="K2601" s="70"/>
    </row>
    <row r="2602" spans="1:11" ht="24" customHeight="1">
      <c r="A2602" s="33" t="s">
        <v>3315</v>
      </c>
      <c r="B2602" s="33" t="s">
        <v>56</v>
      </c>
      <c r="C2602" s="33">
        <v>1</v>
      </c>
      <c r="D2602" s="33" t="s">
        <v>3279</v>
      </c>
      <c r="E2602" s="33">
        <v>4</v>
      </c>
      <c r="F2602" s="33"/>
      <c r="G2602" s="522"/>
      <c r="H2602" s="707"/>
      <c r="I2602" s="707">
        <f t="shared" si="80"/>
        <v>0</v>
      </c>
      <c r="J2602" s="707">
        <f t="shared" si="81"/>
        <v>0</v>
      </c>
      <c r="K2602" s="70"/>
    </row>
    <row r="2603" spans="1:11" ht="24" customHeight="1">
      <c r="A2603" s="33" t="s">
        <v>983</v>
      </c>
      <c r="B2603" s="33" t="s">
        <v>83</v>
      </c>
      <c r="C2603" s="33">
        <v>4</v>
      </c>
      <c r="D2603" s="33" t="s">
        <v>910</v>
      </c>
      <c r="E2603" s="33">
        <v>2</v>
      </c>
      <c r="F2603" s="33"/>
      <c r="G2603" s="522"/>
      <c r="H2603" s="707"/>
      <c r="I2603" s="707">
        <f t="shared" si="80"/>
        <v>0</v>
      </c>
      <c r="J2603" s="707">
        <f t="shared" si="81"/>
        <v>0</v>
      </c>
      <c r="K2603" s="70"/>
    </row>
    <row r="2604" spans="1:11" ht="24" customHeight="1">
      <c r="A2604" s="33" t="s">
        <v>2562</v>
      </c>
      <c r="B2604" s="33" t="s">
        <v>83</v>
      </c>
      <c r="C2604" s="33">
        <v>6</v>
      </c>
      <c r="D2604" s="33" t="s">
        <v>2540</v>
      </c>
      <c r="E2604" s="33">
        <v>1</v>
      </c>
      <c r="F2604" s="33"/>
      <c r="G2604" s="522"/>
      <c r="H2604" s="707"/>
      <c r="I2604" s="707">
        <f t="shared" si="80"/>
        <v>0</v>
      </c>
      <c r="J2604" s="707">
        <f t="shared" si="81"/>
        <v>0</v>
      </c>
      <c r="K2604" s="70"/>
    </row>
    <row r="2605" spans="1:11" ht="24" customHeight="1">
      <c r="A2605" s="3" t="s">
        <v>2817</v>
      </c>
      <c r="B2605" s="3" t="s">
        <v>1926</v>
      </c>
      <c r="C2605" s="3">
        <v>1</v>
      </c>
      <c r="D2605" s="58" t="s">
        <v>2802</v>
      </c>
      <c r="E2605" s="33">
        <v>2</v>
      </c>
      <c r="F2605" s="33"/>
      <c r="G2605" s="522"/>
      <c r="H2605" s="707"/>
      <c r="I2605" s="707">
        <f t="shared" si="80"/>
        <v>0</v>
      </c>
      <c r="J2605" s="707">
        <f t="shared" si="81"/>
        <v>0</v>
      </c>
      <c r="K2605" s="70"/>
    </row>
    <row r="2606" spans="1:11" ht="24" customHeight="1">
      <c r="A2606" s="33" t="s">
        <v>3188</v>
      </c>
      <c r="B2606" s="71" t="s">
        <v>83</v>
      </c>
      <c r="C2606" s="71">
        <v>1</v>
      </c>
      <c r="D2606" s="33" t="s">
        <v>3053</v>
      </c>
      <c r="E2606" s="71">
        <v>4</v>
      </c>
      <c r="F2606" s="71"/>
      <c r="G2606" s="686"/>
      <c r="H2606" s="707"/>
      <c r="I2606" s="707">
        <f t="shared" si="80"/>
        <v>0</v>
      </c>
      <c r="J2606" s="707">
        <f t="shared" si="81"/>
        <v>0</v>
      </c>
      <c r="K2606" s="70"/>
    </row>
    <row r="2607" spans="1:11" ht="24" customHeight="1">
      <c r="A2607" s="11" t="s">
        <v>3500</v>
      </c>
      <c r="B2607" s="11" t="s">
        <v>150</v>
      </c>
      <c r="C2607" s="11">
        <v>3</v>
      </c>
      <c r="D2607" s="131" t="s">
        <v>3451</v>
      </c>
      <c r="E2607" s="15">
        <v>3</v>
      </c>
      <c r="F2607" s="15"/>
      <c r="G2607" s="684"/>
      <c r="H2607" s="707"/>
      <c r="I2607" s="707">
        <f t="shared" si="80"/>
        <v>0</v>
      </c>
      <c r="J2607" s="707">
        <f t="shared" si="81"/>
        <v>0</v>
      </c>
      <c r="K2607" s="70"/>
    </row>
    <row r="2608" spans="1:11" ht="24" customHeight="1">
      <c r="A2608" s="33" t="s">
        <v>1276</v>
      </c>
      <c r="B2608" s="33" t="s">
        <v>485</v>
      </c>
      <c r="C2608" s="33">
        <v>5</v>
      </c>
      <c r="D2608" s="33" t="s">
        <v>1201</v>
      </c>
      <c r="E2608" s="33">
        <v>4</v>
      </c>
      <c r="F2608" s="33"/>
      <c r="G2608" s="522"/>
      <c r="H2608" s="707"/>
      <c r="I2608" s="707">
        <f t="shared" si="80"/>
        <v>0</v>
      </c>
      <c r="J2608" s="707">
        <f t="shared" si="81"/>
        <v>0</v>
      </c>
      <c r="K2608" s="70"/>
    </row>
    <row r="2609" spans="1:11" ht="24" customHeight="1">
      <c r="A2609" s="33" t="s">
        <v>1290</v>
      </c>
      <c r="B2609" s="33" t="s">
        <v>83</v>
      </c>
      <c r="C2609" s="33">
        <v>1</v>
      </c>
      <c r="D2609" s="33" t="s">
        <v>1201</v>
      </c>
      <c r="E2609" s="33">
        <v>4</v>
      </c>
      <c r="F2609" s="33"/>
      <c r="G2609" s="522"/>
      <c r="H2609" s="707"/>
      <c r="I2609" s="707">
        <f t="shared" si="80"/>
        <v>0</v>
      </c>
      <c r="J2609" s="707">
        <f t="shared" si="81"/>
        <v>0</v>
      </c>
      <c r="K2609" s="70"/>
    </row>
    <row r="2610" spans="1:11" ht="24" customHeight="1">
      <c r="A2610" s="33" t="s">
        <v>3195</v>
      </c>
      <c r="B2610" s="71" t="s">
        <v>96</v>
      </c>
      <c r="C2610" s="71">
        <v>1</v>
      </c>
      <c r="D2610" s="33" t="s">
        <v>3053</v>
      </c>
      <c r="E2610" s="71">
        <v>4</v>
      </c>
      <c r="F2610" s="71"/>
      <c r="G2610" s="686"/>
      <c r="H2610" s="707"/>
      <c r="I2610" s="707">
        <f t="shared" si="80"/>
        <v>0</v>
      </c>
      <c r="J2610" s="707">
        <f t="shared" si="81"/>
        <v>0</v>
      </c>
      <c r="K2610" s="70"/>
    </row>
    <row r="2611" spans="1:11" ht="24" customHeight="1">
      <c r="A2611" s="33" t="s">
        <v>3407</v>
      </c>
      <c r="B2611" s="33" t="s">
        <v>83</v>
      </c>
      <c r="C2611" s="33">
        <v>1</v>
      </c>
      <c r="D2611" s="33" t="s">
        <v>3348</v>
      </c>
      <c r="E2611" s="33">
        <v>4</v>
      </c>
      <c r="F2611" s="33"/>
      <c r="G2611" s="522"/>
      <c r="H2611" s="707"/>
      <c r="I2611" s="707">
        <f t="shared" si="80"/>
        <v>0</v>
      </c>
      <c r="J2611" s="707">
        <f t="shared" si="81"/>
        <v>0</v>
      </c>
      <c r="K2611" s="70"/>
    </row>
    <row r="2612" spans="1:11" ht="24" customHeight="1">
      <c r="A2612" s="33" t="s">
        <v>1257</v>
      </c>
      <c r="B2612" s="33" t="s">
        <v>41</v>
      </c>
      <c r="C2612" s="33">
        <v>15</v>
      </c>
      <c r="D2612" s="33" t="s">
        <v>1201</v>
      </c>
      <c r="E2612" s="33">
        <v>4</v>
      </c>
      <c r="F2612" s="33"/>
      <c r="G2612" s="522"/>
      <c r="H2612" s="707"/>
      <c r="I2612" s="707">
        <f t="shared" si="80"/>
        <v>0</v>
      </c>
      <c r="J2612" s="707">
        <f t="shared" si="81"/>
        <v>0</v>
      </c>
      <c r="K2612" s="70"/>
    </row>
    <row r="2613" spans="1:11" ht="24" customHeight="1">
      <c r="A2613" s="11" t="s">
        <v>3453</v>
      </c>
      <c r="B2613" s="11" t="s">
        <v>272</v>
      </c>
      <c r="C2613" s="11">
        <v>3</v>
      </c>
      <c r="D2613" s="131" t="s">
        <v>3451</v>
      </c>
      <c r="E2613" s="15">
        <v>1</v>
      </c>
      <c r="F2613" s="15"/>
      <c r="G2613" s="684"/>
      <c r="H2613" s="707">
        <v>230</v>
      </c>
      <c r="I2613" s="707">
        <f t="shared" si="80"/>
        <v>264.5</v>
      </c>
      <c r="J2613" s="707">
        <f t="shared" si="81"/>
        <v>299</v>
      </c>
      <c r="K2613" s="70"/>
    </row>
    <row r="2614" spans="1:11" ht="24" customHeight="1">
      <c r="A2614" s="11" t="s">
        <v>2718</v>
      </c>
      <c r="B2614" s="11" t="s">
        <v>272</v>
      </c>
      <c r="C2614" s="11">
        <v>1</v>
      </c>
      <c r="D2614" s="131" t="s">
        <v>2716</v>
      </c>
      <c r="E2614" s="15">
        <v>1</v>
      </c>
      <c r="F2614" s="15"/>
      <c r="G2614" s="684"/>
      <c r="H2614" s="707"/>
      <c r="I2614" s="707">
        <f t="shared" si="80"/>
        <v>0</v>
      </c>
      <c r="J2614" s="707">
        <f t="shared" si="81"/>
        <v>0</v>
      </c>
      <c r="K2614" s="70"/>
    </row>
    <row r="2615" spans="1:11" ht="24" customHeight="1">
      <c r="A2615" s="11" t="s">
        <v>2717</v>
      </c>
      <c r="B2615" s="11" t="s">
        <v>272</v>
      </c>
      <c r="C2615" s="11">
        <v>1</v>
      </c>
      <c r="D2615" s="131" t="s">
        <v>2716</v>
      </c>
      <c r="E2615" s="15">
        <v>1</v>
      </c>
      <c r="F2615" s="15"/>
      <c r="G2615" s="684"/>
      <c r="H2615" s="707"/>
      <c r="I2615" s="707">
        <f t="shared" si="80"/>
        <v>0</v>
      </c>
      <c r="J2615" s="707">
        <f t="shared" si="81"/>
        <v>0</v>
      </c>
      <c r="K2615" s="70"/>
    </row>
    <row r="2616" spans="1:11" ht="24" customHeight="1">
      <c r="A2616" s="11" t="s">
        <v>2799</v>
      </c>
      <c r="B2616" s="11" t="s">
        <v>272</v>
      </c>
      <c r="C2616" s="11">
        <v>1</v>
      </c>
      <c r="D2616" s="131" t="s">
        <v>2772</v>
      </c>
      <c r="E2616" s="15">
        <v>5</v>
      </c>
      <c r="F2616" s="15"/>
      <c r="G2616" s="684"/>
      <c r="H2616" s="707"/>
      <c r="I2616" s="707">
        <f t="shared" si="80"/>
        <v>0</v>
      </c>
      <c r="J2616" s="707">
        <f t="shared" si="81"/>
        <v>0</v>
      </c>
      <c r="K2616" s="70"/>
    </row>
    <row r="2617" spans="1:11" ht="24" customHeight="1">
      <c r="A2617" s="11" t="s">
        <v>1720</v>
      </c>
      <c r="B2617" s="11" t="s">
        <v>272</v>
      </c>
      <c r="C2617" s="11">
        <v>12</v>
      </c>
      <c r="D2617" s="131" t="s">
        <v>1721</v>
      </c>
      <c r="E2617" s="15">
        <v>4</v>
      </c>
      <c r="F2617" s="15"/>
      <c r="G2617" s="684"/>
      <c r="H2617" s="707">
        <v>150</v>
      </c>
      <c r="I2617" s="707">
        <f t="shared" si="80"/>
        <v>172.5</v>
      </c>
      <c r="J2617" s="707">
        <f t="shared" si="81"/>
        <v>195</v>
      </c>
      <c r="K2617" s="70"/>
    </row>
    <row r="2618" spans="1:11" ht="24" customHeight="1">
      <c r="A2618" s="11" t="s">
        <v>1720</v>
      </c>
      <c r="B2618" s="11" t="s">
        <v>272</v>
      </c>
      <c r="C2618" s="11">
        <v>12</v>
      </c>
      <c r="D2618" s="131" t="s">
        <v>1721</v>
      </c>
      <c r="E2618" s="15">
        <v>5</v>
      </c>
      <c r="F2618" s="15"/>
      <c r="G2618" s="684"/>
      <c r="H2618" s="707"/>
      <c r="I2618" s="707">
        <f t="shared" si="80"/>
        <v>0</v>
      </c>
      <c r="J2618" s="707">
        <f t="shared" si="81"/>
        <v>0</v>
      </c>
      <c r="K2618" s="70"/>
    </row>
    <row r="2619" spans="1:11" ht="24" customHeight="1">
      <c r="A2619" s="11" t="s">
        <v>1720</v>
      </c>
      <c r="B2619" s="11" t="s">
        <v>272</v>
      </c>
      <c r="C2619" s="11">
        <v>18</v>
      </c>
      <c r="D2619" s="131" t="s">
        <v>2802</v>
      </c>
      <c r="E2619" s="15">
        <v>1</v>
      </c>
      <c r="F2619" s="15"/>
      <c r="G2619" s="684"/>
      <c r="H2619" s="707">
        <v>150</v>
      </c>
      <c r="I2619" s="707">
        <f t="shared" si="80"/>
        <v>172.5</v>
      </c>
      <c r="J2619" s="707">
        <f t="shared" si="81"/>
        <v>195</v>
      </c>
      <c r="K2619" s="70"/>
    </row>
    <row r="2620" spans="1:11" ht="24" customHeight="1">
      <c r="A2620" s="11" t="s">
        <v>2719</v>
      </c>
      <c r="B2620" s="11" t="s">
        <v>272</v>
      </c>
      <c r="C2620" s="11">
        <v>1</v>
      </c>
      <c r="D2620" s="131" t="s">
        <v>2716</v>
      </c>
      <c r="E2620" s="15">
        <v>1</v>
      </c>
      <c r="F2620" s="15"/>
      <c r="G2620" s="684"/>
      <c r="H2620" s="707"/>
      <c r="I2620" s="707">
        <f t="shared" si="80"/>
        <v>0</v>
      </c>
      <c r="J2620" s="707">
        <f t="shared" si="81"/>
        <v>0</v>
      </c>
      <c r="K2620" s="70"/>
    </row>
    <row r="2621" spans="1:11" ht="24" customHeight="1">
      <c r="A2621" s="33" t="s">
        <v>1031</v>
      </c>
      <c r="B2621" s="33" t="s">
        <v>371</v>
      </c>
      <c r="C2621" s="33">
        <v>15</v>
      </c>
      <c r="D2621" s="33" t="s">
        <v>992</v>
      </c>
      <c r="E2621" s="33">
        <v>3</v>
      </c>
      <c r="F2621" s="33"/>
      <c r="G2621" s="522"/>
      <c r="H2621" s="707"/>
      <c r="I2621" s="707">
        <f t="shared" si="80"/>
        <v>0</v>
      </c>
      <c r="J2621" s="707">
        <f t="shared" si="81"/>
        <v>0</v>
      </c>
      <c r="K2621" s="70"/>
    </row>
    <row r="2622" spans="1:11" ht="24" customHeight="1">
      <c r="A2622" s="11" t="s">
        <v>1751</v>
      </c>
      <c r="B2622" s="11" t="s">
        <v>83</v>
      </c>
      <c r="C2622" s="11">
        <v>20</v>
      </c>
      <c r="D2622" s="131" t="s">
        <v>1723</v>
      </c>
      <c r="E2622" s="15">
        <v>1</v>
      </c>
      <c r="F2622" s="15"/>
      <c r="G2622" s="684"/>
      <c r="H2622" s="707"/>
      <c r="I2622" s="707">
        <f t="shared" si="80"/>
        <v>0</v>
      </c>
      <c r="J2622" s="707">
        <f t="shared" si="81"/>
        <v>0</v>
      </c>
      <c r="K2622" s="70"/>
    </row>
    <row r="2623" spans="1:11" ht="24" customHeight="1">
      <c r="A2623" s="11" t="s">
        <v>2797</v>
      </c>
      <c r="B2623" s="11" t="s">
        <v>272</v>
      </c>
      <c r="C2623" s="11">
        <v>1</v>
      </c>
      <c r="D2623" s="131" t="s">
        <v>2772</v>
      </c>
      <c r="E2623" s="15">
        <v>5</v>
      </c>
      <c r="F2623" s="15"/>
      <c r="G2623" s="684"/>
      <c r="H2623" s="707">
        <v>250</v>
      </c>
      <c r="I2623" s="707">
        <f t="shared" si="80"/>
        <v>287.5</v>
      </c>
      <c r="J2623" s="707">
        <f t="shared" si="81"/>
        <v>325</v>
      </c>
      <c r="K2623" s="70"/>
    </row>
    <row r="2624" spans="1:11" ht="24" customHeight="1">
      <c r="A2624" s="11" t="s">
        <v>2878</v>
      </c>
      <c r="B2624" s="11" t="s">
        <v>272</v>
      </c>
      <c r="C2624" s="11">
        <v>3</v>
      </c>
      <c r="D2624" s="131" t="s">
        <v>2868</v>
      </c>
      <c r="E2624" s="15">
        <v>5</v>
      </c>
      <c r="F2624" s="15"/>
      <c r="G2624" s="684"/>
      <c r="H2624" s="707">
        <v>250</v>
      </c>
      <c r="I2624" s="707">
        <f t="shared" si="80"/>
        <v>287.5</v>
      </c>
      <c r="J2624" s="707">
        <f t="shared" si="81"/>
        <v>325</v>
      </c>
      <c r="K2624" s="70"/>
    </row>
    <row r="2625" spans="1:11" ht="24" customHeight="1">
      <c r="A2625" s="11" t="s">
        <v>1776</v>
      </c>
      <c r="B2625" s="11" t="s">
        <v>272</v>
      </c>
      <c r="C2625" s="11">
        <v>5</v>
      </c>
      <c r="D2625" s="131" t="s">
        <v>1775</v>
      </c>
      <c r="E2625" s="15">
        <v>4</v>
      </c>
      <c r="F2625" s="15"/>
      <c r="G2625" s="684"/>
      <c r="H2625" s="707"/>
      <c r="I2625" s="707">
        <f t="shared" si="80"/>
        <v>0</v>
      </c>
      <c r="J2625" s="707">
        <f t="shared" si="81"/>
        <v>0</v>
      </c>
      <c r="K2625" s="70"/>
    </row>
    <row r="2626" spans="1:11" ht="24" customHeight="1">
      <c r="A2626" s="11" t="s">
        <v>3507</v>
      </c>
      <c r="B2626" s="11" t="s">
        <v>3508</v>
      </c>
      <c r="C2626" s="11" t="s">
        <v>3509</v>
      </c>
      <c r="D2626" s="131" t="s">
        <v>3451</v>
      </c>
      <c r="E2626" s="15">
        <v>3</v>
      </c>
      <c r="F2626" s="15"/>
      <c r="G2626" s="684"/>
      <c r="H2626" s="707"/>
      <c r="I2626" s="707">
        <f t="shared" si="80"/>
        <v>0</v>
      </c>
      <c r="J2626" s="707">
        <f t="shared" si="81"/>
        <v>0</v>
      </c>
      <c r="K2626" s="70"/>
    </row>
    <row r="2627" spans="1:11" ht="24" customHeight="1">
      <c r="A2627" s="59" t="s">
        <v>2675</v>
      </c>
      <c r="B2627" s="59" t="s">
        <v>14</v>
      </c>
      <c r="C2627" s="59">
        <v>16</v>
      </c>
      <c r="D2627" s="33" t="s">
        <v>2624</v>
      </c>
      <c r="E2627" s="354">
        <v>5</v>
      </c>
      <c r="F2627" s="354"/>
      <c r="G2627" s="688"/>
      <c r="H2627" s="707"/>
      <c r="I2627" s="707">
        <f t="shared" ref="I2627:I2690" si="82">H2627 * 1.15</f>
        <v>0</v>
      </c>
      <c r="J2627" s="707">
        <f t="shared" ref="J2627:J2690" si="83">H2627 * 1.3</f>
        <v>0</v>
      </c>
      <c r="K2627" s="70"/>
    </row>
    <row r="2628" spans="1:11" ht="24" customHeight="1">
      <c r="A2628" s="3" t="s">
        <v>2810</v>
      </c>
      <c r="B2628" s="3" t="s">
        <v>10</v>
      </c>
      <c r="C2628" s="3">
        <v>3</v>
      </c>
      <c r="D2628" s="58" t="s">
        <v>2802</v>
      </c>
      <c r="E2628" s="33">
        <v>2</v>
      </c>
      <c r="F2628" s="33"/>
      <c r="G2628" s="522"/>
      <c r="H2628" s="707"/>
      <c r="I2628" s="707">
        <f t="shared" si="82"/>
        <v>0</v>
      </c>
      <c r="J2628" s="707">
        <f t="shared" si="83"/>
        <v>0</v>
      </c>
      <c r="K2628" s="70"/>
    </row>
    <row r="2629" spans="1:11" ht="24" customHeight="1">
      <c r="A2629" s="33" t="s">
        <v>358</v>
      </c>
      <c r="B2629" s="33" t="s">
        <v>10</v>
      </c>
      <c r="C2629" s="33">
        <v>69</v>
      </c>
      <c r="D2629" s="2" t="s">
        <v>274</v>
      </c>
      <c r="E2629" s="33">
        <v>1</v>
      </c>
      <c r="F2629" s="33"/>
      <c r="G2629" s="522"/>
      <c r="H2629" s="707"/>
      <c r="I2629" s="707">
        <f t="shared" si="82"/>
        <v>0</v>
      </c>
      <c r="J2629" s="707">
        <f t="shared" si="83"/>
        <v>0</v>
      </c>
      <c r="K2629" s="70"/>
    </row>
    <row r="2630" spans="1:11" ht="24" customHeight="1">
      <c r="A2630" s="33" t="s">
        <v>87</v>
      </c>
      <c r="B2630" s="33" t="s">
        <v>50</v>
      </c>
      <c r="C2630" s="33">
        <v>34</v>
      </c>
      <c r="D2630" s="2" t="s">
        <v>11</v>
      </c>
      <c r="E2630" s="33">
        <v>1</v>
      </c>
      <c r="F2630" s="33"/>
      <c r="G2630" s="522"/>
      <c r="H2630" s="707"/>
      <c r="I2630" s="707">
        <f t="shared" si="82"/>
        <v>0</v>
      </c>
      <c r="J2630" s="707">
        <f t="shared" si="83"/>
        <v>0</v>
      </c>
      <c r="K2630" s="70" t="s">
        <v>51</v>
      </c>
    </row>
    <row r="2631" spans="1:11" ht="24" customHeight="1">
      <c r="A2631" s="33" t="s">
        <v>229</v>
      </c>
      <c r="B2631" s="33" t="s">
        <v>10</v>
      </c>
      <c r="C2631" s="33">
        <v>62</v>
      </c>
      <c r="D2631" s="2" t="s">
        <v>274</v>
      </c>
      <c r="E2631" s="71">
        <v>1</v>
      </c>
      <c r="F2631" s="71"/>
      <c r="G2631" s="686"/>
      <c r="H2631" s="709"/>
      <c r="I2631" s="709">
        <f t="shared" si="82"/>
        <v>0</v>
      </c>
      <c r="J2631" s="709">
        <f t="shared" si="83"/>
        <v>0</v>
      </c>
      <c r="K2631" s="70" t="s">
        <v>51</v>
      </c>
    </row>
    <row r="2632" spans="1:11" ht="24" customHeight="1">
      <c r="A2632" s="59" t="s">
        <v>2695</v>
      </c>
      <c r="B2632" s="59" t="s">
        <v>10</v>
      </c>
      <c r="C2632" s="59">
        <v>20</v>
      </c>
      <c r="D2632" s="33" t="s">
        <v>2624</v>
      </c>
      <c r="E2632" s="354">
        <v>5</v>
      </c>
      <c r="F2632" s="354"/>
      <c r="G2632" s="688"/>
      <c r="H2632" s="707">
        <v>10</v>
      </c>
      <c r="I2632" s="707">
        <f t="shared" si="82"/>
        <v>11.5</v>
      </c>
      <c r="J2632" s="707">
        <f t="shared" si="83"/>
        <v>13</v>
      </c>
      <c r="K2632" s="70"/>
    </row>
    <row r="2633" spans="1:11" ht="24" customHeight="1">
      <c r="A2633" s="33" t="s">
        <v>2708</v>
      </c>
      <c r="B2633" s="33" t="s">
        <v>10</v>
      </c>
      <c r="C2633" s="33">
        <v>20</v>
      </c>
      <c r="D2633" s="33" t="s">
        <v>2624</v>
      </c>
      <c r="E2633" s="33">
        <v>5</v>
      </c>
      <c r="F2633" s="33"/>
      <c r="G2633" s="522"/>
      <c r="H2633" s="707"/>
      <c r="I2633" s="707">
        <f t="shared" si="82"/>
        <v>0</v>
      </c>
      <c r="J2633" s="707">
        <f t="shared" si="83"/>
        <v>0</v>
      </c>
      <c r="K2633" s="70" t="s">
        <v>51</v>
      </c>
    </row>
    <row r="2634" spans="1:11" ht="24" customHeight="1">
      <c r="A2634" s="2" t="s">
        <v>688</v>
      </c>
      <c r="B2634" s="2" t="s">
        <v>10</v>
      </c>
      <c r="C2634" s="2">
        <v>8</v>
      </c>
      <c r="D2634" s="2" t="s">
        <v>593</v>
      </c>
      <c r="E2634" s="33">
        <v>2</v>
      </c>
      <c r="F2634" s="33"/>
      <c r="G2634" s="522"/>
      <c r="H2634" s="707">
        <v>10</v>
      </c>
      <c r="I2634" s="707">
        <f t="shared" si="82"/>
        <v>11.5</v>
      </c>
      <c r="J2634" s="707">
        <f t="shared" si="83"/>
        <v>13</v>
      </c>
      <c r="K2634" s="70" t="s">
        <v>51</v>
      </c>
    </row>
    <row r="2635" spans="1:11" ht="24" customHeight="1">
      <c r="A2635" s="2" t="s">
        <v>194</v>
      </c>
      <c r="B2635" s="2" t="s">
        <v>10</v>
      </c>
      <c r="C2635" s="2">
        <v>21</v>
      </c>
      <c r="D2635" s="2" t="s">
        <v>188</v>
      </c>
      <c r="E2635" s="33">
        <v>4</v>
      </c>
      <c r="F2635" s="33"/>
      <c r="G2635" s="522"/>
      <c r="H2635" s="707"/>
      <c r="I2635" s="707">
        <f t="shared" si="82"/>
        <v>0</v>
      </c>
      <c r="J2635" s="707">
        <f t="shared" si="83"/>
        <v>0</v>
      </c>
      <c r="K2635" s="70"/>
    </row>
    <row r="2636" spans="1:11" ht="24" customHeight="1">
      <c r="A2636" s="74" t="s">
        <v>194</v>
      </c>
      <c r="B2636" s="74" t="s">
        <v>10</v>
      </c>
      <c r="C2636" s="74">
        <v>4</v>
      </c>
      <c r="D2636" s="33" t="s">
        <v>1201</v>
      </c>
      <c r="E2636" s="33">
        <v>5</v>
      </c>
      <c r="F2636" s="33"/>
      <c r="G2636" s="522"/>
      <c r="H2636" s="707"/>
      <c r="I2636" s="707">
        <f t="shared" si="82"/>
        <v>0</v>
      </c>
      <c r="J2636" s="707">
        <f t="shared" si="83"/>
        <v>0</v>
      </c>
      <c r="K2636" s="70"/>
    </row>
    <row r="2637" spans="1:11" ht="24" customHeight="1">
      <c r="A2637" s="33" t="s">
        <v>2329</v>
      </c>
      <c r="B2637" s="33" t="s">
        <v>10</v>
      </c>
      <c r="C2637" s="33">
        <v>1</v>
      </c>
      <c r="D2637" s="33" t="s">
        <v>2276</v>
      </c>
      <c r="E2637" s="33">
        <v>1</v>
      </c>
      <c r="F2637" s="33"/>
      <c r="G2637" s="522"/>
      <c r="H2637" s="707"/>
      <c r="I2637" s="707">
        <f t="shared" si="82"/>
        <v>0</v>
      </c>
      <c r="J2637" s="707">
        <f t="shared" si="83"/>
        <v>0</v>
      </c>
      <c r="K2637" s="70"/>
    </row>
    <row r="2638" spans="1:11" ht="24" customHeight="1">
      <c r="A2638" s="33" t="s">
        <v>2329</v>
      </c>
      <c r="B2638" s="33" t="s">
        <v>10</v>
      </c>
      <c r="C2638" s="33">
        <v>9</v>
      </c>
      <c r="D2638" s="33" t="s">
        <v>2624</v>
      </c>
      <c r="E2638" s="33">
        <v>4</v>
      </c>
      <c r="F2638" s="33"/>
      <c r="G2638" s="522"/>
      <c r="H2638" s="707"/>
      <c r="I2638" s="707">
        <f t="shared" si="82"/>
        <v>0</v>
      </c>
      <c r="J2638" s="707">
        <f t="shared" si="83"/>
        <v>0</v>
      </c>
      <c r="K2638" s="70"/>
    </row>
    <row r="2639" spans="1:11" ht="24" customHeight="1">
      <c r="A2639" s="3" t="s">
        <v>2329</v>
      </c>
      <c r="B2639" s="3" t="s">
        <v>10</v>
      </c>
      <c r="C2639" s="3">
        <v>1</v>
      </c>
      <c r="D2639" s="15" t="s">
        <v>2918</v>
      </c>
      <c r="E2639" s="15">
        <v>1</v>
      </c>
      <c r="F2639" s="15"/>
      <c r="G2639" s="684"/>
      <c r="H2639" s="707"/>
      <c r="I2639" s="707">
        <f t="shared" si="82"/>
        <v>0</v>
      </c>
      <c r="J2639" s="707">
        <f t="shared" si="83"/>
        <v>0</v>
      </c>
      <c r="K2639" s="70"/>
    </row>
    <row r="2640" spans="1:11" ht="24" customHeight="1">
      <c r="A2640" s="3" t="s">
        <v>2940</v>
      </c>
      <c r="B2640" s="3" t="s">
        <v>14</v>
      </c>
      <c r="C2640" s="3">
        <v>8</v>
      </c>
      <c r="D2640" s="15" t="s">
        <v>2918</v>
      </c>
      <c r="E2640" s="15">
        <v>1</v>
      </c>
      <c r="F2640" s="15"/>
      <c r="G2640" s="684"/>
      <c r="H2640" s="707">
        <v>5</v>
      </c>
      <c r="I2640" s="707">
        <f t="shared" si="82"/>
        <v>5.75</v>
      </c>
      <c r="J2640" s="707">
        <f t="shared" si="83"/>
        <v>6.5</v>
      </c>
      <c r="K2640" s="70" t="s">
        <v>51</v>
      </c>
    </row>
    <row r="2641" spans="1:11" ht="24" customHeight="1">
      <c r="A2641" s="2" t="s">
        <v>433</v>
      </c>
      <c r="B2641" s="2" t="s">
        <v>10</v>
      </c>
      <c r="C2641" s="2">
        <v>25</v>
      </c>
      <c r="D2641" s="2" t="s">
        <v>274</v>
      </c>
      <c r="E2641" s="33">
        <v>3</v>
      </c>
      <c r="F2641" s="33"/>
      <c r="G2641" s="522"/>
      <c r="H2641" s="707">
        <v>1</v>
      </c>
      <c r="I2641" s="707">
        <f t="shared" si="82"/>
        <v>1.1499999999999999</v>
      </c>
      <c r="J2641" s="707">
        <f t="shared" si="83"/>
        <v>1.3</v>
      </c>
      <c r="K2641" s="70" t="s">
        <v>434</v>
      </c>
    </row>
    <row r="2642" spans="1:11" ht="24" customHeight="1">
      <c r="A2642" s="11" t="s">
        <v>433</v>
      </c>
      <c r="B2642" s="11" t="s">
        <v>10</v>
      </c>
      <c r="C2642" s="11">
        <v>34</v>
      </c>
      <c r="D2642" s="131" t="s">
        <v>2882</v>
      </c>
      <c r="E2642" s="15">
        <v>1</v>
      </c>
      <c r="F2642" s="15"/>
      <c r="G2642" s="684"/>
      <c r="H2642" s="707">
        <v>1</v>
      </c>
      <c r="I2642" s="707">
        <f t="shared" si="82"/>
        <v>1.1499999999999999</v>
      </c>
      <c r="J2642" s="707">
        <f t="shared" si="83"/>
        <v>1.3</v>
      </c>
      <c r="K2642" s="70"/>
    </row>
    <row r="2643" spans="1:11" ht="24" customHeight="1">
      <c r="A2643" s="17" t="s">
        <v>433</v>
      </c>
      <c r="B2643" s="17" t="s">
        <v>10</v>
      </c>
      <c r="C2643" s="17">
        <v>16</v>
      </c>
      <c r="D2643" s="131" t="s">
        <v>2882</v>
      </c>
      <c r="E2643" s="15">
        <v>2</v>
      </c>
      <c r="F2643" s="15"/>
      <c r="G2643" s="684"/>
      <c r="H2643" s="707">
        <v>1</v>
      </c>
      <c r="I2643" s="707">
        <f t="shared" si="82"/>
        <v>1.1499999999999999</v>
      </c>
      <c r="J2643" s="707">
        <f t="shared" si="83"/>
        <v>1.3</v>
      </c>
      <c r="K2643" s="70"/>
    </row>
    <row r="2644" spans="1:11" ht="24" customHeight="1">
      <c r="A2644" s="11" t="s">
        <v>1741</v>
      </c>
      <c r="B2644" s="11" t="s">
        <v>10</v>
      </c>
      <c r="C2644" s="11">
        <v>34</v>
      </c>
      <c r="D2644" s="131" t="s">
        <v>1723</v>
      </c>
      <c r="E2644" s="15">
        <v>1</v>
      </c>
      <c r="F2644" s="15"/>
      <c r="G2644" s="684"/>
      <c r="H2644" s="707">
        <v>2.5</v>
      </c>
      <c r="I2644" s="707">
        <f t="shared" si="82"/>
        <v>2.875</v>
      </c>
      <c r="J2644" s="707">
        <f t="shared" si="83"/>
        <v>3.25</v>
      </c>
      <c r="K2644" s="70"/>
    </row>
    <row r="2645" spans="1:11" ht="24" customHeight="1">
      <c r="A2645" s="17" t="s">
        <v>1741</v>
      </c>
      <c r="B2645" s="17" t="s">
        <v>10</v>
      </c>
      <c r="C2645" s="17">
        <v>16</v>
      </c>
      <c r="D2645" s="131" t="s">
        <v>2882</v>
      </c>
      <c r="E2645" s="15">
        <v>2</v>
      </c>
      <c r="F2645" s="15"/>
      <c r="G2645" s="684"/>
      <c r="H2645" s="707">
        <v>2.5</v>
      </c>
      <c r="I2645" s="707">
        <f t="shared" si="82"/>
        <v>2.875</v>
      </c>
      <c r="J2645" s="707">
        <f t="shared" si="83"/>
        <v>3.25</v>
      </c>
      <c r="K2645" s="70"/>
    </row>
    <row r="2646" spans="1:11" ht="24" customHeight="1">
      <c r="A2646" s="33" t="s">
        <v>670</v>
      </c>
      <c r="B2646" s="33" t="s">
        <v>81</v>
      </c>
      <c r="C2646" s="33">
        <v>39</v>
      </c>
      <c r="D2646" s="2" t="s">
        <v>593</v>
      </c>
      <c r="E2646" s="33">
        <v>1</v>
      </c>
      <c r="F2646" s="33"/>
      <c r="G2646" s="522"/>
      <c r="H2646" s="707"/>
      <c r="I2646" s="707">
        <f t="shared" si="82"/>
        <v>0</v>
      </c>
      <c r="J2646" s="707">
        <f t="shared" si="83"/>
        <v>0</v>
      </c>
      <c r="K2646" s="70"/>
    </row>
    <row r="2647" spans="1:11" ht="24" customHeight="1">
      <c r="A2647" s="33" t="s">
        <v>671</v>
      </c>
      <c r="B2647" s="33" t="s">
        <v>10</v>
      </c>
      <c r="C2647" s="33">
        <v>18</v>
      </c>
      <c r="D2647" s="2" t="s">
        <v>593</v>
      </c>
      <c r="E2647" s="33">
        <v>1</v>
      </c>
      <c r="F2647" s="33"/>
      <c r="G2647" s="522"/>
      <c r="H2647" s="707"/>
      <c r="I2647" s="707">
        <f t="shared" si="82"/>
        <v>0</v>
      </c>
      <c r="J2647" s="707">
        <f t="shared" si="83"/>
        <v>0</v>
      </c>
      <c r="K2647" s="70"/>
    </row>
    <row r="2648" spans="1:11" ht="24" customHeight="1">
      <c r="A2648" s="2" t="s">
        <v>3427</v>
      </c>
      <c r="B2648" s="2" t="s">
        <v>10</v>
      </c>
      <c r="C2648" s="2">
        <v>19</v>
      </c>
      <c r="D2648" s="65" t="s">
        <v>3348</v>
      </c>
      <c r="E2648" s="33">
        <v>5</v>
      </c>
      <c r="F2648" s="33"/>
      <c r="G2648" s="522"/>
      <c r="H2648" s="707"/>
      <c r="I2648" s="707">
        <f t="shared" si="82"/>
        <v>0</v>
      </c>
      <c r="J2648" s="707">
        <f t="shared" si="83"/>
        <v>0</v>
      </c>
      <c r="K2648" s="70"/>
    </row>
    <row r="2649" spans="1:11" ht="24" customHeight="1">
      <c r="A2649" s="74" t="s">
        <v>2248</v>
      </c>
      <c r="B2649" s="74" t="s">
        <v>10</v>
      </c>
      <c r="C2649" s="74">
        <v>19</v>
      </c>
      <c r="D2649" s="33" t="s">
        <v>2191</v>
      </c>
      <c r="E2649" s="33">
        <v>5</v>
      </c>
      <c r="F2649" s="33"/>
      <c r="G2649" s="522"/>
      <c r="H2649" s="707"/>
      <c r="I2649" s="707">
        <f t="shared" si="82"/>
        <v>0</v>
      </c>
      <c r="J2649" s="707">
        <f t="shared" si="83"/>
        <v>0</v>
      </c>
      <c r="K2649" s="70" t="s">
        <v>51</v>
      </c>
    </row>
    <row r="2650" spans="1:11" ht="24" customHeight="1">
      <c r="A2650" s="17" t="s">
        <v>3515</v>
      </c>
      <c r="B2650" s="17" t="s">
        <v>10</v>
      </c>
      <c r="C2650" s="17">
        <v>13</v>
      </c>
      <c r="D2650" s="131" t="s">
        <v>3451</v>
      </c>
      <c r="E2650" s="15">
        <v>3</v>
      </c>
      <c r="F2650" s="15"/>
      <c r="G2650" s="684"/>
      <c r="H2650" s="707"/>
      <c r="I2650" s="707">
        <f t="shared" si="82"/>
        <v>0</v>
      </c>
      <c r="J2650" s="707">
        <f t="shared" si="83"/>
        <v>0</v>
      </c>
      <c r="K2650" s="70"/>
    </row>
    <row r="2651" spans="1:11" ht="24" customHeight="1">
      <c r="A2651" s="33" t="s">
        <v>2575</v>
      </c>
      <c r="B2651" s="33" t="s">
        <v>10</v>
      </c>
      <c r="C2651" s="33">
        <v>350</v>
      </c>
      <c r="D2651" s="33" t="s">
        <v>2540</v>
      </c>
      <c r="E2651" s="33">
        <v>2</v>
      </c>
      <c r="F2651" s="33"/>
      <c r="G2651" s="522"/>
      <c r="H2651" s="707"/>
      <c r="I2651" s="707">
        <f t="shared" si="82"/>
        <v>0</v>
      </c>
      <c r="J2651" s="707">
        <f t="shared" si="83"/>
        <v>0</v>
      </c>
      <c r="K2651" s="70"/>
    </row>
    <row r="2652" spans="1:11" ht="24" customHeight="1">
      <c r="A2652" s="17" t="s">
        <v>2575</v>
      </c>
      <c r="B2652" s="17" t="s">
        <v>10</v>
      </c>
      <c r="C2652" s="17">
        <v>225</v>
      </c>
      <c r="D2652" s="131" t="s">
        <v>2802</v>
      </c>
      <c r="E2652" s="15">
        <v>3</v>
      </c>
      <c r="F2652" s="15"/>
      <c r="G2652" s="684"/>
      <c r="H2652" s="707"/>
      <c r="I2652" s="707">
        <f t="shared" si="82"/>
        <v>0</v>
      </c>
      <c r="J2652" s="707">
        <f t="shared" si="83"/>
        <v>0</v>
      </c>
      <c r="K2652" s="70"/>
    </row>
    <row r="2653" spans="1:11" ht="24" customHeight="1">
      <c r="A2653" s="33" t="s">
        <v>125</v>
      </c>
      <c r="B2653" s="33" t="s">
        <v>10</v>
      </c>
      <c r="C2653" s="33">
        <v>20</v>
      </c>
      <c r="D2653" s="2" t="s">
        <v>11</v>
      </c>
      <c r="E2653" s="33">
        <v>2</v>
      </c>
      <c r="F2653" s="33"/>
      <c r="G2653" s="522"/>
      <c r="H2653" s="707"/>
      <c r="I2653" s="707">
        <f t="shared" si="82"/>
        <v>0</v>
      </c>
      <c r="J2653" s="707">
        <f t="shared" si="83"/>
        <v>0</v>
      </c>
      <c r="K2653" s="70"/>
    </row>
    <row r="2654" spans="1:11" ht="24" customHeight="1">
      <c r="A2654" s="33" t="s">
        <v>124</v>
      </c>
      <c r="B2654" s="33" t="s">
        <v>10</v>
      </c>
      <c r="C2654" s="33">
        <v>40</v>
      </c>
      <c r="D2654" s="2" t="s">
        <v>11</v>
      </c>
      <c r="E2654" s="33">
        <v>2</v>
      </c>
      <c r="F2654" s="33"/>
      <c r="G2654" s="522"/>
      <c r="H2654" s="707"/>
      <c r="I2654" s="707">
        <f t="shared" si="82"/>
        <v>0</v>
      </c>
      <c r="J2654" s="707">
        <f t="shared" si="83"/>
        <v>0</v>
      </c>
      <c r="K2654" s="70"/>
    </row>
    <row r="2655" spans="1:11" ht="24" customHeight="1">
      <c r="A2655" s="2" t="s">
        <v>124</v>
      </c>
      <c r="B2655" s="2" t="s">
        <v>50</v>
      </c>
      <c r="C2655" s="2">
        <v>20</v>
      </c>
      <c r="D2655" s="2" t="s">
        <v>274</v>
      </c>
      <c r="E2655" s="33">
        <v>1</v>
      </c>
      <c r="F2655" s="33"/>
      <c r="G2655" s="522"/>
      <c r="H2655" s="707"/>
      <c r="I2655" s="707">
        <f t="shared" si="82"/>
        <v>0</v>
      </c>
      <c r="J2655" s="707">
        <f t="shared" si="83"/>
        <v>0</v>
      </c>
      <c r="K2655" s="70"/>
    </row>
    <row r="2656" spans="1:11" ht="24" customHeight="1">
      <c r="A2656" s="33" t="s">
        <v>124</v>
      </c>
      <c r="B2656" s="33" t="s">
        <v>10</v>
      </c>
      <c r="C2656" s="33">
        <v>18</v>
      </c>
      <c r="D2656" s="33" t="s">
        <v>1548</v>
      </c>
      <c r="E2656" s="33">
        <v>4</v>
      </c>
      <c r="F2656" s="33"/>
      <c r="G2656" s="522"/>
      <c r="H2656" s="707"/>
      <c r="I2656" s="707">
        <f t="shared" si="82"/>
        <v>0</v>
      </c>
      <c r="J2656" s="707">
        <f t="shared" si="83"/>
        <v>0</v>
      </c>
      <c r="K2656" s="70"/>
    </row>
    <row r="2657" spans="1:11" ht="24" customHeight="1">
      <c r="A2657" s="33" t="s">
        <v>124</v>
      </c>
      <c r="B2657" s="33" t="s">
        <v>10</v>
      </c>
      <c r="C2657" s="33">
        <v>145</v>
      </c>
      <c r="D2657" s="33" t="s">
        <v>2540</v>
      </c>
      <c r="E2657" s="33">
        <v>2</v>
      </c>
      <c r="F2657" s="33"/>
      <c r="G2657" s="522"/>
      <c r="H2657" s="707"/>
      <c r="I2657" s="707">
        <f t="shared" si="82"/>
        <v>0</v>
      </c>
      <c r="J2657" s="707">
        <f t="shared" si="83"/>
        <v>0</v>
      </c>
      <c r="K2657" s="70"/>
    </row>
    <row r="2658" spans="1:11" ht="24" customHeight="1">
      <c r="A2658" s="33" t="s">
        <v>124</v>
      </c>
      <c r="B2658" s="33" t="s">
        <v>83</v>
      </c>
      <c r="C2658" s="33">
        <v>180</v>
      </c>
      <c r="D2658" s="33" t="s">
        <v>2624</v>
      </c>
      <c r="E2658" s="33">
        <v>3</v>
      </c>
      <c r="F2658" s="33"/>
      <c r="G2658" s="522"/>
      <c r="H2658" s="707"/>
      <c r="I2658" s="707">
        <f t="shared" si="82"/>
        <v>0</v>
      </c>
      <c r="J2658" s="707">
        <f t="shared" si="83"/>
        <v>0</v>
      </c>
      <c r="K2658" s="70"/>
    </row>
    <row r="2659" spans="1:11" ht="24" customHeight="1">
      <c r="A2659" s="33" t="s">
        <v>124</v>
      </c>
      <c r="B2659" s="71" t="s">
        <v>10</v>
      </c>
      <c r="C2659" s="71">
        <v>160</v>
      </c>
      <c r="D2659" s="71" t="s">
        <v>2947</v>
      </c>
      <c r="E2659" s="71">
        <v>3</v>
      </c>
      <c r="F2659" s="71"/>
      <c r="G2659" s="686"/>
      <c r="H2659" s="709"/>
      <c r="I2659" s="709">
        <f t="shared" si="82"/>
        <v>0</v>
      </c>
      <c r="J2659" s="709">
        <f t="shared" si="83"/>
        <v>0</v>
      </c>
      <c r="K2659" s="70"/>
    </row>
    <row r="2660" spans="1:11" ht="24" customHeight="1">
      <c r="A2660" s="33" t="s">
        <v>2952</v>
      </c>
      <c r="B2660" s="33" t="s">
        <v>10</v>
      </c>
      <c r="C2660" s="33">
        <v>132</v>
      </c>
      <c r="D2660" s="71" t="s">
        <v>2947</v>
      </c>
      <c r="E2660" s="33">
        <v>3</v>
      </c>
      <c r="F2660" s="33"/>
      <c r="G2660" s="522"/>
      <c r="H2660" s="707">
        <v>0.5</v>
      </c>
      <c r="I2660" s="707">
        <f t="shared" si="82"/>
        <v>0.57499999999999996</v>
      </c>
      <c r="J2660" s="707">
        <f t="shared" si="83"/>
        <v>0.65</v>
      </c>
      <c r="K2660" s="70" t="s">
        <v>51</v>
      </c>
    </row>
    <row r="2661" spans="1:11" ht="14.4">
      <c r="A2661" s="2" t="s">
        <v>661</v>
      </c>
      <c r="B2661" s="2" t="s">
        <v>19</v>
      </c>
      <c r="C2661" s="2">
        <v>194</v>
      </c>
      <c r="D2661" s="2" t="s">
        <v>593</v>
      </c>
      <c r="E2661" s="33">
        <v>1</v>
      </c>
      <c r="F2661" s="33"/>
      <c r="G2661" s="522"/>
      <c r="H2661" s="707"/>
      <c r="I2661" s="707">
        <f t="shared" si="82"/>
        <v>0</v>
      </c>
      <c r="J2661" s="707">
        <f t="shared" si="83"/>
        <v>0</v>
      </c>
      <c r="K2661" s="70"/>
    </row>
    <row r="2662" spans="1:11" ht="14.4">
      <c r="A2662" s="33" t="s">
        <v>1514</v>
      </c>
      <c r="B2662" s="33" t="s">
        <v>637</v>
      </c>
      <c r="C2662" s="33">
        <v>100</v>
      </c>
      <c r="D2662" s="33" t="s">
        <v>1494</v>
      </c>
      <c r="E2662" s="33">
        <v>1</v>
      </c>
      <c r="F2662" s="33"/>
      <c r="G2662" s="522"/>
      <c r="H2662" s="707"/>
      <c r="I2662" s="707">
        <f t="shared" si="82"/>
        <v>0</v>
      </c>
      <c r="J2662" s="707">
        <f t="shared" si="83"/>
        <v>0</v>
      </c>
      <c r="K2662" s="70"/>
    </row>
    <row r="2663" spans="1:11" ht="14.4">
      <c r="A2663" s="33" t="s">
        <v>3074</v>
      </c>
      <c r="B2663" s="33" t="s">
        <v>646</v>
      </c>
      <c r="C2663" s="33">
        <v>1</v>
      </c>
      <c r="D2663" s="33" t="s">
        <v>3053</v>
      </c>
      <c r="E2663" s="33">
        <v>2</v>
      </c>
      <c r="F2663" s="33"/>
      <c r="G2663" s="522"/>
      <c r="H2663" s="707"/>
      <c r="I2663" s="707">
        <f t="shared" si="82"/>
        <v>0</v>
      </c>
      <c r="J2663" s="707">
        <f t="shared" si="83"/>
        <v>0</v>
      </c>
      <c r="K2663" s="70"/>
    </row>
    <row r="2664" spans="1:11" ht="14.4">
      <c r="A2664" s="33" t="s">
        <v>415</v>
      </c>
      <c r="B2664" s="33" t="s">
        <v>10</v>
      </c>
      <c r="C2664" s="33">
        <v>15</v>
      </c>
      <c r="D2664" s="2" t="s">
        <v>274</v>
      </c>
      <c r="E2664" s="33">
        <v>2</v>
      </c>
      <c r="F2664" s="33"/>
      <c r="G2664" s="522"/>
      <c r="H2664" s="707"/>
      <c r="I2664" s="707">
        <f t="shared" si="82"/>
        <v>0</v>
      </c>
      <c r="J2664" s="707">
        <f t="shared" si="83"/>
        <v>0</v>
      </c>
      <c r="K2664" s="70"/>
    </row>
    <row r="2665" spans="1:11" ht="14.4">
      <c r="A2665" s="2" t="s">
        <v>3551</v>
      </c>
      <c r="B2665" s="2" t="s">
        <v>10</v>
      </c>
      <c r="C2665" s="2">
        <v>100</v>
      </c>
      <c r="D2665" s="2" t="s">
        <v>3548</v>
      </c>
      <c r="E2665" s="33">
        <v>5</v>
      </c>
      <c r="F2665" s="33"/>
      <c r="G2665" s="522"/>
      <c r="H2665" s="707"/>
      <c r="I2665" s="707">
        <f t="shared" si="82"/>
        <v>0</v>
      </c>
      <c r="J2665" s="707">
        <f t="shared" si="83"/>
        <v>0</v>
      </c>
      <c r="K2665" s="70"/>
    </row>
    <row r="2666" spans="1:11" ht="14.4">
      <c r="A2666" s="59" t="s">
        <v>2702</v>
      </c>
      <c r="B2666" s="59" t="s">
        <v>10</v>
      </c>
      <c r="C2666" s="59">
        <v>4</v>
      </c>
      <c r="D2666" s="33" t="s">
        <v>2624</v>
      </c>
      <c r="E2666" s="354">
        <v>5</v>
      </c>
      <c r="F2666" s="354"/>
      <c r="G2666" s="688"/>
      <c r="H2666" s="707">
        <v>1</v>
      </c>
      <c r="I2666" s="707">
        <f t="shared" si="82"/>
        <v>1.1499999999999999</v>
      </c>
      <c r="J2666" s="707">
        <f t="shared" si="83"/>
        <v>1.3</v>
      </c>
      <c r="K2666" s="70"/>
    </row>
    <row r="2667" spans="1:11" ht="14.4">
      <c r="A2667" s="11" t="s">
        <v>3086</v>
      </c>
      <c r="B2667" s="34" t="s">
        <v>10</v>
      </c>
      <c r="C2667" s="11">
        <v>9</v>
      </c>
      <c r="D2667" s="33" t="s">
        <v>3053</v>
      </c>
      <c r="E2667" s="17">
        <v>2</v>
      </c>
      <c r="F2667" s="17"/>
      <c r="G2667" s="687"/>
      <c r="H2667" s="707"/>
      <c r="I2667" s="707">
        <f t="shared" si="82"/>
        <v>0</v>
      </c>
      <c r="J2667" s="707">
        <f t="shared" si="83"/>
        <v>0</v>
      </c>
      <c r="K2667" s="70"/>
    </row>
    <row r="2668" spans="1:11" ht="14.4">
      <c r="A2668" s="59" t="s">
        <v>2673</v>
      </c>
      <c r="B2668" s="59" t="s">
        <v>10</v>
      </c>
      <c r="C2668" s="59">
        <v>102</v>
      </c>
      <c r="D2668" s="33" t="s">
        <v>2624</v>
      </c>
      <c r="E2668" s="354">
        <v>5</v>
      </c>
      <c r="F2668" s="354"/>
      <c r="G2668" s="688"/>
      <c r="H2668" s="707"/>
      <c r="I2668" s="707">
        <f t="shared" si="82"/>
        <v>0</v>
      </c>
      <c r="J2668" s="707">
        <f t="shared" si="83"/>
        <v>0</v>
      </c>
      <c r="K2668" s="70"/>
    </row>
    <row r="2669" spans="1:11" ht="15.6">
      <c r="A2669" s="74" t="s">
        <v>2458</v>
      </c>
      <c r="B2669" s="74" t="s">
        <v>10</v>
      </c>
      <c r="C2669" s="74">
        <v>1</v>
      </c>
      <c r="D2669" s="33" t="s">
        <v>2363</v>
      </c>
      <c r="E2669" s="33">
        <v>5</v>
      </c>
      <c r="F2669" s="33"/>
      <c r="G2669" s="522"/>
      <c r="H2669" s="707"/>
      <c r="I2669" s="707">
        <f t="shared" si="82"/>
        <v>0</v>
      </c>
      <c r="J2669" s="707">
        <f t="shared" si="83"/>
        <v>0</v>
      </c>
      <c r="K2669" s="70"/>
    </row>
    <row r="2670" spans="1:11" ht="14.4">
      <c r="A2670" s="3" t="s">
        <v>2813</v>
      </c>
      <c r="B2670" s="3" t="s">
        <v>10</v>
      </c>
      <c r="C2670" s="3">
        <v>3</v>
      </c>
      <c r="D2670" s="58" t="s">
        <v>2802</v>
      </c>
      <c r="E2670" s="33">
        <v>2</v>
      </c>
      <c r="F2670" s="33"/>
      <c r="G2670" s="522"/>
      <c r="H2670" s="707"/>
      <c r="I2670" s="707">
        <f t="shared" si="82"/>
        <v>0</v>
      </c>
      <c r="J2670" s="707">
        <f t="shared" si="83"/>
        <v>0</v>
      </c>
      <c r="K2670" s="70"/>
    </row>
    <row r="2671" spans="1:11" ht="24" customHeight="1">
      <c r="A2671" s="59" t="s">
        <v>2813</v>
      </c>
      <c r="B2671" s="59" t="s">
        <v>10</v>
      </c>
      <c r="C2671" s="59">
        <v>23</v>
      </c>
      <c r="D2671" s="33" t="s">
        <v>3027</v>
      </c>
      <c r="E2671" s="33">
        <v>1</v>
      </c>
      <c r="F2671" s="33"/>
      <c r="G2671" s="522"/>
      <c r="H2671" s="707"/>
      <c r="I2671" s="707">
        <f t="shared" si="82"/>
        <v>0</v>
      </c>
      <c r="J2671" s="707">
        <f t="shared" si="83"/>
        <v>0</v>
      </c>
      <c r="K2671" s="70"/>
    </row>
    <row r="2672" spans="1:11" ht="24" customHeight="1">
      <c r="A2672" s="2" t="s">
        <v>3642</v>
      </c>
      <c r="B2672" s="2" t="s">
        <v>14</v>
      </c>
      <c r="C2672" s="2">
        <v>83</v>
      </c>
      <c r="D2672" s="2" t="s">
        <v>3636</v>
      </c>
      <c r="E2672" s="33">
        <v>2</v>
      </c>
      <c r="F2672" s="33"/>
      <c r="G2672" s="522"/>
      <c r="H2672" s="707"/>
      <c r="I2672" s="707">
        <f t="shared" si="82"/>
        <v>0</v>
      </c>
      <c r="J2672" s="707">
        <f t="shared" si="83"/>
        <v>0</v>
      </c>
      <c r="K2672" s="55"/>
    </row>
    <row r="2673" spans="1:11" ht="24" customHeight="1">
      <c r="A2673" s="2" t="s">
        <v>3586</v>
      </c>
      <c r="B2673" s="2" t="s">
        <v>10</v>
      </c>
      <c r="C2673" s="2">
        <v>38</v>
      </c>
      <c r="D2673" s="33" t="s">
        <v>3568</v>
      </c>
      <c r="E2673" s="33">
        <v>2</v>
      </c>
      <c r="F2673" s="33"/>
      <c r="G2673" s="522"/>
      <c r="H2673" s="707">
        <v>1.5</v>
      </c>
      <c r="I2673" s="707">
        <f t="shared" si="82"/>
        <v>1.7249999999999999</v>
      </c>
      <c r="J2673" s="707">
        <f t="shared" si="83"/>
        <v>1.9500000000000002</v>
      </c>
      <c r="K2673" s="312" t="s">
        <v>3576</v>
      </c>
    </row>
    <row r="2674" spans="1:11" ht="24" customHeight="1">
      <c r="A2674" s="33" t="s">
        <v>359</v>
      </c>
      <c r="B2674" s="71" t="s">
        <v>10</v>
      </c>
      <c r="C2674" s="71">
        <v>91</v>
      </c>
      <c r="D2674" s="2" t="s">
        <v>274</v>
      </c>
      <c r="E2674" s="71">
        <v>1</v>
      </c>
      <c r="F2674" s="71"/>
      <c r="G2674" s="686"/>
      <c r="H2674" s="709">
        <v>1.5</v>
      </c>
      <c r="I2674" s="709">
        <f t="shared" si="82"/>
        <v>1.7249999999999999</v>
      </c>
      <c r="J2674" s="709">
        <f t="shared" si="83"/>
        <v>1.9500000000000002</v>
      </c>
      <c r="K2674" s="70"/>
    </row>
    <row r="2675" spans="1:11" ht="24" customHeight="1">
      <c r="A2675" s="2" t="s">
        <v>359</v>
      </c>
      <c r="B2675" s="2" t="s">
        <v>10</v>
      </c>
      <c r="C2675" s="2">
        <v>100</v>
      </c>
      <c r="D2675" s="2" t="s">
        <v>3548</v>
      </c>
      <c r="E2675" s="33">
        <v>5</v>
      </c>
      <c r="F2675" s="33"/>
      <c r="G2675" s="522"/>
      <c r="H2675" s="707"/>
      <c r="I2675" s="707">
        <f t="shared" si="82"/>
        <v>0</v>
      </c>
      <c r="J2675" s="707">
        <f t="shared" si="83"/>
        <v>0</v>
      </c>
      <c r="K2675" s="70"/>
    </row>
    <row r="2676" spans="1:11" ht="24" customHeight="1">
      <c r="A2676" s="2" t="s">
        <v>3254</v>
      </c>
      <c r="B2676" s="2" t="s">
        <v>10</v>
      </c>
      <c r="C2676" s="2">
        <v>29</v>
      </c>
      <c r="D2676" s="2" t="s">
        <v>3553</v>
      </c>
      <c r="E2676" s="33">
        <v>2</v>
      </c>
      <c r="F2676" s="33"/>
      <c r="G2676" s="522"/>
      <c r="H2676" s="707">
        <v>9</v>
      </c>
      <c r="I2676" s="707">
        <f t="shared" si="82"/>
        <v>10.35</v>
      </c>
      <c r="J2676" s="707">
        <f t="shared" si="83"/>
        <v>11.700000000000001</v>
      </c>
      <c r="K2676" s="70" t="s">
        <v>1859</v>
      </c>
    </row>
    <row r="2677" spans="1:11" ht="24" customHeight="1">
      <c r="A2677" s="33" t="s">
        <v>3254</v>
      </c>
      <c r="B2677" s="33" t="s">
        <v>10</v>
      </c>
      <c r="C2677" s="33">
        <v>39</v>
      </c>
      <c r="D2677" s="33" t="s">
        <v>3053</v>
      </c>
      <c r="E2677" s="354">
        <v>5</v>
      </c>
      <c r="F2677" s="354"/>
      <c r="G2677" s="688"/>
      <c r="H2677" s="707"/>
      <c r="I2677" s="707">
        <f t="shared" si="82"/>
        <v>0</v>
      </c>
      <c r="J2677" s="707">
        <f t="shared" si="83"/>
        <v>0</v>
      </c>
      <c r="K2677" s="70"/>
    </row>
    <row r="2678" spans="1:11" ht="24" customHeight="1">
      <c r="A2678" s="33" t="s">
        <v>128</v>
      </c>
      <c r="B2678" s="33" t="s">
        <v>10</v>
      </c>
      <c r="C2678" s="33">
        <v>30</v>
      </c>
      <c r="D2678" s="2" t="s">
        <v>11</v>
      </c>
      <c r="E2678" s="33">
        <v>2</v>
      </c>
      <c r="F2678" s="33"/>
      <c r="G2678" s="522"/>
      <c r="H2678" s="707">
        <v>1</v>
      </c>
      <c r="I2678" s="707">
        <f t="shared" si="82"/>
        <v>1.1499999999999999</v>
      </c>
      <c r="J2678" s="707">
        <f t="shared" si="83"/>
        <v>1.3</v>
      </c>
      <c r="K2678" s="70"/>
    </row>
    <row r="2679" spans="1:11" ht="24" customHeight="1">
      <c r="A2679" s="2" t="s">
        <v>128</v>
      </c>
      <c r="B2679" s="2" t="s">
        <v>50</v>
      </c>
      <c r="C2679" s="2">
        <v>40</v>
      </c>
      <c r="D2679" s="2" t="s">
        <v>888</v>
      </c>
      <c r="E2679" s="33">
        <v>5</v>
      </c>
      <c r="F2679" s="33"/>
      <c r="G2679" s="522"/>
      <c r="H2679" s="707">
        <v>1</v>
      </c>
      <c r="I2679" s="707">
        <f t="shared" si="82"/>
        <v>1.1499999999999999</v>
      </c>
      <c r="J2679" s="707">
        <f t="shared" si="83"/>
        <v>1.3</v>
      </c>
      <c r="K2679" s="55"/>
    </row>
    <row r="2680" spans="1:11" ht="24" customHeight="1">
      <c r="A2680" s="2" t="s">
        <v>128</v>
      </c>
      <c r="B2680" s="2" t="s">
        <v>10</v>
      </c>
      <c r="C2680" s="2">
        <v>10</v>
      </c>
      <c r="D2680" s="2" t="s">
        <v>3279</v>
      </c>
      <c r="E2680" s="33">
        <v>5</v>
      </c>
      <c r="F2680" s="33"/>
      <c r="G2680" s="522"/>
      <c r="H2680" s="707">
        <v>1</v>
      </c>
      <c r="I2680" s="707">
        <f t="shared" si="82"/>
        <v>1.1499999999999999</v>
      </c>
      <c r="J2680" s="707">
        <f t="shared" si="83"/>
        <v>1.3</v>
      </c>
      <c r="K2680" s="70"/>
    </row>
    <row r="2681" spans="1:11" ht="24" customHeight="1">
      <c r="A2681" s="11" t="s">
        <v>128</v>
      </c>
      <c r="B2681" s="11" t="s">
        <v>14</v>
      </c>
      <c r="C2681" s="11">
        <v>10</v>
      </c>
      <c r="D2681" s="131" t="s">
        <v>3451</v>
      </c>
      <c r="E2681" s="15">
        <v>3</v>
      </c>
      <c r="F2681" s="15"/>
      <c r="G2681" s="684"/>
      <c r="H2681" s="707">
        <v>1</v>
      </c>
      <c r="I2681" s="707">
        <f t="shared" si="82"/>
        <v>1.1499999999999999</v>
      </c>
      <c r="J2681" s="707">
        <f t="shared" si="83"/>
        <v>1.3</v>
      </c>
      <c r="K2681" s="70"/>
    </row>
    <row r="2682" spans="1:11" ht="24" customHeight="1">
      <c r="A2682" s="2" t="s">
        <v>128</v>
      </c>
      <c r="B2682" s="33" t="s">
        <v>10</v>
      </c>
      <c r="C2682" s="2">
        <v>100</v>
      </c>
      <c r="D2682" s="2" t="s">
        <v>3553</v>
      </c>
      <c r="E2682" s="33">
        <v>2</v>
      </c>
      <c r="F2682" s="33"/>
      <c r="G2682" s="522"/>
      <c r="H2682" s="707"/>
      <c r="I2682" s="707">
        <f t="shared" si="82"/>
        <v>0</v>
      </c>
      <c r="J2682" s="707">
        <f t="shared" si="83"/>
        <v>0</v>
      </c>
      <c r="K2682" s="55"/>
    </row>
    <row r="2683" spans="1:11" ht="24" customHeight="1">
      <c r="A2683" s="2" t="s">
        <v>128</v>
      </c>
      <c r="B2683" s="2" t="s">
        <v>10</v>
      </c>
      <c r="C2683" s="2">
        <v>3</v>
      </c>
      <c r="D2683" s="2" t="s">
        <v>3671</v>
      </c>
      <c r="E2683" s="33">
        <v>2</v>
      </c>
      <c r="F2683" s="33"/>
      <c r="G2683" s="522"/>
      <c r="H2683" s="707"/>
      <c r="I2683" s="707">
        <f t="shared" si="82"/>
        <v>0</v>
      </c>
      <c r="J2683" s="707">
        <f t="shared" si="83"/>
        <v>0</v>
      </c>
      <c r="K2683" s="70"/>
    </row>
    <row r="2684" spans="1:11" ht="24" customHeight="1">
      <c r="A2684" s="2" t="s">
        <v>3570</v>
      </c>
      <c r="B2684" s="2" t="s">
        <v>10</v>
      </c>
      <c r="C2684" s="2">
        <v>99</v>
      </c>
      <c r="D2684" s="33" t="s">
        <v>3568</v>
      </c>
      <c r="E2684" s="33">
        <v>2</v>
      </c>
      <c r="F2684" s="33"/>
      <c r="G2684" s="522"/>
      <c r="H2684" s="707"/>
      <c r="I2684" s="707">
        <f t="shared" si="82"/>
        <v>0</v>
      </c>
      <c r="J2684" s="707">
        <f t="shared" si="83"/>
        <v>0</v>
      </c>
      <c r="K2684" s="70"/>
    </row>
    <row r="2685" spans="1:11" ht="24" customHeight="1">
      <c r="A2685" s="2" t="s">
        <v>687</v>
      </c>
      <c r="B2685" s="2" t="s">
        <v>50</v>
      </c>
      <c r="C2685" s="2">
        <v>59</v>
      </c>
      <c r="D2685" s="2" t="s">
        <v>593</v>
      </c>
      <c r="E2685" s="33">
        <v>2</v>
      </c>
      <c r="F2685" s="33"/>
      <c r="G2685" s="522"/>
      <c r="H2685" s="707">
        <v>5</v>
      </c>
      <c r="I2685" s="707">
        <f t="shared" si="82"/>
        <v>5.75</v>
      </c>
      <c r="J2685" s="707">
        <f t="shared" si="83"/>
        <v>6.5</v>
      </c>
      <c r="K2685" s="70"/>
    </row>
    <row r="2686" spans="1:11" ht="24" customHeight="1">
      <c r="A2686" s="33" t="s">
        <v>687</v>
      </c>
      <c r="B2686" s="33" t="s">
        <v>10</v>
      </c>
      <c r="C2686" s="33">
        <v>100</v>
      </c>
      <c r="D2686" s="2" t="s">
        <v>3553</v>
      </c>
      <c r="E2686" s="33">
        <v>2</v>
      </c>
      <c r="F2686" s="33"/>
      <c r="G2686" s="522"/>
      <c r="H2686" s="707"/>
      <c r="I2686" s="707">
        <f t="shared" si="82"/>
        <v>0</v>
      </c>
      <c r="J2686" s="707">
        <f t="shared" si="83"/>
        <v>0</v>
      </c>
      <c r="K2686" s="70"/>
    </row>
    <row r="2687" spans="1:11" ht="24" customHeight="1">
      <c r="A2687" s="33" t="s">
        <v>2129</v>
      </c>
      <c r="B2687" s="33" t="s">
        <v>10</v>
      </c>
      <c r="C2687" s="33">
        <v>60</v>
      </c>
      <c r="D2687" s="33" t="s">
        <v>2111</v>
      </c>
      <c r="E2687" s="33">
        <v>1</v>
      </c>
      <c r="F2687" s="33"/>
      <c r="G2687" s="522"/>
      <c r="H2687" s="707">
        <v>1</v>
      </c>
      <c r="I2687" s="707">
        <f t="shared" si="82"/>
        <v>1.1499999999999999</v>
      </c>
      <c r="J2687" s="707">
        <f t="shared" si="83"/>
        <v>1.3</v>
      </c>
      <c r="K2687" s="70"/>
    </row>
    <row r="2688" spans="1:11" ht="24" customHeight="1">
      <c r="A2688" s="33" t="s">
        <v>2645</v>
      </c>
      <c r="B2688" s="33" t="s">
        <v>10</v>
      </c>
      <c r="C2688" s="33">
        <v>80</v>
      </c>
      <c r="D2688" s="33" t="s">
        <v>2624</v>
      </c>
      <c r="E2688" s="33">
        <v>4</v>
      </c>
      <c r="F2688" s="33"/>
      <c r="G2688" s="522"/>
      <c r="H2688" s="707">
        <v>10</v>
      </c>
      <c r="I2688" s="707">
        <f t="shared" si="82"/>
        <v>11.5</v>
      </c>
      <c r="J2688" s="707">
        <f t="shared" si="83"/>
        <v>13</v>
      </c>
      <c r="K2688" s="70" t="s">
        <v>1970</v>
      </c>
    </row>
    <row r="2689" spans="1:11" ht="24" customHeight="1">
      <c r="A2689" s="33" t="s">
        <v>2125</v>
      </c>
      <c r="B2689" s="33" t="s">
        <v>10</v>
      </c>
      <c r="C2689" s="33">
        <v>51</v>
      </c>
      <c r="D2689" s="33" t="s">
        <v>2111</v>
      </c>
      <c r="E2689" s="33">
        <v>1</v>
      </c>
      <c r="F2689" s="33"/>
      <c r="G2689" s="522"/>
      <c r="H2689" s="707">
        <v>1</v>
      </c>
      <c r="I2689" s="707">
        <f t="shared" si="82"/>
        <v>1.1499999999999999</v>
      </c>
      <c r="J2689" s="707">
        <f t="shared" si="83"/>
        <v>1.3</v>
      </c>
      <c r="K2689" s="70"/>
    </row>
    <row r="2690" spans="1:11" ht="24" customHeight="1">
      <c r="A2690" s="11" t="s">
        <v>2125</v>
      </c>
      <c r="B2690" s="11" t="s">
        <v>10</v>
      </c>
      <c r="C2690" s="11">
        <v>1</v>
      </c>
      <c r="D2690" s="131" t="s">
        <v>3451</v>
      </c>
      <c r="E2690" s="15">
        <v>3</v>
      </c>
      <c r="F2690" s="15"/>
      <c r="G2690" s="684"/>
      <c r="H2690" s="707">
        <v>1</v>
      </c>
      <c r="I2690" s="707">
        <f t="shared" si="82"/>
        <v>1.1499999999999999</v>
      </c>
      <c r="J2690" s="707">
        <f t="shared" si="83"/>
        <v>1.3</v>
      </c>
      <c r="K2690" s="70"/>
    </row>
    <row r="2691" spans="1:11" ht="24" customHeight="1">
      <c r="A2691" s="2" t="s">
        <v>1883</v>
      </c>
      <c r="B2691" s="2" t="s">
        <v>14</v>
      </c>
      <c r="C2691" s="2">
        <v>23</v>
      </c>
      <c r="D2691" s="2" t="s">
        <v>1785</v>
      </c>
      <c r="E2691" s="33">
        <v>3</v>
      </c>
      <c r="F2691" s="33"/>
      <c r="G2691" s="522"/>
      <c r="H2691" s="707"/>
      <c r="I2691" s="707">
        <f t="shared" ref="I2691:I2754" si="84">H2691 * 1.15</f>
        <v>0</v>
      </c>
      <c r="J2691" s="707">
        <f t="shared" ref="J2691:J2754" si="85">H2691 * 1.3</f>
        <v>0</v>
      </c>
      <c r="K2691" s="70"/>
    </row>
    <row r="2692" spans="1:11" ht="24" customHeight="1">
      <c r="A2692" s="2" t="s">
        <v>1806</v>
      </c>
      <c r="B2692" s="2" t="s">
        <v>14</v>
      </c>
      <c r="C2692" s="2">
        <v>21</v>
      </c>
      <c r="D2692" s="2" t="s">
        <v>1785</v>
      </c>
      <c r="E2692" s="33">
        <v>1</v>
      </c>
      <c r="F2692" s="33"/>
      <c r="G2692" s="522"/>
      <c r="H2692" s="707"/>
      <c r="I2692" s="707">
        <f t="shared" si="84"/>
        <v>0</v>
      </c>
      <c r="J2692" s="707">
        <f t="shared" si="85"/>
        <v>0</v>
      </c>
      <c r="K2692" s="70"/>
    </row>
    <row r="2693" spans="1:11" ht="24" customHeight="1">
      <c r="A2693" s="33" t="s">
        <v>1282</v>
      </c>
      <c r="B2693" s="33" t="s">
        <v>10</v>
      </c>
      <c r="C2693" s="33">
        <v>9</v>
      </c>
      <c r="D2693" s="33" t="s">
        <v>1201</v>
      </c>
      <c r="E2693" s="33">
        <v>4</v>
      </c>
      <c r="F2693" s="33"/>
      <c r="G2693" s="522"/>
      <c r="H2693" s="707">
        <v>2</v>
      </c>
      <c r="I2693" s="707">
        <f t="shared" si="84"/>
        <v>2.2999999999999998</v>
      </c>
      <c r="J2693" s="707">
        <f t="shared" si="85"/>
        <v>2.6</v>
      </c>
      <c r="K2693" s="70"/>
    </row>
    <row r="2694" spans="1:11" ht="24" customHeight="1">
      <c r="A2694" s="383" t="s">
        <v>102</v>
      </c>
      <c r="B2694" s="2" t="s">
        <v>10</v>
      </c>
      <c r="C2694" s="2">
        <v>80</v>
      </c>
      <c r="D2694" s="2" t="s">
        <v>11</v>
      </c>
      <c r="E2694" s="33">
        <v>2</v>
      </c>
      <c r="F2694" s="33"/>
      <c r="G2694" s="522"/>
      <c r="H2694" s="707"/>
      <c r="I2694" s="707">
        <f t="shared" si="84"/>
        <v>0</v>
      </c>
      <c r="J2694" s="707">
        <f t="shared" si="85"/>
        <v>0</v>
      </c>
      <c r="K2694" s="70" t="s">
        <v>99</v>
      </c>
    </row>
    <row r="2695" spans="1:11" ht="24" customHeight="1">
      <c r="A2695" s="2" t="s">
        <v>3574</v>
      </c>
      <c r="B2695" s="2" t="s">
        <v>10</v>
      </c>
      <c r="C2695" s="2">
        <v>60</v>
      </c>
      <c r="D2695" s="33" t="s">
        <v>3568</v>
      </c>
      <c r="E2695" s="33">
        <v>2</v>
      </c>
      <c r="F2695" s="33"/>
      <c r="G2695" s="522"/>
      <c r="H2695" s="707"/>
      <c r="I2695" s="707">
        <f t="shared" si="84"/>
        <v>0</v>
      </c>
      <c r="J2695" s="707">
        <f t="shared" si="85"/>
        <v>0</v>
      </c>
      <c r="K2695" s="70"/>
    </row>
    <row r="2696" spans="1:11" ht="24" customHeight="1">
      <c r="A2696" s="33" t="s">
        <v>1788</v>
      </c>
      <c r="B2696" s="33" t="s">
        <v>10</v>
      </c>
      <c r="C2696" s="33">
        <v>101</v>
      </c>
      <c r="D2696" s="2" t="s">
        <v>1785</v>
      </c>
      <c r="E2696" s="33">
        <v>1</v>
      </c>
      <c r="F2696" s="33"/>
      <c r="G2696" s="522"/>
      <c r="H2696" s="707">
        <v>2</v>
      </c>
      <c r="I2696" s="707">
        <f t="shared" si="84"/>
        <v>2.2999999999999998</v>
      </c>
      <c r="J2696" s="707">
        <f t="shared" si="85"/>
        <v>2.6</v>
      </c>
      <c r="K2696" s="70" t="s">
        <v>711</v>
      </c>
    </row>
    <row r="2697" spans="1:11" ht="24" customHeight="1">
      <c r="A2697" s="2" t="s">
        <v>1788</v>
      </c>
      <c r="B2697" s="2" t="s">
        <v>10</v>
      </c>
      <c r="C2697" s="2">
        <v>40</v>
      </c>
      <c r="D2697" s="33" t="s">
        <v>3568</v>
      </c>
      <c r="E2697" s="33">
        <v>2</v>
      </c>
      <c r="F2697" s="33"/>
      <c r="G2697" s="522"/>
      <c r="H2697" s="707"/>
      <c r="I2697" s="707">
        <f t="shared" si="84"/>
        <v>0</v>
      </c>
      <c r="J2697" s="707">
        <f t="shared" si="85"/>
        <v>0</v>
      </c>
      <c r="K2697" s="312" t="s">
        <v>3589</v>
      </c>
    </row>
    <row r="2698" spans="1:11" ht="24" customHeight="1">
      <c r="A2698" s="33" t="s">
        <v>153</v>
      </c>
      <c r="B2698" s="33" t="s">
        <v>56</v>
      </c>
      <c r="C2698" s="33">
        <v>98</v>
      </c>
      <c r="D2698" s="2" t="s">
        <v>11</v>
      </c>
      <c r="E2698" s="33">
        <v>3</v>
      </c>
      <c r="F2698" s="33"/>
      <c r="G2698" s="522"/>
      <c r="H2698" s="707">
        <v>1</v>
      </c>
      <c r="I2698" s="707">
        <f t="shared" si="84"/>
        <v>1.1499999999999999</v>
      </c>
      <c r="J2698" s="707">
        <f t="shared" si="85"/>
        <v>1.3</v>
      </c>
      <c r="K2698" s="70"/>
    </row>
    <row r="2699" spans="1:11" ht="24" customHeight="1">
      <c r="A2699" s="33" t="s">
        <v>1439</v>
      </c>
      <c r="B2699" s="33" t="s">
        <v>81</v>
      </c>
      <c r="C2699" s="33">
        <v>1</v>
      </c>
      <c r="D2699" s="33" t="s">
        <v>1372</v>
      </c>
      <c r="E2699" s="33">
        <v>5</v>
      </c>
      <c r="F2699" s="33"/>
      <c r="G2699" s="522"/>
      <c r="H2699" s="707"/>
      <c r="I2699" s="707">
        <f t="shared" si="84"/>
        <v>0</v>
      </c>
      <c r="J2699" s="707">
        <f t="shared" si="85"/>
        <v>0</v>
      </c>
      <c r="K2699" s="70"/>
    </row>
    <row r="2700" spans="1:11" ht="24" customHeight="1">
      <c r="A2700" s="33" t="s">
        <v>118</v>
      </c>
      <c r="B2700" s="33" t="s">
        <v>10</v>
      </c>
      <c r="C2700" s="33">
        <v>84</v>
      </c>
      <c r="D2700" s="2" t="s">
        <v>1785</v>
      </c>
      <c r="E2700" s="33">
        <v>1</v>
      </c>
      <c r="F2700" s="33"/>
      <c r="G2700" s="522"/>
      <c r="H2700" s="707">
        <v>7</v>
      </c>
      <c r="I2700" s="707">
        <f t="shared" si="84"/>
        <v>8.0499999999999989</v>
      </c>
      <c r="J2700" s="707">
        <f t="shared" si="85"/>
        <v>9.1</v>
      </c>
      <c r="K2700" s="70" t="s">
        <v>711</v>
      </c>
    </row>
    <row r="2701" spans="1:11" ht="24" customHeight="1">
      <c r="A2701" s="33" t="s">
        <v>181</v>
      </c>
      <c r="B2701" s="33" t="s">
        <v>10</v>
      </c>
      <c r="C2701" s="33">
        <v>40</v>
      </c>
      <c r="D2701" s="2" t="s">
        <v>11</v>
      </c>
      <c r="E2701" s="33">
        <v>3</v>
      </c>
      <c r="F2701" s="33"/>
      <c r="G2701" s="522"/>
      <c r="H2701" s="707"/>
      <c r="I2701" s="707">
        <f t="shared" si="84"/>
        <v>0</v>
      </c>
      <c r="J2701" s="707">
        <f t="shared" si="85"/>
        <v>0</v>
      </c>
      <c r="K2701" s="70"/>
    </row>
    <row r="2702" spans="1:11" ht="24" customHeight="1">
      <c r="A2702" s="33" t="s">
        <v>3271</v>
      </c>
      <c r="B2702" s="33" t="s">
        <v>10</v>
      </c>
      <c r="C2702" s="33">
        <v>52</v>
      </c>
      <c r="D2702" s="2" t="s">
        <v>3256</v>
      </c>
      <c r="E2702" s="33">
        <v>1</v>
      </c>
      <c r="F2702" s="33"/>
      <c r="G2702" s="522"/>
      <c r="H2702" s="707"/>
      <c r="I2702" s="707">
        <f t="shared" si="84"/>
        <v>0</v>
      </c>
      <c r="J2702" s="707">
        <f t="shared" si="85"/>
        <v>0</v>
      </c>
      <c r="K2702" s="70"/>
    </row>
    <row r="2703" spans="1:11" ht="24" customHeight="1">
      <c r="A2703" s="33" t="s">
        <v>3271</v>
      </c>
      <c r="B2703" s="2" t="s">
        <v>10</v>
      </c>
      <c r="C2703" s="33">
        <v>100</v>
      </c>
      <c r="D2703" s="2" t="s">
        <v>3553</v>
      </c>
      <c r="E2703" s="33">
        <v>2</v>
      </c>
      <c r="F2703" s="33"/>
      <c r="G2703" s="522"/>
      <c r="H2703" s="707"/>
      <c r="I2703" s="707">
        <f t="shared" si="84"/>
        <v>0</v>
      </c>
      <c r="J2703" s="707">
        <f t="shared" si="85"/>
        <v>0</v>
      </c>
      <c r="K2703" s="70"/>
    </row>
    <row r="2704" spans="1:11" ht="24" customHeight="1">
      <c r="A2704" s="33" t="s">
        <v>414</v>
      </c>
      <c r="B2704" s="33" t="s">
        <v>10</v>
      </c>
      <c r="C2704" s="33">
        <v>5</v>
      </c>
      <c r="D2704" s="2" t="s">
        <v>274</v>
      </c>
      <c r="E2704" s="33">
        <v>2</v>
      </c>
      <c r="F2704" s="33"/>
      <c r="G2704" s="522"/>
      <c r="H2704" s="707"/>
      <c r="I2704" s="707">
        <f t="shared" si="84"/>
        <v>0</v>
      </c>
      <c r="J2704" s="707">
        <f t="shared" si="85"/>
        <v>0</v>
      </c>
      <c r="K2704" s="70"/>
    </row>
    <row r="2705" spans="1:11" ht="24" customHeight="1">
      <c r="A2705" s="2" t="s">
        <v>900</v>
      </c>
      <c r="B2705" s="2" t="s">
        <v>50</v>
      </c>
      <c r="C2705" s="2">
        <v>45</v>
      </c>
      <c r="D2705" s="2" t="s">
        <v>888</v>
      </c>
      <c r="E2705" s="33">
        <v>5</v>
      </c>
      <c r="F2705" s="33"/>
      <c r="G2705" s="522"/>
      <c r="H2705" s="707"/>
      <c r="I2705" s="707">
        <f t="shared" si="84"/>
        <v>0</v>
      </c>
      <c r="J2705" s="707">
        <f t="shared" si="85"/>
        <v>0</v>
      </c>
      <c r="K2705" s="55"/>
    </row>
    <row r="2706" spans="1:11" ht="24" customHeight="1">
      <c r="A2706" s="59" t="s">
        <v>2993</v>
      </c>
      <c r="B2706" s="59" t="s">
        <v>14</v>
      </c>
      <c r="C2706" s="59">
        <v>4</v>
      </c>
      <c r="D2706" s="71" t="s">
        <v>2947</v>
      </c>
      <c r="E2706" s="354">
        <v>5</v>
      </c>
      <c r="F2706" s="354"/>
      <c r="G2706" s="688"/>
      <c r="H2706" s="707"/>
      <c r="I2706" s="707">
        <f t="shared" si="84"/>
        <v>0</v>
      </c>
      <c r="J2706" s="707">
        <f t="shared" si="85"/>
        <v>0</v>
      </c>
      <c r="K2706" s="70"/>
    </row>
    <row r="2707" spans="1:11" ht="24" customHeight="1">
      <c r="A2707" s="33" t="s">
        <v>382</v>
      </c>
      <c r="B2707" s="33" t="s">
        <v>81</v>
      </c>
      <c r="C2707" s="33">
        <v>50</v>
      </c>
      <c r="D2707" s="2" t="s">
        <v>274</v>
      </c>
      <c r="E2707" s="33">
        <v>2</v>
      </c>
      <c r="F2707" s="33"/>
      <c r="G2707" s="522"/>
      <c r="H2707" s="707"/>
      <c r="I2707" s="707">
        <f t="shared" si="84"/>
        <v>0</v>
      </c>
      <c r="J2707" s="707">
        <f t="shared" si="85"/>
        <v>0</v>
      </c>
      <c r="K2707" s="70" t="s">
        <v>368</v>
      </c>
    </row>
    <row r="2708" spans="1:11" ht="24" customHeight="1">
      <c r="A2708" s="33" t="s">
        <v>543</v>
      </c>
      <c r="B2708" s="33" t="s">
        <v>81</v>
      </c>
      <c r="C2708" s="33">
        <v>5</v>
      </c>
      <c r="D2708" s="2" t="s">
        <v>536</v>
      </c>
      <c r="E2708" s="33">
        <v>4</v>
      </c>
      <c r="F2708" s="33"/>
      <c r="G2708" s="522"/>
      <c r="H2708" s="707"/>
      <c r="I2708" s="707">
        <f t="shared" si="84"/>
        <v>0</v>
      </c>
      <c r="J2708" s="707">
        <f t="shared" si="85"/>
        <v>0</v>
      </c>
      <c r="K2708" s="70" t="s">
        <v>368</v>
      </c>
    </row>
    <row r="2709" spans="1:11" ht="24" customHeight="1">
      <c r="A2709" s="74" t="s">
        <v>1664</v>
      </c>
      <c r="B2709" s="74" t="s">
        <v>10</v>
      </c>
      <c r="C2709" s="74">
        <v>5</v>
      </c>
      <c r="D2709" s="33" t="s">
        <v>1548</v>
      </c>
      <c r="E2709" s="33">
        <v>5</v>
      </c>
      <c r="F2709" s="33"/>
      <c r="G2709" s="522"/>
      <c r="H2709" s="707"/>
      <c r="I2709" s="707">
        <f t="shared" si="84"/>
        <v>0</v>
      </c>
      <c r="J2709" s="707">
        <f t="shared" si="85"/>
        <v>0</v>
      </c>
      <c r="K2709" s="70"/>
    </row>
    <row r="2710" spans="1:11" ht="24" customHeight="1">
      <c r="A2710" s="33" t="s">
        <v>403</v>
      </c>
      <c r="B2710" s="33" t="s">
        <v>10</v>
      </c>
      <c r="C2710" s="33">
        <v>22</v>
      </c>
      <c r="D2710" s="2" t="s">
        <v>274</v>
      </c>
      <c r="E2710" s="33">
        <v>2</v>
      </c>
      <c r="F2710" s="33"/>
      <c r="G2710" s="522"/>
      <c r="H2710" s="707"/>
      <c r="I2710" s="707">
        <f t="shared" si="84"/>
        <v>0</v>
      </c>
      <c r="J2710" s="707">
        <f t="shared" si="85"/>
        <v>0</v>
      </c>
      <c r="K2710" s="70" t="s">
        <v>368</v>
      </c>
    </row>
    <row r="2711" spans="1:11" ht="24" customHeight="1">
      <c r="A2711" s="2" t="s">
        <v>3676</v>
      </c>
      <c r="B2711" s="2" t="s">
        <v>81</v>
      </c>
      <c r="C2711" s="2">
        <v>20</v>
      </c>
      <c r="D2711" s="2" t="s">
        <v>3671</v>
      </c>
      <c r="E2711" s="33">
        <v>2</v>
      </c>
      <c r="F2711" s="33"/>
      <c r="G2711" s="522"/>
      <c r="H2711" s="707"/>
      <c r="I2711" s="707">
        <f t="shared" si="84"/>
        <v>0</v>
      </c>
      <c r="J2711" s="707">
        <f t="shared" si="85"/>
        <v>0</v>
      </c>
      <c r="K2711" s="70"/>
    </row>
    <row r="2712" spans="1:11" ht="24" customHeight="1">
      <c r="A2712" s="2" t="s">
        <v>3257</v>
      </c>
      <c r="B2712" s="2" t="s">
        <v>10</v>
      </c>
      <c r="C2712" s="2">
        <v>275</v>
      </c>
      <c r="D2712" s="2" t="s">
        <v>3256</v>
      </c>
      <c r="E2712" s="33">
        <v>1</v>
      </c>
      <c r="F2712" s="33"/>
      <c r="G2712" s="522"/>
      <c r="H2712" s="707">
        <v>8</v>
      </c>
      <c r="I2712" s="707">
        <f t="shared" si="84"/>
        <v>9.1999999999999993</v>
      </c>
      <c r="J2712" s="707">
        <f t="shared" si="85"/>
        <v>10.4</v>
      </c>
      <c r="K2712" s="70"/>
    </row>
    <row r="2713" spans="1:11" ht="24" customHeight="1">
      <c r="A2713" s="2" t="s">
        <v>3257</v>
      </c>
      <c r="B2713" s="2" t="s">
        <v>10</v>
      </c>
      <c r="C2713" s="2">
        <v>1</v>
      </c>
      <c r="D2713" s="2" t="s">
        <v>3671</v>
      </c>
      <c r="E2713" s="33">
        <v>2</v>
      </c>
      <c r="F2713" s="33"/>
      <c r="G2713" s="522"/>
      <c r="H2713" s="707"/>
      <c r="I2713" s="707">
        <f t="shared" si="84"/>
        <v>0</v>
      </c>
      <c r="J2713" s="707">
        <f t="shared" si="85"/>
        <v>0</v>
      </c>
      <c r="K2713" s="70"/>
    </row>
    <row r="2714" spans="1:11" ht="24" customHeight="1">
      <c r="A2714" s="2" t="s">
        <v>3675</v>
      </c>
      <c r="B2714" s="2" t="s">
        <v>81</v>
      </c>
      <c r="C2714" s="2">
        <v>13</v>
      </c>
      <c r="D2714" s="2" t="s">
        <v>3671</v>
      </c>
      <c r="E2714" s="33">
        <v>2</v>
      </c>
      <c r="F2714" s="33"/>
      <c r="G2714" s="522"/>
      <c r="H2714" s="707"/>
      <c r="I2714" s="707">
        <f t="shared" si="84"/>
        <v>0</v>
      </c>
      <c r="J2714" s="707">
        <f t="shared" si="85"/>
        <v>0</v>
      </c>
      <c r="K2714" s="70"/>
    </row>
    <row r="2715" spans="1:11" ht="24" customHeight="1">
      <c r="A2715" s="33" t="s">
        <v>898</v>
      </c>
      <c r="B2715" s="33" t="s">
        <v>10</v>
      </c>
      <c r="C2715" s="33">
        <v>5</v>
      </c>
      <c r="D2715" s="33" t="s">
        <v>1141</v>
      </c>
      <c r="E2715" s="33">
        <v>1</v>
      </c>
      <c r="F2715" s="33"/>
      <c r="G2715" s="522"/>
      <c r="H2715" s="707">
        <v>2</v>
      </c>
      <c r="I2715" s="707">
        <f t="shared" si="84"/>
        <v>2.2999999999999998</v>
      </c>
      <c r="J2715" s="707">
        <f t="shared" si="85"/>
        <v>2.6</v>
      </c>
      <c r="K2715" s="70"/>
    </row>
    <row r="2716" spans="1:11" ht="24" customHeight="1">
      <c r="A2716" s="11" t="s">
        <v>898</v>
      </c>
      <c r="B2716" s="11" t="s">
        <v>10</v>
      </c>
      <c r="C2716" s="11">
        <v>84</v>
      </c>
      <c r="D2716" s="131" t="s">
        <v>1723</v>
      </c>
      <c r="E2716" s="15">
        <v>2</v>
      </c>
      <c r="F2716" s="15"/>
      <c r="G2716" s="684"/>
      <c r="H2716" s="707">
        <v>2</v>
      </c>
      <c r="I2716" s="707">
        <f t="shared" si="84"/>
        <v>2.2999999999999998</v>
      </c>
      <c r="J2716" s="707">
        <f t="shared" si="85"/>
        <v>2.6</v>
      </c>
      <c r="K2716" s="70"/>
    </row>
    <row r="2717" spans="1:11" ht="24" customHeight="1">
      <c r="A2717" s="2" t="s">
        <v>898</v>
      </c>
      <c r="B2717" s="2" t="s">
        <v>10</v>
      </c>
      <c r="C2717" s="2">
        <v>100</v>
      </c>
      <c r="D2717" s="2" t="s">
        <v>3553</v>
      </c>
      <c r="E2717" s="33">
        <v>1</v>
      </c>
      <c r="F2717" s="33"/>
      <c r="G2717" s="522"/>
      <c r="H2717" s="707"/>
      <c r="I2717" s="707">
        <f t="shared" si="84"/>
        <v>0</v>
      </c>
      <c r="J2717" s="707">
        <f t="shared" si="85"/>
        <v>0</v>
      </c>
      <c r="K2717" s="70"/>
    </row>
    <row r="2718" spans="1:11" ht="24" customHeight="1">
      <c r="A2718" s="2" t="s">
        <v>9</v>
      </c>
      <c r="B2718" s="2" t="s">
        <v>10</v>
      </c>
      <c r="C2718" s="2">
        <v>8</v>
      </c>
      <c r="D2718" s="2" t="s">
        <v>11</v>
      </c>
      <c r="E2718" s="33">
        <v>1</v>
      </c>
      <c r="F2718" s="33"/>
      <c r="G2718" s="522"/>
      <c r="H2718" s="707">
        <v>1.57</v>
      </c>
      <c r="I2718" s="707">
        <f t="shared" si="84"/>
        <v>1.8054999999999999</v>
      </c>
      <c r="J2718" s="707">
        <f t="shared" si="85"/>
        <v>2.0410000000000004</v>
      </c>
      <c r="K2718" s="70" t="s">
        <v>12</v>
      </c>
    </row>
    <row r="2719" spans="1:11" ht="24" customHeight="1">
      <c r="A2719" s="59" t="s">
        <v>1491</v>
      </c>
      <c r="B2719" s="59" t="s">
        <v>10</v>
      </c>
      <c r="C2719" s="59">
        <v>8</v>
      </c>
      <c r="D2719" s="33" t="s">
        <v>3027</v>
      </c>
      <c r="E2719" s="33">
        <v>1</v>
      </c>
      <c r="F2719" s="33"/>
      <c r="G2719" s="522"/>
      <c r="H2719" s="707">
        <v>1.5</v>
      </c>
      <c r="I2719" s="707">
        <f t="shared" si="84"/>
        <v>1.7249999999999999</v>
      </c>
      <c r="J2719" s="707">
        <f t="shared" si="85"/>
        <v>1.9500000000000002</v>
      </c>
      <c r="K2719" s="70" t="s">
        <v>3036</v>
      </c>
    </row>
    <row r="2720" spans="1:11" ht="24" customHeight="1">
      <c r="A2720" s="11" t="s">
        <v>1491</v>
      </c>
      <c r="B2720" s="11" t="s">
        <v>14</v>
      </c>
      <c r="C2720" s="11">
        <v>192</v>
      </c>
      <c r="D2720" s="131" t="s">
        <v>3539</v>
      </c>
      <c r="E2720" s="15">
        <v>4</v>
      </c>
      <c r="F2720" s="15"/>
      <c r="G2720" s="684"/>
      <c r="H2720" s="707">
        <v>1</v>
      </c>
      <c r="I2720" s="707">
        <f t="shared" si="84"/>
        <v>1.1499999999999999</v>
      </c>
      <c r="J2720" s="707">
        <f t="shared" si="85"/>
        <v>1.3</v>
      </c>
      <c r="K2720" s="70"/>
    </row>
    <row r="2721" spans="1:11" ht="24" customHeight="1">
      <c r="A2721" s="2" t="s">
        <v>627</v>
      </c>
      <c r="B2721" s="2" t="s">
        <v>10</v>
      </c>
      <c r="C2721" s="2">
        <v>4</v>
      </c>
      <c r="D2721" s="2" t="s">
        <v>593</v>
      </c>
      <c r="E2721" s="33">
        <v>1</v>
      </c>
      <c r="F2721" s="33"/>
      <c r="G2721" s="522"/>
      <c r="H2721" s="707">
        <v>2.5</v>
      </c>
      <c r="I2721" s="707">
        <f t="shared" si="84"/>
        <v>2.875</v>
      </c>
      <c r="J2721" s="707">
        <f t="shared" si="85"/>
        <v>3.25</v>
      </c>
      <c r="K2721" s="70"/>
    </row>
    <row r="2722" spans="1:11" ht="24" hidden="1" customHeight="1">
      <c r="A2722" s="11" t="s">
        <v>3541</v>
      </c>
      <c r="B2722" s="11" t="s">
        <v>10</v>
      </c>
      <c r="C2722" s="11">
        <v>10</v>
      </c>
      <c r="D2722" s="131" t="s">
        <v>3539</v>
      </c>
      <c r="E2722" s="15">
        <v>4</v>
      </c>
      <c r="F2722" s="15"/>
      <c r="G2722" s="684"/>
      <c r="H2722" s="56"/>
      <c r="I2722" s="56">
        <f t="shared" si="84"/>
        <v>0</v>
      </c>
      <c r="J2722" s="56">
        <f t="shared" si="85"/>
        <v>0</v>
      </c>
      <c r="K2722" s="70" t="s">
        <v>8072</v>
      </c>
    </row>
    <row r="2723" spans="1:11" ht="24" customHeight="1">
      <c r="A2723" s="74" t="s">
        <v>1460</v>
      </c>
      <c r="B2723" s="74" t="s">
        <v>10</v>
      </c>
      <c r="C2723" s="74">
        <v>29</v>
      </c>
      <c r="D2723" s="33" t="s">
        <v>1372</v>
      </c>
      <c r="E2723" s="33">
        <v>5</v>
      </c>
      <c r="F2723" s="33"/>
      <c r="G2723" s="522"/>
      <c r="H2723" s="707"/>
      <c r="I2723" s="707">
        <f t="shared" si="84"/>
        <v>0</v>
      </c>
      <c r="J2723" s="707">
        <f t="shared" si="85"/>
        <v>0</v>
      </c>
      <c r="K2723" s="70" t="s">
        <v>51</v>
      </c>
    </row>
    <row r="2724" spans="1:11" ht="24" customHeight="1">
      <c r="A2724" s="33" t="s">
        <v>1541</v>
      </c>
      <c r="B2724" s="33" t="s">
        <v>81</v>
      </c>
      <c r="C2724" s="33">
        <v>8</v>
      </c>
      <c r="D2724" s="33" t="s">
        <v>1494</v>
      </c>
      <c r="E2724" s="33">
        <v>2</v>
      </c>
      <c r="F2724" s="33"/>
      <c r="G2724" s="522"/>
      <c r="H2724" s="707"/>
      <c r="I2724" s="707">
        <f t="shared" si="84"/>
        <v>0</v>
      </c>
      <c r="J2724" s="707">
        <f t="shared" si="85"/>
        <v>0</v>
      </c>
      <c r="K2724" s="70"/>
    </row>
    <row r="2725" spans="1:11" ht="24" customHeight="1">
      <c r="A2725" s="33" t="s">
        <v>3541</v>
      </c>
      <c r="B2725" s="33" t="s">
        <v>10</v>
      </c>
      <c r="C2725" s="33">
        <v>17</v>
      </c>
      <c r="D2725" s="2" t="s">
        <v>11</v>
      </c>
      <c r="E2725" s="33">
        <v>3</v>
      </c>
      <c r="F2725" s="33"/>
      <c r="G2725" s="522"/>
      <c r="H2725" s="707">
        <v>1</v>
      </c>
      <c r="I2725" s="707">
        <f t="shared" si="84"/>
        <v>1.1499999999999999</v>
      </c>
      <c r="J2725" s="707">
        <f t="shared" si="85"/>
        <v>1.3</v>
      </c>
      <c r="K2725" s="70"/>
    </row>
    <row r="2726" spans="1:11" ht="24" customHeight="1">
      <c r="A2726" s="33" t="s">
        <v>2634</v>
      </c>
      <c r="B2726" s="33" t="s">
        <v>10</v>
      </c>
      <c r="C2726" s="33">
        <v>1</v>
      </c>
      <c r="D2726" s="33" t="s">
        <v>2624</v>
      </c>
      <c r="E2726" s="33">
        <v>4</v>
      </c>
      <c r="F2726" s="33"/>
      <c r="G2726" s="522"/>
      <c r="H2726" s="707">
        <v>2</v>
      </c>
      <c r="I2726" s="707">
        <f t="shared" si="84"/>
        <v>2.2999999999999998</v>
      </c>
      <c r="J2726" s="707">
        <f t="shared" si="85"/>
        <v>2.6</v>
      </c>
      <c r="K2726" s="70"/>
    </row>
    <row r="2727" spans="1:11" ht="24" customHeight="1">
      <c r="A2727" s="17" t="s">
        <v>2782</v>
      </c>
      <c r="B2727" s="244" t="s">
        <v>10</v>
      </c>
      <c r="C2727" s="17">
        <v>6</v>
      </c>
      <c r="D2727" s="131" t="s">
        <v>2772</v>
      </c>
      <c r="E2727" s="17">
        <v>4</v>
      </c>
      <c r="F2727" s="17"/>
      <c r="G2727" s="687"/>
      <c r="H2727" s="707"/>
      <c r="I2727" s="707">
        <f t="shared" si="84"/>
        <v>0</v>
      </c>
      <c r="J2727" s="707">
        <f t="shared" si="85"/>
        <v>0</v>
      </c>
      <c r="K2727" s="70"/>
    </row>
    <row r="2728" spans="1:11" ht="24" customHeight="1">
      <c r="A2728" s="261" t="s">
        <v>2888</v>
      </c>
      <c r="B2728" s="11" t="s">
        <v>10</v>
      </c>
      <c r="C2728" s="11">
        <v>4</v>
      </c>
      <c r="D2728" s="131" t="s">
        <v>2882</v>
      </c>
      <c r="E2728" s="15">
        <v>1</v>
      </c>
      <c r="F2728" s="15"/>
      <c r="G2728" s="684"/>
      <c r="H2728" s="707"/>
      <c r="I2728" s="707">
        <f t="shared" si="84"/>
        <v>0</v>
      </c>
      <c r="J2728" s="707">
        <f t="shared" si="85"/>
        <v>0</v>
      </c>
      <c r="K2728" s="70" t="s">
        <v>51</v>
      </c>
    </row>
    <row r="2729" spans="1:11" ht="24" customHeight="1">
      <c r="A2729" s="2" t="s">
        <v>630</v>
      </c>
      <c r="B2729" s="2" t="s">
        <v>50</v>
      </c>
      <c r="C2729" s="2">
        <v>14</v>
      </c>
      <c r="D2729" s="2" t="s">
        <v>593</v>
      </c>
      <c r="E2729" s="33">
        <v>1</v>
      </c>
      <c r="F2729" s="33"/>
      <c r="G2729" s="522"/>
      <c r="H2729" s="707"/>
      <c r="I2729" s="707">
        <f t="shared" si="84"/>
        <v>0</v>
      </c>
      <c r="J2729" s="707">
        <f t="shared" si="85"/>
        <v>0</v>
      </c>
      <c r="K2729" s="70"/>
    </row>
    <row r="2730" spans="1:11" ht="24" customHeight="1">
      <c r="A2730" s="33" t="s">
        <v>126</v>
      </c>
      <c r="B2730" s="33" t="s">
        <v>10</v>
      </c>
      <c r="C2730" s="33">
        <v>53</v>
      </c>
      <c r="D2730" s="2" t="s">
        <v>11</v>
      </c>
      <c r="E2730" s="33">
        <v>2</v>
      </c>
      <c r="F2730" s="33"/>
      <c r="G2730" s="522"/>
      <c r="H2730" s="707">
        <v>2</v>
      </c>
      <c r="I2730" s="707">
        <f t="shared" si="84"/>
        <v>2.2999999999999998</v>
      </c>
      <c r="J2730" s="707">
        <f t="shared" si="85"/>
        <v>2.6</v>
      </c>
      <c r="K2730" s="70"/>
    </row>
    <row r="2731" spans="1:11" ht="24" customHeight="1">
      <c r="A2731" s="33" t="s">
        <v>126</v>
      </c>
      <c r="B2731" s="33" t="s">
        <v>10</v>
      </c>
      <c r="C2731" s="33">
        <v>20</v>
      </c>
      <c r="D2731" s="2" t="s">
        <v>274</v>
      </c>
      <c r="E2731" s="33">
        <v>2</v>
      </c>
      <c r="F2731" s="33"/>
      <c r="G2731" s="522"/>
      <c r="H2731" s="707"/>
      <c r="I2731" s="707">
        <f t="shared" si="84"/>
        <v>0</v>
      </c>
      <c r="J2731" s="707">
        <f t="shared" si="85"/>
        <v>0</v>
      </c>
      <c r="K2731" s="70"/>
    </row>
    <row r="2732" spans="1:11" ht="24" customHeight="1">
      <c r="A2732" s="33" t="s">
        <v>126</v>
      </c>
      <c r="B2732" s="33" t="s">
        <v>81</v>
      </c>
      <c r="C2732" s="33">
        <v>14</v>
      </c>
      <c r="D2732" s="33" t="s">
        <v>1548</v>
      </c>
      <c r="E2732" s="33">
        <v>3</v>
      </c>
      <c r="F2732" s="33"/>
      <c r="G2732" s="522"/>
      <c r="H2732" s="707">
        <v>2</v>
      </c>
      <c r="I2732" s="707">
        <f t="shared" si="84"/>
        <v>2.2999999999999998</v>
      </c>
      <c r="J2732" s="707">
        <f t="shared" si="85"/>
        <v>2.6</v>
      </c>
      <c r="K2732" s="70"/>
    </row>
    <row r="2733" spans="1:11" ht="24" customHeight="1">
      <c r="A2733" s="33" t="s">
        <v>126</v>
      </c>
      <c r="B2733" s="33" t="s">
        <v>10</v>
      </c>
      <c r="C2733" s="33">
        <v>6</v>
      </c>
      <c r="D2733" s="33" t="s">
        <v>1938</v>
      </c>
      <c r="E2733" s="33">
        <v>2</v>
      </c>
      <c r="F2733" s="33"/>
      <c r="G2733" s="522"/>
      <c r="H2733" s="707">
        <v>2</v>
      </c>
      <c r="I2733" s="707">
        <f t="shared" si="84"/>
        <v>2.2999999999999998</v>
      </c>
      <c r="J2733" s="707">
        <f t="shared" si="85"/>
        <v>2.6</v>
      </c>
      <c r="K2733" s="70"/>
    </row>
    <row r="2734" spans="1:11" ht="24" customHeight="1">
      <c r="A2734" s="33" t="s">
        <v>126</v>
      </c>
      <c r="B2734" s="33" t="s">
        <v>10</v>
      </c>
      <c r="C2734" s="33">
        <v>10</v>
      </c>
      <c r="D2734" s="15" t="s">
        <v>2918</v>
      </c>
      <c r="E2734" s="15">
        <v>1</v>
      </c>
      <c r="F2734" s="15"/>
      <c r="G2734" s="684"/>
      <c r="H2734" s="707"/>
      <c r="I2734" s="707">
        <f t="shared" si="84"/>
        <v>0</v>
      </c>
      <c r="J2734" s="707">
        <f t="shared" si="85"/>
        <v>0</v>
      </c>
      <c r="K2734" s="70"/>
    </row>
    <row r="2735" spans="1:11" ht="24" customHeight="1">
      <c r="A2735" s="33" t="s">
        <v>126</v>
      </c>
      <c r="B2735" s="33" t="s">
        <v>10</v>
      </c>
      <c r="C2735" s="33">
        <v>10</v>
      </c>
      <c r="D2735" s="33" t="s">
        <v>3348</v>
      </c>
      <c r="E2735" s="33">
        <v>4</v>
      </c>
      <c r="F2735" s="33"/>
      <c r="G2735" s="522"/>
      <c r="H2735" s="707"/>
      <c r="I2735" s="707">
        <f t="shared" si="84"/>
        <v>0</v>
      </c>
      <c r="J2735" s="707">
        <f t="shared" si="85"/>
        <v>0</v>
      </c>
      <c r="K2735" s="70"/>
    </row>
    <row r="2736" spans="1:11" ht="24" customHeight="1">
      <c r="A2736" s="11" t="s">
        <v>126</v>
      </c>
      <c r="B2736" s="11" t="s">
        <v>14</v>
      </c>
      <c r="C2736" s="11">
        <v>32</v>
      </c>
      <c r="D2736" s="131" t="s">
        <v>3451</v>
      </c>
      <c r="E2736" s="15">
        <v>3</v>
      </c>
      <c r="F2736" s="15"/>
      <c r="G2736" s="684"/>
      <c r="H2736" s="707">
        <v>2</v>
      </c>
      <c r="I2736" s="707">
        <f t="shared" si="84"/>
        <v>2.2999999999999998</v>
      </c>
      <c r="J2736" s="707">
        <f t="shared" si="85"/>
        <v>2.6</v>
      </c>
      <c r="K2736" s="70"/>
    </row>
    <row r="2737" spans="1:11" ht="24" customHeight="1">
      <c r="A2737" s="2" t="s">
        <v>126</v>
      </c>
      <c r="B2737" s="2" t="s">
        <v>10</v>
      </c>
      <c r="C2737" s="2">
        <v>50</v>
      </c>
      <c r="D2737" s="2" t="s">
        <v>3553</v>
      </c>
      <c r="E2737" s="33">
        <v>1</v>
      </c>
      <c r="F2737" s="33"/>
      <c r="G2737" s="522"/>
      <c r="H2737" s="707"/>
      <c r="I2737" s="707">
        <f t="shared" si="84"/>
        <v>0</v>
      </c>
      <c r="J2737" s="707">
        <f t="shared" si="85"/>
        <v>0</v>
      </c>
      <c r="K2737" s="70"/>
    </row>
    <row r="2738" spans="1:11" ht="24" customHeight="1">
      <c r="A2738" s="33" t="s">
        <v>182</v>
      </c>
      <c r="B2738" s="33" t="s">
        <v>10</v>
      </c>
      <c r="C2738" s="33">
        <v>107</v>
      </c>
      <c r="D2738" s="2" t="s">
        <v>11</v>
      </c>
      <c r="E2738" s="33">
        <v>3</v>
      </c>
      <c r="F2738" s="33"/>
      <c r="G2738" s="522"/>
      <c r="H2738" s="707">
        <v>1</v>
      </c>
      <c r="I2738" s="707">
        <f t="shared" si="84"/>
        <v>1.1499999999999999</v>
      </c>
      <c r="J2738" s="707">
        <f t="shared" si="85"/>
        <v>1.3</v>
      </c>
      <c r="K2738" s="70"/>
    </row>
    <row r="2739" spans="1:11" ht="24" customHeight="1">
      <c r="A2739" s="2" t="s">
        <v>901</v>
      </c>
      <c r="B2739" s="2" t="s">
        <v>10</v>
      </c>
      <c r="C2739" s="2">
        <v>30</v>
      </c>
      <c r="D2739" s="2" t="s">
        <v>3705</v>
      </c>
      <c r="E2739" s="33">
        <v>2</v>
      </c>
      <c r="F2739" s="33"/>
      <c r="G2739" s="522"/>
      <c r="H2739" s="707"/>
      <c r="I2739" s="707">
        <f t="shared" si="84"/>
        <v>0</v>
      </c>
      <c r="J2739" s="707">
        <f t="shared" si="85"/>
        <v>0</v>
      </c>
      <c r="K2739" s="55" t="s">
        <v>3576</v>
      </c>
    </row>
    <row r="2740" spans="1:11" ht="24" customHeight="1">
      <c r="A2740" s="33" t="s">
        <v>901</v>
      </c>
      <c r="B2740" s="33" t="s">
        <v>10</v>
      </c>
      <c r="C2740" s="33">
        <v>110</v>
      </c>
      <c r="D2740" s="33" t="s">
        <v>2624</v>
      </c>
      <c r="E2740" s="33">
        <v>4</v>
      </c>
      <c r="F2740" s="33"/>
      <c r="G2740" s="522"/>
      <c r="H2740" s="707"/>
      <c r="I2740" s="707">
        <f t="shared" si="84"/>
        <v>0</v>
      </c>
      <c r="J2740" s="707">
        <f t="shared" si="85"/>
        <v>0</v>
      </c>
      <c r="K2740" s="70" t="s">
        <v>51</v>
      </c>
    </row>
    <row r="2741" spans="1:11" ht="24" customHeight="1">
      <c r="A2741" s="2" t="s">
        <v>901</v>
      </c>
      <c r="B2741" s="2" t="s">
        <v>50</v>
      </c>
      <c r="C2741" s="2">
        <v>96</v>
      </c>
      <c r="D2741" s="2" t="s">
        <v>888</v>
      </c>
      <c r="E2741" s="33">
        <v>5</v>
      </c>
      <c r="F2741" s="33"/>
      <c r="G2741" s="522"/>
      <c r="H2741" s="707">
        <v>3</v>
      </c>
      <c r="I2741" s="707">
        <f t="shared" si="84"/>
        <v>3.4499999999999997</v>
      </c>
      <c r="J2741" s="707">
        <f t="shared" si="85"/>
        <v>3.9000000000000004</v>
      </c>
      <c r="K2741" s="55"/>
    </row>
    <row r="2742" spans="1:11" ht="24" customHeight="1">
      <c r="A2742" s="2" t="s">
        <v>901</v>
      </c>
      <c r="B2742" s="2" t="s">
        <v>10</v>
      </c>
      <c r="C2742" s="2">
        <v>76</v>
      </c>
      <c r="D2742" s="2" t="s">
        <v>3548</v>
      </c>
      <c r="E2742" s="33">
        <v>5</v>
      </c>
      <c r="F2742" s="33"/>
      <c r="G2742" s="522"/>
      <c r="H2742" s="707"/>
      <c r="I2742" s="707">
        <f t="shared" si="84"/>
        <v>0</v>
      </c>
      <c r="J2742" s="707">
        <f t="shared" si="85"/>
        <v>0</v>
      </c>
      <c r="K2742" s="70"/>
    </row>
    <row r="2743" spans="1:11" ht="24" customHeight="1">
      <c r="A2743" s="2" t="s">
        <v>685</v>
      </c>
      <c r="B2743" s="2" t="s">
        <v>10</v>
      </c>
      <c r="C2743" s="2">
        <v>61</v>
      </c>
      <c r="D2743" s="2" t="s">
        <v>593</v>
      </c>
      <c r="E2743" s="33">
        <v>2</v>
      </c>
      <c r="F2743" s="33"/>
      <c r="G2743" s="522"/>
      <c r="H2743" s="707">
        <v>4</v>
      </c>
      <c r="I2743" s="707">
        <f t="shared" si="84"/>
        <v>4.5999999999999996</v>
      </c>
      <c r="J2743" s="707">
        <f t="shared" si="85"/>
        <v>5.2</v>
      </c>
      <c r="K2743" s="70" t="s">
        <v>241</v>
      </c>
    </row>
    <row r="2744" spans="1:11" ht="24" customHeight="1">
      <c r="A2744" s="2" t="s">
        <v>685</v>
      </c>
      <c r="B2744" s="2" t="s">
        <v>10</v>
      </c>
      <c r="C2744" s="2">
        <v>198</v>
      </c>
      <c r="D2744" s="2" t="s">
        <v>3256</v>
      </c>
      <c r="E2744" s="33">
        <v>1</v>
      </c>
      <c r="F2744" s="33"/>
      <c r="G2744" s="522"/>
      <c r="H2744" s="707">
        <v>4</v>
      </c>
      <c r="I2744" s="707">
        <f t="shared" si="84"/>
        <v>4.5999999999999996</v>
      </c>
      <c r="J2744" s="707">
        <f t="shared" si="85"/>
        <v>5.2</v>
      </c>
      <c r="K2744" s="70" t="s">
        <v>241</v>
      </c>
    </row>
    <row r="2745" spans="1:11" ht="24" customHeight="1">
      <c r="A2745" s="2" t="s">
        <v>685</v>
      </c>
      <c r="B2745" s="2" t="s">
        <v>10</v>
      </c>
      <c r="C2745" s="2">
        <v>100</v>
      </c>
      <c r="D2745" s="2" t="s">
        <v>3553</v>
      </c>
      <c r="E2745" s="33">
        <v>1</v>
      </c>
      <c r="F2745" s="33"/>
      <c r="G2745" s="522"/>
      <c r="H2745" s="707"/>
      <c r="I2745" s="707">
        <f t="shared" si="84"/>
        <v>0</v>
      </c>
      <c r="J2745" s="707">
        <f t="shared" si="85"/>
        <v>0</v>
      </c>
      <c r="K2745" s="70" t="s">
        <v>241</v>
      </c>
    </row>
    <row r="2746" spans="1:11" ht="24" customHeight="1">
      <c r="A2746" s="2" t="s">
        <v>685</v>
      </c>
      <c r="B2746" s="2" t="s">
        <v>81</v>
      </c>
      <c r="C2746" s="2">
        <v>29</v>
      </c>
      <c r="D2746" s="2" t="s">
        <v>3671</v>
      </c>
      <c r="E2746" s="33">
        <v>2</v>
      </c>
      <c r="F2746" s="33"/>
      <c r="G2746" s="522"/>
      <c r="H2746" s="707"/>
      <c r="I2746" s="707">
        <f t="shared" si="84"/>
        <v>0</v>
      </c>
      <c r="J2746" s="707">
        <f t="shared" si="85"/>
        <v>0</v>
      </c>
      <c r="K2746" s="70" t="s">
        <v>241</v>
      </c>
    </row>
    <row r="2747" spans="1:11" ht="24" customHeight="1">
      <c r="A2747" s="11" t="s">
        <v>1744</v>
      </c>
      <c r="B2747" s="11" t="s">
        <v>10</v>
      </c>
      <c r="C2747" s="11">
        <v>30</v>
      </c>
      <c r="D2747" s="131" t="s">
        <v>1723</v>
      </c>
      <c r="E2747" s="15">
        <v>1</v>
      </c>
      <c r="F2747" s="15"/>
      <c r="G2747" s="684"/>
      <c r="H2747" s="707">
        <v>4</v>
      </c>
      <c r="I2747" s="707">
        <f t="shared" si="84"/>
        <v>4.5999999999999996</v>
      </c>
      <c r="J2747" s="707">
        <f t="shared" si="85"/>
        <v>5.2</v>
      </c>
      <c r="K2747" s="70"/>
    </row>
    <row r="2748" spans="1:11" ht="24" customHeight="1">
      <c r="A2748" s="17" t="s">
        <v>1744</v>
      </c>
      <c r="B2748" s="17" t="s">
        <v>10</v>
      </c>
      <c r="C2748" s="17">
        <v>16</v>
      </c>
      <c r="D2748" s="131" t="s">
        <v>2882</v>
      </c>
      <c r="E2748" s="15">
        <v>2</v>
      </c>
      <c r="F2748" s="15"/>
      <c r="G2748" s="684"/>
      <c r="H2748" s="707">
        <v>4</v>
      </c>
      <c r="I2748" s="707">
        <f t="shared" si="84"/>
        <v>4.5999999999999996</v>
      </c>
      <c r="J2748" s="707">
        <f t="shared" si="85"/>
        <v>5.2</v>
      </c>
      <c r="K2748" s="70"/>
    </row>
    <row r="2749" spans="1:11" ht="24" customHeight="1">
      <c r="A2749" s="2" t="s">
        <v>1744</v>
      </c>
      <c r="B2749" s="2" t="s">
        <v>10</v>
      </c>
      <c r="C2749" s="2">
        <v>16</v>
      </c>
      <c r="D2749" s="33" t="s">
        <v>3338</v>
      </c>
      <c r="E2749" s="33">
        <v>1</v>
      </c>
      <c r="F2749" s="33"/>
      <c r="G2749" s="522"/>
      <c r="H2749" s="707">
        <v>4</v>
      </c>
      <c r="I2749" s="707">
        <f t="shared" si="84"/>
        <v>4.5999999999999996</v>
      </c>
      <c r="J2749" s="707">
        <f t="shared" si="85"/>
        <v>5.2</v>
      </c>
      <c r="K2749" s="70"/>
    </row>
    <row r="2750" spans="1:11" ht="24" customHeight="1">
      <c r="A2750" s="2" t="s">
        <v>1884</v>
      </c>
      <c r="B2750" s="2" t="s">
        <v>14</v>
      </c>
      <c r="C2750" s="2">
        <v>20</v>
      </c>
      <c r="D2750" s="2" t="s">
        <v>1785</v>
      </c>
      <c r="E2750" s="33">
        <v>3</v>
      </c>
      <c r="F2750" s="33"/>
      <c r="G2750" s="522"/>
      <c r="H2750" s="707">
        <v>1</v>
      </c>
      <c r="I2750" s="707">
        <f t="shared" si="84"/>
        <v>1.1499999999999999</v>
      </c>
      <c r="J2750" s="707">
        <f t="shared" si="85"/>
        <v>1.3</v>
      </c>
      <c r="K2750" s="70"/>
    </row>
    <row r="2751" spans="1:11" ht="24" customHeight="1">
      <c r="A2751" s="2" t="s">
        <v>657</v>
      </c>
      <c r="B2751" s="2" t="s">
        <v>10</v>
      </c>
      <c r="C2751" s="2">
        <v>159</v>
      </c>
      <c r="D2751" s="2" t="s">
        <v>593</v>
      </c>
      <c r="E2751" s="33">
        <v>2</v>
      </c>
      <c r="F2751" s="33"/>
      <c r="G2751" s="522"/>
      <c r="H2751" s="707">
        <v>3</v>
      </c>
      <c r="I2751" s="707">
        <f t="shared" si="84"/>
        <v>3.4499999999999997</v>
      </c>
      <c r="J2751" s="707">
        <f t="shared" si="85"/>
        <v>3.9000000000000004</v>
      </c>
      <c r="K2751" s="70" t="s">
        <v>99</v>
      </c>
    </row>
    <row r="2752" spans="1:11" ht="24" customHeight="1">
      <c r="A2752" s="11" t="s">
        <v>657</v>
      </c>
      <c r="B2752" s="11" t="s">
        <v>10</v>
      </c>
      <c r="C2752" s="11">
        <v>26</v>
      </c>
      <c r="D2752" s="131" t="s">
        <v>1723</v>
      </c>
      <c r="E2752" s="15">
        <v>1</v>
      </c>
      <c r="F2752" s="15"/>
      <c r="G2752" s="684"/>
      <c r="H2752" s="707">
        <v>3</v>
      </c>
      <c r="I2752" s="707">
        <f t="shared" si="84"/>
        <v>3.4499999999999997</v>
      </c>
      <c r="J2752" s="707">
        <f t="shared" si="85"/>
        <v>3.9000000000000004</v>
      </c>
      <c r="K2752" s="70" t="s">
        <v>99</v>
      </c>
    </row>
    <row r="2753" spans="1:11" ht="24" customHeight="1">
      <c r="A2753" s="2" t="s">
        <v>657</v>
      </c>
      <c r="B2753" s="2" t="s">
        <v>10</v>
      </c>
      <c r="C2753" s="2">
        <v>100</v>
      </c>
      <c r="D2753" s="2" t="s">
        <v>3553</v>
      </c>
      <c r="E2753" s="33">
        <v>1</v>
      </c>
      <c r="F2753" s="33"/>
      <c r="G2753" s="522"/>
      <c r="H2753" s="707"/>
      <c r="I2753" s="707">
        <f t="shared" si="84"/>
        <v>0</v>
      </c>
      <c r="J2753" s="707">
        <f t="shared" si="85"/>
        <v>0</v>
      </c>
      <c r="K2753" s="70" t="s">
        <v>99</v>
      </c>
    </row>
    <row r="2754" spans="1:11" ht="24" customHeight="1">
      <c r="A2754" s="2" t="s">
        <v>657</v>
      </c>
      <c r="B2754" s="2" t="s">
        <v>10</v>
      </c>
      <c r="C2754" s="2">
        <v>2</v>
      </c>
      <c r="D2754" s="2" t="s">
        <v>3671</v>
      </c>
      <c r="E2754" s="33">
        <v>2</v>
      </c>
      <c r="F2754" s="33"/>
      <c r="G2754" s="522"/>
      <c r="H2754" s="707"/>
      <c r="I2754" s="707">
        <f t="shared" si="84"/>
        <v>0</v>
      </c>
      <c r="J2754" s="707">
        <f t="shared" si="85"/>
        <v>0</v>
      </c>
      <c r="K2754" s="70" t="s">
        <v>99</v>
      </c>
    </row>
    <row r="2755" spans="1:11" ht="24" customHeight="1">
      <c r="A2755" s="2" t="s">
        <v>684</v>
      </c>
      <c r="B2755" s="2" t="s">
        <v>10</v>
      </c>
      <c r="C2755" s="2">
        <v>20</v>
      </c>
      <c r="D2755" s="2" t="s">
        <v>593</v>
      </c>
      <c r="E2755" s="33">
        <v>2</v>
      </c>
      <c r="F2755" s="33"/>
      <c r="G2755" s="522"/>
      <c r="H2755" s="707">
        <v>3</v>
      </c>
      <c r="I2755" s="707">
        <f t="shared" ref="I2755:I2818" si="86">H2755 * 1.15</f>
        <v>3.4499999999999997</v>
      </c>
      <c r="J2755" s="707">
        <f t="shared" ref="J2755:J2818" si="87">H2755 * 1.3</f>
        <v>3.9000000000000004</v>
      </c>
      <c r="K2755" s="70"/>
    </row>
    <row r="2756" spans="1:11" ht="24" customHeight="1">
      <c r="A2756" s="33" t="s">
        <v>2207</v>
      </c>
      <c r="B2756" s="33" t="s">
        <v>10</v>
      </c>
      <c r="C2756" s="33">
        <v>35</v>
      </c>
      <c r="D2756" s="33" t="s">
        <v>2191</v>
      </c>
      <c r="E2756" s="33">
        <v>4</v>
      </c>
      <c r="F2756" s="33"/>
      <c r="G2756" s="522"/>
      <c r="H2756" s="707">
        <v>2</v>
      </c>
      <c r="I2756" s="707">
        <f t="shared" si="86"/>
        <v>2.2999999999999998</v>
      </c>
      <c r="J2756" s="707">
        <f t="shared" si="87"/>
        <v>2.6</v>
      </c>
      <c r="K2756" s="70" t="s">
        <v>99</v>
      </c>
    </row>
    <row r="2757" spans="1:11" ht="24" customHeight="1">
      <c r="A2757" s="2" t="s">
        <v>2207</v>
      </c>
      <c r="B2757" s="2" t="s">
        <v>10</v>
      </c>
      <c r="C2757" s="2">
        <v>90</v>
      </c>
      <c r="D2757" s="2" t="s">
        <v>3279</v>
      </c>
      <c r="E2757" s="33">
        <v>5</v>
      </c>
      <c r="F2757" s="33"/>
      <c r="G2757" s="522"/>
      <c r="H2757" s="707">
        <v>2</v>
      </c>
      <c r="I2757" s="707">
        <f t="shared" si="86"/>
        <v>2.2999999999999998</v>
      </c>
      <c r="J2757" s="707">
        <f t="shared" si="87"/>
        <v>2.6</v>
      </c>
      <c r="K2757" s="70" t="s">
        <v>99</v>
      </c>
    </row>
    <row r="2758" spans="1:11" ht="24" customHeight="1">
      <c r="A2758" s="2" t="s">
        <v>325</v>
      </c>
      <c r="B2758" s="2" t="s">
        <v>50</v>
      </c>
      <c r="C2758" s="2">
        <v>6</v>
      </c>
      <c r="D2758" s="2" t="s">
        <v>274</v>
      </c>
      <c r="E2758" s="33">
        <v>1</v>
      </c>
      <c r="F2758" s="33"/>
      <c r="G2758" s="522"/>
      <c r="H2758" s="707">
        <v>6</v>
      </c>
      <c r="I2758" s="707">
        <f t="shared" si="86"/>
        <v>6.8999999999999995</v>
      </c>
      <c r="J2758" s="707">
        <f t="shared" si="87"/>
        <v>7.8000000000000007</v>
      </c>
      <c r="K2758" s="70" t="s">
        <v>326</v>
      </c>
    </row>
    <row r="2759" spans="1:11" ht="24" customHeight="1">
      <c r="A2759" s="2" t="s">
        <v>1873</v>
      </c>
      <c r="B2759" s="2" t="s">
        <v>10</v>
      </c>
      <c r="C2759" s="2">
        <v>4</v>
      </c>
      <c r="D2759" s="2" t="s">
        <v>1785</v>
      </c>
      <c r="E2759" s="33">
        <v>3</v>
      </c>
      <c r="F2759" s="33"/>
      <c r="G2759" s="522"/>
      <c r="H2759" s="707">
        <v>2</v>
      </c>
      <c r="I2759" s="707">
        <f t="shared" si="86"/>
        <v>2.2999999999999998</v>
      </c>
      <c r="J2759" s="707">
        <f t="shared" si="87"/>
        <v>2.6</v>
      </c>
      <c r="K2759" s="70"/>
    </row>
    <row r="2760" spans="1:11" ht="24" customHeight="1">
      <c r="A2760" s="11" t="s">
        <v>1873</v>
      </c>
      <c r="B2760" s="11" t="s">
        <v>10</v>
      </c>
      <c r="C2760" s="11">
        <v>33</v>
      </c>
      <c r="D2760" s="131" t="s">
        <v>2882</v>
      </c>
      <c r="E2760" s="15">
        <v>1</v>
      </c>
      <c r="F2760" s="15"/>
      <c r="G2760" s="684"/>
      <c r="H2760" s="707">
        <v>2</v>
      </c>
      <c r="I2760" s="707">
        <f t="shared" si="86"/>
        <v>2.2999999999999998</v>
      </c>
      <c r="J2760" s="707">
        <f t="shared" si="87"/>
        <v>2.6</v>
      </c>
      <c r="K2760" s="70"/>
    </row>
    <row r="2761" spans="1:11" ht="24" customHeight="1">
      <c r="A2761" s="17" t="s">
        <v>1873</v>
      </c>
      <c r="B2761" s="17" t="s">
        <v>10</v>
      </c>
      <c r="C2761" s="17">
        <v>16</v>
      </c>
      <c r="D2761" s="131" t="s">
        <v>2882</v>
      </c>
      <c r="E2761" s="15">
        <v>2</v>
      </c>
      <c r="F2761" s="15"/>
      <c r="G2761" s="684"/>
      <c r="H2761" s="707"/>
      <c r="I2761" s="707">
        <f t="shared" si="86"/>
        <v>0</v>
      </c>
      <c r="J2761" s="707">
        <f t="shared" si="87"/>
        <v>0</v>
      </c>
      <c r="K2761" s="70"/>
    </row>
    <row r="2762" spans="1:11" ht="24" customHeight="1">
      <c r="A2762" s="2" t="s">
        <v>1824</v>
      </c>
      <c r="B2762" s="2" t="s">
        <v>50</v>
      </c>
      <c r="C2762" s="2">
        <v>6</v>
      </c>
      <c r="D2762" s="2" t="s">
        <v>1785</v>
      </c>
      <c r="E2762" s="33">
        <v>2</v>
      </c>
      <c r="F2762" s="33"/>
      <c r="G2762" s="522"/>
      <c r="H2762" s="707">
        <v>1</v>
      </c>
      <c r="I2762" s="707">
        <f t="shared" si="86"/>
        <v>1.1499999999999999</v>
      </c>
      <c r="J2762" s="707">
        <f t="shared" si="87"/>
        <v>1.3</v>
      </c>
      <c r="K2762" s="70"/>
    </row>
    <row r="2763" spans="1:11" ht="24" customHeight="1">
      <c r="A2763" s="3" t="s">
        <v>1824</v>
      </c>
      <c r="B2763" s="3" t="s">
        <v>10</v>
      </c>
      <c r="C2763" s="3">
        <v>18</v>
      </c>
      <c r="D2763" s="58" t="s">
        <v>2802</v>
      </c>
      <c r="E2763" s="33">
        <v>2</v>
      </c>
      <c r="F2763" s="33"/>
      <c r="G2763" s="522"/>
      <c r="H2763" s="707">
        <v>1</v>
      </c>
      <c r="I2763" s="707">
        <f t="shared" si="86"/>
        <v>1.1499999999999999</v>
      </c>
      <c r="J2763" s="707">
        <f t="shared" si="87"/>
        <v>1.3</v>
      </c>
      <c r="K2763" s="70"/>
    </row>
    <row r="2764" spans="1:11" ht="24" customHeight="1">
      <c r="A2764" s="2" t="s">
        <v>1825</v>
      </c>
      <c r="B2764" s="2" t="s">
        <v>50</v>
      </c>
      <c r="C2764" s="2">
        <v>4</v>
      </c>
      <c r="D2764" s="2" t="s">
        <v>1785</v>
      </c>
      <c r="E2764" s="33">
        <v>2</v>
      </c>
      <c r="F2764" s="33"/>
      <c r="G2764" s="522"/>
      <c r="H2764" s="707">
        <v>2</v>
      </c>
      <c r="I2764" s="707">
        <f t="shared" si="86"/>
        <v>2.2999999999999998</v>
      </c>
      <c r="J2764" s="707">
        <f t="shared" si="87"/>
        <v>2.6</v>
      </c>
      <c r="K2764" s="70"/>
    </row>
    <row r="2765" spans="1:11" ht="24" customHeight="1">
      <c r="A2765" s="33" t="s">
        <v>1825</v>
      </c>
      <c r="B2765" s="33" t="s">
        <v>81</v>
      </c>
      <c r="C2765" s="33">
        <v>28</v>
      </c>
      <c r="D2765" s="33" t="s">
        <v>2624</v>
      </c>
      <c r="E2765" s="33">
        <v>4</v>
      </c>
      <c r="F2765" s="33"/>
      <c r="G2765" s="522"/>
      <c r="H2765" s="707">
        <v>2</v>
      </c>
      <c r="I2765" s="707">
        <f t="shared" si="86"/>
        <v>2.2999999999999998</v>
      </c>
      <c r="J2765" s="707">
        <f t="shared" si="87"/>
        <v>2.6</v>
      </c>
      <c r="K2765" s="70"/>
    </row>
    <row r="2766" spans="1:11" ht="24" customHeight="1">
      <c r="A2766" s="3" t="s">
        <v>1825</v>
      </c>
      <c r="B2766" s="3" t="s">
        <v>10</v>
      </c>
      <c r="C2766" s="3">
        <v>1</v>
      </c>
      <c r="D2766" s="58" t="s">
        <v>2802</v>
      </c>
      <c r="E2766" s="33">
        <v>2</v>
      </c>
      <c r="F2766" s="33"/>
      <c r="G2766" s="522"/>
      <c r="H2766" s="707">
        <v>2</v>
      </c>
      <c r="I2766" s="707">
        <f t="shared" si="86"/>
        <v>2.2999999999999998</v>
      </c>
      <c r="J2766" s="707">
        <f t="shared" si="87"/>
        <v>2.6</v>
      </c>
      <c r="K2766" s="70"/>
    </row>
    <row r="2767" spans="1:11" ht="24" customHeight="1">
      <c r="A2767" s="2" t="s">
        <v>601</v>
      </c>
      <c r="B2767" s="2" t="s">
        <v>10</v>
      </c>
      <c r="C2767" s="2">
        <v>9</v>
      </c>
      <c r="D2767" s="2" t="s">
        <v>593</v>
      </c>
      <c r="E2767" s="33">
        <v>1</v>
      </c>
      <c r="F2767" s="33"/>
      <c r="G2767" s="522"/>
      <c r="H2767" s="707">
        <v>2</v>
      </c>
      <c r="I2767" s="707">
        <f t="shared" si="86"/>
        <v>2.2999999999999998</v>
      </c>
      <c r="J2767" s="707">
        <f t="shared" si="87"/>
        <v>2.6</v>
      </c>
      <c r="K2767" s="70"/>
    </row>
    <row r="2768" spans="1:11" ht="24" customHeight="1">
      <c r="A2768" s="2" t="s">
        <v>143</v>
      </c>
      <c r="B2768" s="2" t="s">
        <v>14</v>
      </c>
      <c r="C2768" s="2">
        <v>8</v>
      </c>
      <c r="D2768" s="2" t="s">
        <v>11</v>
      </c>
      <c r="E2768" s="33">
        <v>3</v>
      </c>
      <c r="F2768" s="33"/>
      <c r="G2768" s="522"/>
      <c r="H2768" s="707"/>
      <c r="I2768" s="707">
        <f t="shared" si="86"/>
        <v>0</v>
      </c>
      <c r="J2768" s="707">
        <f t="shared" si="87"/>
        <v>0</v>
      </c>
      <c r="K2768" s="70"/>
    </row>
    <row r="2769" spans="1:11" ht="24" customHeight="1">
      <c r="A2769" s="33" t="s">
        <v>1848</v>
      </c>
      <c r="B2769" s="66" t="s">
        <v>10</v>
      </c>
      <c r="C2769" s="66">
        <v>8</v>
      </c>
      <c r="D2769" s="81" t="s">
        <v>1785</v>
      </c>
      <c r="E2769" s="66">
        <v>2</v>
      </c>
      <c r="F2769" s="66"/>
      <c r="G2769" s="689"/>
      <c r="H2769" s="707"/>
      <c r="I2769" s="707">
        <f t="shared" si="86"/>
        <v>0</v>
      </c>
      <c r="J2769" s="707">
        <f t="shared" si="87"/>
        <v>0</v>
      </c>
      <c r="K2769" s="70"/>
    </row>
    <row r="2770" spans="1:11" ht="24" customHeight="1">
      <c r="A2770" s="74" t="s">
        <v>1116</v>
      </c>
      <c r="B2770" s="74" t="s">
        <v>14</v>
      </c>
      <c r="C2770" s="74">
        <v>14</v>
      </c>
      <c r="D2770" s="33" t="s">
        <v>992</v>
      </c>
      <c r="E2770" s="33">
        <v>5</v>
      </c>
      <c r="F2770" s="33"/>
      <c r="G2770" s="522"/>
      <c r="H2770" s="707"/>
      <c r="I2770" s="707">
        <f t="shared" si="86"/>
        <v>0</v>
      </c>
      <c r="J2770" s="707">
        <f t="shared" si="87"/>
        <v>0</v>
      </c>
      <c r="K2770" s="70"/>
    </row>
    <row r="2771" spans="1:11" ht="24" customHeight="1">
      <c r="A2771" s="33" t="s">
        <v>1845</v>
      </c>
      <c r="B2771" s="66" t="s">
        <v>10</v>
      </c>
      <c r="C2771" s="66">
        <v>5</v>
      </c>
      <c r="D2771" s="81" t="s">
        <v>1785</v>
      </c>
      <c r="E2771" s="66">
        <v>2</v>
      </c>
      <c r="F2771" s="66"/>
      <c r="G2771" s="689"/>
      <c r="H2771" s="707"/>
      <c r="I2771" s="707">
        <f t="shared" si="86"/>
        <v>0</v>
      </c>
      <c r="J2771" s="707">
        <f t="shared" si="87"/>
        <v>0</v>
      </c>
      <c r="K2771" s="70"/>
    </row>
    <row r="2772" spans="1:11" ht="24" customHeight="1">
      <c r="A2772" s="74" t="s">
        <v>2478</v>
      </c>
      <c r="B2772" s="74" t="s">
        <v>10</v>
      </c>
      <c r="C2772" s="74">
        <v>2</v>
      </c>
      <c r="D2772" s="33" t="s">
        <v>2363</v>
      </c>
      <c r="E2772" s="33">
        <v>5</v>
      </c>
      <c r="F2772" s="33"/>
      <c r="G2772" s="522"/>
      <c r="H2772" s="707"/>
      <c r="I2772" s="707">
        <f t="shared" si="86"/>
        <v>0</v>
      </c>
      <c r="J2772" s="707">
        <f t="shared" si="87"/>
        <v>0</v>
      </c>
      <c r="K2772" s="70"/>
    </row>
    <row r="2773" spans="1:11" ht="24" customHeight="1">
      <c r="A2773" s="33" t="s">
        <v>1409</v>
      </c>
      <c r="B2773" s="33" t="s">
        <v>1410</v>
      </c>
      <c r="C2773" s="33">
        <v>1</v>
      </c>
      <c r="D2773" s="33" t="s">
        <v>1372</v>
      </c>
      <c r="E2773" s="33">
        <v>4</v>
      </c>
      <c r="F2773" s="33"/>
      <c r="G2773" s="522"/>
      <c r="H2773" s="707">
        <v>1000</v>
      </c>
      <c r="I2773" s="707">
        <f t="shared" si="86"/>
        <v>1150</v>
      </c>
      <c r="J2773" s="707">
        <f t="shared" si="87"/>
        <v>1300</v>
      </c>
      <c r="K2773" s="70"/>
    </row>
    <row r="2774" spans="1:11" ht="24" customHeight="1">
      <c r="A2774" s="2" t="s">
        <v>299</v>
      </c>
      <c r="B2774" s="2" t="s">
        <v>10</v>
      </c>
      <c r="C2774" s="2">
        <v>28</v>
      </c>
      <c r="D2774" s="2" t="s">
        <v>274</v>
      </c>
      <c r="E2774" s="33">
        <v>1</v>
      </c>
      <c r="F2774" s="33"/>
      <c r="G2774" s="522"/>
      <c r="H2774" s="707"/>
      <c r="I2774" s="707">
        <f t="shared" si="86"/>
        <v>0</v>
      </c>
      <c r="J2774" s="707">
        <f t="shared" si="87"/>
        <v>0</v>
      </c>
      <c r="K2774" s="70"/>
    </row>
    <row r="2775" spans="1:11" ht="24" customHeight="1">
      <c r="A2775" s="2" t="s">
        <v>3737</v>
      </c>
      <c r="B2775" s="2" t="s">
        <v>10</v>
      </c>
      <c r="C2775" s="2">
        <v>11</v>
      </c>
      <c r="D2775" s="2" t="s">
        <v>3705</v>
      </c>
      <c r="E2775" s="33">
        <v>3</v>
      </c>
      <c r="F2775" s="33"/>
      <c r="G2775" s="522"/>
      <c r="H2775" s="707"/>
      <c r="I2775" s="707">
        <f t="shared" si="86"/>
        <v>0</v>
      </c>
      <c r="J2775" s="707">
        <f t="shared" si="87"/>
        <v>0</v>
      </c>
      <c r="K2775" s="55"/>
    </row>
    <row r="2776" spans="1:11" ht="24" customHeight="1">
      <c r="A2776" s="33" t="s">
        <v>1517</v>
      </c>
      <c r="B2776" s="33" t="s">
        <v>19</v>
      </c>
      <c r="C2776" s="33">
        <v>237</v>
      </c>
      <c r="D2776" s="33" t="s">
        <v>1494</v>
      </c>
      <c r="E2776" s="33">
        <v>1</v>
      </c>
      <c r="F2776" s="33"/>
      <c r="G2776" s="522"/>
      <c r="H2776" s="707"/>
      <c r="I2776" s="707">
        <f t="shared" si="86"/>
        <v>0</v>
      </c>
      <c r="J2776" s="707">
        <f t="shared" si="87"/>
        <v>0</v>
      </c>
      <c r="K2776" s="70"/>
    </row>
    <row r="2777" spans="1:11" ht="24" customHeight="1">
      <c r="A2777" s="74" t="s">
        <v>1447</v>
      </c>
      <c r="B2777" s="74" t="s">
        <v>272</v>
      </c>
      <c r="C2777" s="74">
        <v>2</v>
      </c>
      <c r="D2777" s="33" t="s">
        <v>1372</v>
      </c>
      <c r="E2777" s="33">
        <v>5</v>
      </c>
      <c r="F2777" s="33"/>
      <c r="G2777" s="522"/>
      <c r="H2777" s="707"/>
      <c r="I2777" s="707">
        <f t="shared" si="86"/>
        <v>0</v>
      </c>
      <c r="J2777" s="707">
        <f t="shared" si="87"/>
        <v>0</v>
      </c>
      <c r="K2777" s="70"/>
    </row>
    <row r="2778" spans="1:11" ht="14.4">
      <c r="A2778" s="2" t="s">
        <v>3614</v>
      </c>
      <c r="B2778" s="2" t="s">
        <v>350</v>
      </c>
      <c r="C2778" s="2">
        <v>2</v>
      </c>
      <c r="D2778" s="2" t="s">
        <v>3568</v>
      </c>
      <c r="E2778" s="33">
        <v>3</v>
      </c>
      <c r="F2778" s="33"/>
      <c r="G2778" s="522"/>
      <c r="H2778" s="707"/>
      <c r="I2778" s="707">
        <f t="shared" si="86"/>
        <v>0</v>
      </c>
      <c r="J2778" s="707">
        <f t="shared" si="87"/>
        <v>0</v>
      </c>
      <c r="K2778" s="70"/>
    </row>
    <row r="2779" spans="1:11" ht="14.4">
      <c r="A2779" s="33" t="s">
        <v>2318</v>
      </c>
      <c r="B2779" s="33" t="s">
        <v>27</v>
      </c>
      <c r="C2779" s="33">
        <v>4</v>
      </c>
      <c r="D2779" s="33" t="s">
        <v>2276</v>
      </c>
      <c r="E2779" s="33">
        <v>1</v>
      </c>
      <c r="F2779" s="33"/>
      <c r="G2779" s="522"/>
      <c r="H2779" s="707"/>
      <c r="I2779" s="707">
        <f t="shared" si="86"/>
        <v>0</v>
      </c>
      <c r="J2779" s="707">
        <f t="shared" si="87"/>
        <v>0</v>
      </c>
      <c r="K2779" s="70"/>
    </row>
    <row r="2780" spans="1:11" ht="14.4">
      <c r="A2780" s="33" t="s">
        <v>2388</v>
      </c>
      <c r="B2780" s="33" t="s">
        <v>19</v>
      </c>
      <c r="C2780" s="33">
        <v>2</v>
      </c>
      <c r="D2780" s="33" t="s">
        <v>2363</v>
      </c>
      <c r="E2780" s="33">
        <v>3</v>
      </c>
      <c r="F2780" s="33"/>
      <c r="G2780" s="522"/>
      <c r="H2780" s="707"/>
      <c r="I2780" s="707">
        <f t="shared" si="86"/>
        <v>0</v>
      </c>
      <c r="J2780" s="707">
        <f t="shared" si="87"/>
        <v>0</v>
      </c>
      <c r="K2780" s="70"/>
    </row>
    <row r="2781" spans="1:11" ht="24" customHeight="1">
      <c r="A2781" s="2" t="s">
        <v>759</v>
      </c>
      <c r="B2781" s="2" t="s">
        <v>21</v>
      </c>
      <c r="C2781" s="2">
        <v>15</v>
      </c>
      <c r="D2781" s="2" t="s">
        <v>593</v>
      </c>
      <c r="E2781" s="33">
        <v>3</v>
      </c>
      <c r="F2781" s="33"/>
      <c r="G2781" s="522"/>
      <c r="H2781" s="707">
        <v>10</v>
      </c>
      <c r="I2781" s="707">
        <f t="shared" si="86"/>
        <v>11.5</v>
      </c>
      <c r="J2781" s="707">
        <f t="shared" si="87"/>
        <v>13</v>
      </c>
      <c r="K2781" s="70"/>
    </row>
    <row r="2782" spans="1:11" ht="24" customHeight="1">
      <c r="A2782" s="11" t="s">
        <v>2723</v>
      </c>
      <c r="B2782" s="11" t="s">
        <v>19</v>
      </c>
      <c r="C2782" s="11">
        <v>120</v>
      </c>
      <c r="D2782" s="131" t="s">
        <v>2716</v>
      </c>
      <c r="E2782" s="15">
        <v>3</v>
      </c>
      <c r="F2782" s="15"/>
      <c r="G2782" s="684"/>
      <c r="H2782" s="707"/>
      <c r="I2782" s="707">
        <f t="shared" si="86"/>
        <v>0</v>
      </c>
      <c r="J2782" s="707">
        <f t="shared" si="87"/>
        <v>0</v>
      </c>
      <c r="K2782" s="70"/>
    </row>
    <row r="2783" spans="1:11" ht="24" customHeight="1">
      <c r="A2783" s="11" t="s">
        <v>3122</v>
      </c>
      <c r="B2783" s="34" t="s">
        <v>19</v>
      </c>
      <c r="C2783" s="11">
        <v>46</v>
      </c>
      <c r="D2783" s="33" t="s">
        <v>3053</v>
      </c>
      <c r="E2783" s="33">
        <v>3</v>
      </c>
      <c r="F2783" s="33"/>
      <c r="G2783" s="522"/>
      <c r="H2783" s="707">
        <v>7</v>
      </c>
      <c r="I2783" s="707">
        <f t="shared" si="86"/>
        <v>8.0499999999999989</v>
      </c>
      <c r="J2783" s="707">
        <f t="shared" si="87"/>
        <v>9.1</v>
      </c>
      <c r="K2783" s="70"/>
    </row>
    <row r="2784" spans="1:11" ht="24" customHeight="1">
      <c r="A2784" s="33" t="s">
        <v>365</v>
      </c>
      <c r="B2784" s="71" t="s">
        <v>150</v>
      </c>
      <c r="C2784" s="71">
        <v>16</v>
      </c>
      <c r="D2784" s="2" t="s">
        <v>274</v>
      </c>
      <c r="E2784" s="71">
        <v>1</v>
      </c>
      <c r="F2784" s="71"/>
      <c r="G2784" s="686"/>
      <c r="H2784" s="709"/>
      <c r="I2784" s="709">
        <f t="shared" si="86"/>
        <v>0</v>
      </c>
      <c r="J2784" s="709">
        <f t="shared" si="87"/>
        <v>0</v>
      </c>
      <c r="K2784" s="70"/>
    </row>
    <row r="2785" spans="1:11" ht="24" customHeight="1">
      <c r="A2785" s="33" t="s">
        <v>964</v>
      </c>
      <c r="B2785" s="33" t="s">
        <v>19</v>
      </c>
      <c r="C2785" s="33">
        <v>100</v>
      </c>
      <c r="D2785" s="33" t="s">
        <v>910</v>
      </c>
      <c r="E2785" s="33">
        <v>2</v>
      </c>
      <c r="F2785" s="33"/>
      <c r="G2785" s="522"/>
      <c r="H2785" s="707">
        <v>0.5</v>
      </c>
      <c r="I2785" s="707">
        <f t="shared" si="86"/>
        <v>0.57499999999999996</v>
      </c>
      <c r="J2785" s="707">
        <f t="shared" si="87"/>
        <v>0.65</v>
      </c>
      <c r="K2785" s="70"/>
    </row>
    <row r="2786" spans="1:11" ht="24" customHeight="1">
      <c r="A2786" s="74" t="s">
        <v>2440</v>
      </c>
      <c r="B2786" s="74" t="s">
        <v>25</v>
      </c>
      <c r="C2786" s="74">
        <v>8</v>
      </c>
      <c r="D2786" s="33" t="s">
        <v>2363</v>
      </c>
      <c r="E2786" s="33">
        <v>5</v>
      </c>
      <c r="F2786" s="33"/>
      <c r="G2786" s="522"/>
      <c r="H2786" s="707"/>
      <c r="I2786" s="707">
        <f t="shared" si="86"/>
        <v>0</v>
      </c>
      <c r="J2786" s="707">
        <f t="shared" si="87"/>
        <v>0</v>
      </c>
      <c r="K2786" s="70"/>
    </row>
    <row r="2787" spans="1:11" ht="24" customHeight="1">
      <c r="A2787" s="74" t="s">
        <v>2461</v>
      </c>
      <c r="B2787" s="74" t="s">
        <v>23</v>
      </c>
      <c r="C2787" s="74">
        <v>21</v>
      </c>
      <c r="D2787" s="33" t="s">
        <v>2363</v>
      </c>
      <c r="E2787" s="33">
        <v>5</v>
      </c>
      <c r="F2787" s="33"/>
      <c r="G2787" s="522"/>
      <c r="H2787" s="707">
        <v>0.5</v>
      </c>
      <c r="I2787" s="707">
        <f t="shared" si="86"/>
        <v>0.57499999999999996</v>
      </c>
      <c r="J2787" s="707">
        <f t="shared" si="87"/>
        <v>0.65</v>
      </c>
      <c r="K2787" s="70"/>
    </row>
    <row r="2788" spans="1:11" ht="24" customHeight="1">
      <c r="A2788" s="17" t="s">
        <v>8041</v>
      </c>
      <c r="B2788" s="17" t="s">
        <v>23</v>
      </c>
      <c r="C2788" s="17">
        <v>15</v>
      </c>
      <c r="D2788" s="17" t="s">
        <v>1723</v>
      </c>
      <c r="E2788" s="17">
        <v>3</v>
      </c>
      <c r="F2788" s="17"/>
      <c r="G2788" s="687"/>
      <c r="H2788" s="707"/>
      <c r="I2788" s="707">
        <f t="shared" si="86"/>
        <v>0</v>
      </c>
      <c r="J2788" s="707">
        <f t="shared" si="87"/>
        <v>0</v>
      </c>
      <c r="K2788" s="70"/>
    </row>
    <row r="2789" spans="1:11" ht="24" customHeight="1">
      <c r="A2789" s="2" t="s">
        <v>757</v>
      </c>
      <c r="B2789" s="2" t="s">
        <v>23</v>
      </c>
      <c r="C2789" s="2">
        <v>4</v>
      </c>
      <c r="D2789" s="2" t="s">
        <v>593</v>
      </c>
      <c r="E2789" s="33">
        <v>3</v>
      </c>
      <c r="F2789" s="33"/>
      <c r="G2789" s="522"/>
      <c r="H2789" s="707"/>
      <c r="I2789" s="707">
        <f t="shared" si="86"/>
        <v>0</v>
      </c>
      <c r="J2789" s="707">
        <f t="shared" si="87"/>
        <v>0</v>
      </c>
      <c r="K2789" s="70"/>
    </row>
    <row r="2790" spans="1:11" ht="24" customHeight="1">
      <c r="A2790" s="2" t="s">
        <v>716</v>
      </c>
      <c r="B2790" s="2" t="s">
        <v>717</v>
      </c>
      <c r="C2790" s="2">
        <v>67</v>
      </c>
      <c r="D2790" s="2" t="s">
        <v>593</v>
      </c>
      <c r="E2790" s="33">
        <v>3</v>
      </c>
      <c r="F2790" s="33"/>
      <c r="G2790" s="522"/>
      <c r="H2790" s="707"/>
      <c r="I2790" s="707">
        <f t="shared" si="86"/>
        <v>0</v>
      </c>
      <c r="J2790" s="707">
        <f t="shared" si="87"/>
        <v>0</v>
      </c>
      <c r="K2790" s="70"/>
    </row>
    <row r="2791" spans="1:11" ht="24" customHeight="1">
      <c r="A2791" s="33" t="s">
        <v>89</v>
      </c>
      <c r="B2791" s="33" t="s">
        <v>56</v>
      </c>
      <c r="C2791" s="33">
        <v>15</v>
      </c>
      <c r="D2791" s="2" t="s">
        <v>11</v>
      </c>
      <c r="E2791" s="33">
        <v>1</v>
      </c>
      <c r="F2791" s="33"/>
      <c r="G2791" s="522"/>
      <c r="H2791" s="707"/>
      <c r="I2791" s="707">
        <f t="shared" si="86"/>
        <v>0</v>
      </c>
      <c r="J2791" s="707">
        <f t="shared" si="87"/>
        <v>0</v>
      </c>
      <c r="K2791" s="70"/>
    </row>
    <row r="2792" spans="1:11" ht="24" customHeight="1">
      <c r="A2792" s="2" t="s">
        <v>89</v>
      </c>
      <c r="B2792" s="2" t="s">
        <v>305</v>
      </c>
      <c r="C2792" s="2">
        <v>74</v>
      </c>
      <c r="D2792" s="2" t="s">
        <v>274</v>
      </c>
      <c r="E2792" s="33">
        <v>1</v>
      </c>
      <c r="F2792" s="33"/>
      <c r="G2792" s="522"/>
      <c r="H2792" s="707">
        <v>1.5</v>
      </c>
      <c r="I2792" s="707">
        <f t="shared" si="86"/>
        <v>1.7249999999999999</v>
      </c>
      <c r="J2792" s="707">
        <f t="shared" si="87"/>
        <v>1.9500000000000002</v>
      </c>
      <c r="K2792" s="70"/>
    </row>
    <row r="2793" spans="1:11" ht="24" customHeight="1">
      <c r="A2793" s="2" t="s">
        <v>89</v>
      </c>
      <c r="B2793" s="2" t="s">
        <v>305</v>
      </c>
      <c r="C2793" s="2">
        <v>43</v>
      </c>
      <c r="D2793" s="2" t="s">
        <v>593</v>
      </c>
      <c r="E2793" s="33">
        <v>3</v>
      </c>
      <c r="F2793" s="33"/>
      <c r="G2793" s="522"/>
      <c r="H2793" s="707">
        <v>1.5</v>
      </c>
      <c r="I2793" s="707">
        <f t="shared" si="86"/>
        <v>1.7249999999999999</v>
      </c>
      <c r="J2793" s="707">
        <f t="shared" si="87"/>
        <v>1.9500000000000002</v>
      </c>
      <c r="K2793" s="70"/>
    </row>
    <row r="2794" spans="1:11" ht="24" customHeight="1">
      <c r="A2794" s="59" t="s">
        <v>89</v>
      </c>
      <c r="B2794" s="59" t="s">
        <v>56</v>
      </c>
      <c r="C2794" s="59">
        <v>25</v>
      </c>
      <c r="D2794" s="33" t="s">
        <v>2624</v>
      </c>
      <c r="E2794" s="354">
        <v>5</v>
      </c>
      <c r="F2794" s="354"/>
      <c r="G2794" s="688"/>
      <c r="H2794" s="707">
        <v>1.5</v>
      </c>
      <c r="I2794" s="707">
        <f t="shared" si="86"/>
        <v>1.7249999999999999</v>
      </c>
      <c r="J2794" s="707">
        <f t="shared" si="87"/>
        <v>1.9500000000000002</v>
      </c>
      <c r="K2794" s="70"/>
    </row>
    <row r="2795" spans="1:11" ht="24" customHeight="1">
      <c r="A2795" s="33" t="s">
        <v>159</v>
      </c>
      <c r="B2795" s="33" t="s">
        <v>147</v>
      </c>
      <c r="C2795" s="33">
        <v>98</v>
      </c>
      <c r="D2795" s="2" t="s">
        <v>11</v>
      </c>
      <c r="E2795" s="33">
        <v>3</v>
      </c>
      <c r="F2795" s="33"/>
      <c r="G2795" s="522"/>
      <c r="H2795" s="707"/>
      <c r="I2795" s="707">
        <f t="shared" si="86"/>
        <v>0</v>
      </c>
      <c r="J2795" s="707">
        <f t="shared" si="87"/>
        <v>0</v>
      </c>
      <c r="K2795" s="70"/>
    </row>
    <row r="2796" spans="1:11" ht="24" customHeight="1">
      <c r="A2796" s="33" t="s">
        <v>270</v>
      </c>
      <c r="B2796" s="55" t="s">
        <v>56</v>
      </c>
      <c r="C2796" s="33">
        <v>81</v>
      </c>
      <c r="D2796" s="2" t="s">
        <v>188</v>
      </c>
      <c r="E2796" s="33">
        <v>5</v>
      </c>
      <c r="F2796" s="33"/>
      <c r="G2796" s="522"/>
      <c r="H2796" s="707"/>
      <c r="I2796" s="707">
        <f t="shared" si="86"/>
        <v>0</v>
      </c>
      <c r="J2796" s="707">
        <f t="shared" si="87"/>
        <v>0</v>
      </c>
      <c r="K2796" s="70" t="s">
        <v>99</v>
      </c>
    </row>
    <row r="2797" spans="1:11" ht="24" customHeight="1">
      <c r="A2797" s="33" t="s">
        <v>174</v>
      </c>
      <c r="B2797" s="33" t="s">
        <v>56</v>
      </c>
      <c r="C2797" s="33">
        <v>18</v>
      </c>
      <c r="D2797" s="2" t="s">
        <v>11</v>
      </c>
      <c r="E2797" s="33">
        <v>3</v>
      </c>
      <c r="F2797" s="33"/>
      <c r="G2797" s="522"/>
      <c r="H2797" s="707"/>
      <c r="I2797" s="707">
        <f t="shared" si="86"/>
        <v>0</v>
      </c>
      <c r="J2797" s="707">
        <f t="shared" si="87"/>
        <v>0</v>
      </c>
      <c r="K2797" s="70"/>
    </row>
    <row r="2798" spans="1:11" ht="24" customHeight="1">
      <c r="A2798" s="2" t="s">
        <v>776</v>
      </c>
      <c r="B2798" s="2" t="s">
        <v>41</v>
      </c>
      <c r="C2798" s="2">
        <v>3</v>
      </c>
      <c r="D2798" s="2" t="s">
        <v>593</v>
      </c>
      <c r="E2798" s="33">
        <v>3</v>
      </c>
      <c r="F2798" s="33"/>
      <c r="G2798" s="522"/>
      <c r="H2798" s="707">
        <v>3</v>
      </c>
      <c r="I2798" s="707">
        <f t="shared" si="86"/>
        <v>3.4499999999999997</v>
      </c>
      <c r="J2798" s="707">
        <f t="shared" si="87"/>
        <v>3.9000000000000004</v>
      </c>
      <c r="K2798" s="70"/>
    </row>
    <row r="2799" spans="1:11" ht="24" customHeight="1">
      <c r="A2799" s="74" t="s">
        <v>1088</v>
      </c>
      <c r="B2799" s="74" t="s">
        <v>41</v>
      </c>
      <c r="C2799" s="74">
        <v>161</v>
      </c>
      <c r="D2799" s="33" t="s">
        <v>992</v>
      </c>
      <c r="E2799" s="33">
        <v>5</v>
      </c>
      <c r="F2799" s="33"/>
      <c r="G2799" s="522"/>
      <c r="H2799" s="707"/>
      <c r="I2799" s="707">
        <f t="shared" si="86"/>
        <v>0</v>
      </c>
      <c r="J2799" s="707">
        <f t="shared" si="87"/>
        <v>0</v>
      </c>
      <c r="K2799" s="70"/>
    </row>
    <row r="2800" spans="1:11" ht="24" customHeight="1">
      <c r="A2800" s="2" t="s">
        <v>1802</v>
      </c>
      <c r="B2800" s="2" t="s">
        <v>474</v>
      </c>
      <c r="C2800" s="2">
        <v>11</v>
      </c>
      <c r="D2800" s="2" t="s">
        <v>1785</v>
      </c>
      <c r="E2800" s="33">
        <v>1</v>
      </c>
      <c r="F2800" s="33"/>
      <c r="G2800" s="522"/>
      <c r="H2800" s="707"/>
      <c r="I2800" s="707">
        <f t="shared" si="86"/>
        <v>0</v>
      </c>
      <c r="J2800" s="707">
        <f t="shared" si="87"/>
        <v>0</v>
      </c>
      <c r="K2800" s="70"/>
    </row>
    <row r="2801" spans="1:11" ht="24" customHeight="1">
      <c r="A2801" s="2" t="s">
        <v>726</v>
      </c>
      <c r="B2801" s="2" t="s">
        <v>21</v>
      </c>
      <c r="C2801" s="2">
        <v>8</v>
      </c>
      <c r="D2801" s="2" t="s">
        <v>593</v>
      </c>
      <c r="E2801" s="33">
        <v>3</v>
      </c>
      <c r="F2801" s="33"/>
      <c r="G2801" s="522"/>
      <c r="H2801" s="707"/>
      <c r="I2801" s="707">
        <f t="shared" si="86"/>
        <v>0</v>
      </c>
      <c r="J2801" s="707">
        <f t="shared" si="87"/>
        <v>0</v>
      </c>
      <c r="K2801" s="70"/>
    </row>
    <row r="2802" spans="1:11" ht="24" customHeight="1">
      <c r="A2802" s="2" t="s">
        <v>1875</v>
      </c>
      <c r="B2802" s="2" t="s">
        <v>21</v>
      </c>
      <c r="C2802" s="2">
        <v>3</v>
      </c>
      <c r="D2802" s="2" t="s">
        <v>1785</v>
      </c>
      <c r="E2802" s="33">
        <v>3</v>
      </c>
      <c r="F2802" s="33"/>
      <c r="G2802" s="522"/>
      <c r="H2802" s="707">
        <v>5</v>
      </c>
      <c r="I2802" s="707">
        <f t="shared" si="86"/>
        <v>5.75</v>
      </c>
      <c r="J2802" s="707">
        <f t="shared" si="87"/>
        <v>6.5</v>
      </c>
      <c r="K2802" s="70"/>
    </row>
    <row r="2803" spans="1:11" ht="24" customHeight="1">
      <c r="A2803" s="33" t="s">
        <v>2055</v>
      </c>
      <c r="B2803" s="33" t="s">
        <v>23</v>
      </c>
      <c r="C2803" s="33">
        <v>1</v>
      </c>
      <c r="D2803" s="33" t="s">
        <v>2026</v>
      </c>
      <c r="E2803" s="33">
        <v>4</v>
      </c>
      <c r="F2803" s="33"/>
      <c r="G2803" s="522"/>
      <c r="H2803" s="707"/>
      <c r="I2803" s="707">
        <f t="shared" si="86"/>
        <v>0</v>
      </c>
      <c r="J2803" s="707">
        <f t="shared" si="87"/>
        <v>0</v>
      </c>
      <c r="K2803" s="70"/>
    </row>
    <row r="2804" spans="1:11" ht="24" customHeight="1">
      <c r="A2804" s="2" t="s">
        <v>780</v>
      </c>
      <c r="B2804" s="2" t="s">
        <v>41</v>
      </c>
      <c r="C2804" s="2">
        <v>10</v>
      </c>
      <c r="D2804" s="2" t="s">
        <v>593</v>
      </c>
      <c r="E2804" s="33">
        <v>3</v>
      </c>
      <c r="F2804" s="33"/>
      <c r="G2804" s="522"/>
      <c r="H2804" s="707"/>
      <c r="I2804" s="707">
        <f t="shared" si="86"/>
        <v>0</v>
      </c>
      <c r="J2804" s="707">
        <f t="shared" si="87"/>
        <v>0</v>
      </c>
      <c r="K2804" s="70"/>
    </row>
    <row r="2805" spans="1:11" ht="24" customHeight="1">
      <c r="A2805" s="78" t="s">
        <v>2479</v>
      </c>
      <c r="B2805" s="74" t="s">
        <v>749</v>
      </c>
      <c r="C2805" s="74">
        <v>63</v>
      </c>
      <c r="D2805" s="33" t="s">
        <v>2363</v>
      </c>
      <c r="E2805" s="33">
        <v>5</v>
      </c>
      <c r="F2805" s="33"/>
      <c r="G2805" s="522"/>
      <c r="H2805" s="707"/>
      <c r="I2805" s="707">
        <f t="shared" si="86"/>
        <v>0</v>
      </c>
      <c r="J2805" s="707">
        <f t="shared" si="87"/>
        <v>0</v>
      </c>
      <c r="K2805" s="70"/>
    </row>
    <row r="2806" spans="1:11" ht="24" customHeight="1">
      <c r="A2806" s="2" t="s">
        <v>809</v>
      </c>
      <c r="B2806" s="2" t="s">
        <v>19</v>
      </c>
      <c r="C2806" s="2">
        <v>4</v>
      </c>
      <c r="D2806" s="2" t="s">
        <v>593</v>
      </c>
      <c r="E2806" s="33">
        <v>3</v>
      </c>
      <c r="F2806" s="33"/>
      <c r="G2806" s="522"/>
      <c r="H2806" s="707"/>
      <c r="I2806" s="707">
        <f t="shared" si="86"/>
        <v>0</v>
      </c>
      <c r="J2806" s="707">
        <f t="shared" si="87"/>
        <v>0</v>
      </c>
      <c r="K2806" s="70"/>
    </row>
    <row r="2807" spans="1:11" ht="24" customHeight="1">
      <c r="A2807" s="2" t="s">
        <v>38</v>
      </c>
      <c r="B2807" s="2" t="s">
        <v>19</v>
      </c>
      <c r="C2807" s="2">
        <v>102</v>
      </c>
      <c r="D2807" s="2" t="s">
        <v>11</v>
      </c>
      <c r="E2807" s="33">
        <v>1</v>
      </c>
      <c r="F2807" s="33"/>
      <c r="G2807" s="522"/>
      <c r="H2807" s="707">
        <v>1</v>
      </c>
      <c r="I2807" s="707">
        <f t="shared" si="86"/>
        <v>1.1499999999999999</v>
      </c>
      <c r="J2807" s="707">
        <f t="shared" si="87"/>
        <v>1.3</v>
      </c>
      <c r="K2807" s="70"/>
    </row>
    <row r="2808" spans="1:11" ht="24" customHeight="1">
      <c r="A2808" s="74" t="s">
        <v>38</v>
      </c>
      <c r="B2808" s="74" t="s">
        <v>19</v>
      </c>
      <c r="C2808" s="74">
        <v>75</v>
      </c>
      <c r="D2808" s="33" t="s">
        <v>2111</v>
      </c>
      <c r="E2808" s="33">
        <v>2</v>
      </c>
      <c r="F2808" s="33"/>
      <c r="G2808" s="522"/>
      <c r="H2808" s="707">
        <v>1</v>
      </c>
      <c r="I2808" s="707">
        <f t="shared" si="86"/>
        <v>1.1499999999999999</v>
      </c>
      <c r="J2808" s="707">
        <f t="shared" si="87"/>
        <v>1.3</v>
      </c>
      <c r="K2808" s="70"/>
    </row>
    <row r="2809" spans="1:11" ht="24" customHeight="1">
      <c r="A2809" s="33" t="s">
        <v>38</v>
      </c>
      <c r="B2809" s="33" t="s">
        <v>19</v>
      </c>
      <c r="C2809" s="33">
        <v>97</v>
      </c>
      <c r="D2809" s="33" t="s">
        <v>2624</v>
      </c>
      <c r="E2809" s="33">
        <v>4</v>
      </c>
      <c r="F2809" s="33"/>
      <c r="G2809" s="522"/>
      <c r="H2809" s="707">
        <v>1</v>
      </c>
      <c r="I2809" s="707">
        <f t="shared" si="86"/>
        <v>1.1499999999999999</v>
      </c>
      <c r="J2809" s="707">
        <f t="shared" si="87"/>
        <v>1.3</v>
      </c>
      <c r="K2809" s="70"/>
    </row>
    <row r="2810" spans="1:11" ht="24" customHeight="1">
      <c r="A2810" s="74" t="s">
        <v>2163</v>
      </c>
      <c r="B2810" s="74" t="s">
        <v>19</v>
      </c>
      <c r="C2810" s="74">
        <v>75</v>
      </c>
      <c r="D2810" s="33" t="s">
        <v>2111</v>
      </c>
      <c r="E2810" s="33">
        <v>2</v>
      </c>
      <c r="F2810" s="33"/>
      <c r="G2810" s="522"/>
      <c r="H2810" s="707"/>
      <c r="I2810" s="707">
        <f t="shared" si="86"/>
        <v>0</v>
      </c>
      <c r="J2810" s="707">
        <f t="shared" si="87"/>
        <v>0</v>
      </c>
      <c r="K2810" s="70"/>
    </row>
    <row r="2811" spans="1:11" ht="24" customHeight="1">
      <c r="A2811" s="33" t="s">
        <v>3414</v>
      </c>
      <c r="B2811" s="33" t="s">
        <v>19</v>
      </c>
      <c r="C2811" s="33">
        <v>84</v>
      </c>
      <c r="D2811" s="33" t="s">
        <v>3348</v>
      </c>
      <c r="E2811" s="33">
        <v>4</v>
      </c>
      <c r="F2811" s="33"/>
      <c r="G2811" s="522"/>
      <c r="H2811" s="707"/>
      <c r="I2811" s="707">
        <f t="shared" si="86"/>
        <v>0</v>
      </c>
      <c r="J2811" s="707">
        <f t="shared" si="87"/>
        <v>0</v>
      </c>
      <c r="K2811" s="70"/>
    </row>
    <row r="2812" spans="1:11" ht="24" customHeight="1">
      <c r="A2812" s="33" t="s">
        <v>3310</v>
      </c>
      <c r="B2812" s="33" t="s">
        <v>19</v>
      </c>
      <c r="C2812" s="33">
        <v>35</v>
      </c>
      <c r="D2812" s="33" t="s">
        <v>3279</v>
      </c>
      <c r="E2812" s="33">
        <v>3</v>
      </c>
      <c r="F2812" s="33"/>
      <c r="G2812" s="522"/>
      <c r="H2812" s="707"/>
      <c r="I2812" s="707">
        <f t="shared" si="86"/>
        <v>0</v>
      </c>
      <c r="J2812" s="707">
        <f t="shared" si="87"/>
        <v>0</v>
      </c>
      <c r="K2812" s="70"/>
    </row>
    <row r="2813" spans="1:11" ht="24" customHeight="1">
      <c r="A2813" s="33" t="s">
        <v>1389</v>
      </c>
      <c r="B2813" s="33" t="s">
        <v>19</v>
      </c>
      <c r="C2813" s="33">
        <v>95</v>
      </c>
      <c r="D2813" s="33" t="s">
        <v>1372</v>
      </c>
      <c r="E2813" s="33">
        <v>3</v>
      </c>
      <c r="F2813" s="33"/>
      <c r="G2813" s="522"/>
      <c r="H2813" s="707">
        <v>0.5</v>
      </c>
      <c r="I2813" s="707">
        <f t="shared" si="86"/>
        <v>0.57499999999999996</v>
      </c>
      <c r="J2813" s="707">
        <f t="shared" si="87"/>
        <v>0.65</v>
      </c>
      <c r="K2813" s="70"/>
    </row>
    <row r="2814" spans="1:11" ht="24" customHeight="1">
      <c r="A2814" s="33" t="s">
        <v>977</v>
      </c>
      <c r="B2814" s="33" t="s">
        <v>19</v>
      </c>
      <c r="C2814" s="33">
        <v>400</v>
      </c>
      <c r="D2814" s="33" t="s">
        <v>910</v>
      </c>
      <c r="E2814" s="33">
        <v>2</v>
      </c>
      <c r="F2814" s="33"/>
      <c r="G2814" s="522"/>
      <c r="H2814" s="707">
        <v>1</v>
      </c>
      <c r="I2814" s="707">
        <f t="shared" si="86"/>
        <v>1.1499999999999999</v>
      </c>
      <c r="J2814" s="707">
        <f t="shared" si="87"/>
        <v>1.3</v>
      </c>
      <c r="K2814" s="70"/>
    </row>
    <row r="2815" spans="1:11" ht="24" customHeight="1">
      <c r="A2815" s="33" t="s">
        <v>3366</v>
      </c>
      <c r="B2815" s="33" t="s">
        <v>19</v>
      </c>
      <c r="C2815" s="33">
        <v>90</v>
      </c>
      <c r="D2815" s="33" t="s">
        <v>3348</v>
      </c>
      <c r="E2815" s="33">
        <v>3</v>
      </c>
      <c r="F2815" s="33"/>
      <c r="G2815" s="522"/>
      <c r="H2815" s="707">
        <v>2</v>
      </c>
      <c r="I2815" s="707">
        <f t="shared" si="86"/>
        <v>2.2999999999999998</v>
      </c>
      <c r="J2815" s="707">
        <f t="shared" si="87"/>
        <v>2.6</v>
      </c>
      <c r="K2815" s="70"/>
    </row>
    <row r="2816" spans="1:11" ht="24" customHeight="1">
      <c r="A2816" s="74" t="s">
        <v>1090</v>
      </c>
      <c r="B2816" s="74" t="s">
        <v>19</v>
      </c>
      <c r="C2816" s="74">
        <v>73</v>
      </c>
      <c r="D2816" s="33" t="s">
        <v>992</v>
      </c>
      <c r="E2816" s="33">
        <v>5</v>
      </c>
      <c r="F2816" s="33"/>
      <c r="G2816" s="522"/>
      <c r="H2816" s="707">
        <v>1</v>
      </c>
      <c r="I2816" s="707">
        <f t="shared" si="86"/>
        <v>1.1499999999999999</v>
      </c>
      <c r="J2816" s="707">
        <f t="shared" si="87"/>
        <v>1.3</v>
      </c>
      <c r="K2816" s="70"/>
    </row>
    <row r="2817" spans="1:11" ht="24" customHeight="1">
      <c r="A2817" s="33" t="s">
        <v>1966</v>
      </c>
      <c r="B2817" s="33" t="s">
        <v>19</v>
      </c>
      <c r="C2817" s="33">
        <v>48</v>
      </c>
      <c r="D2817" s="33" t="s">
        <v>1938</v>
      </c>
      <c r="E2817" s="33">
        <v>1</v>
      </c>
      <c r="F2817" s="33"/>
      <c r="G2817" s="522"/>
      <c r="H2817" s="707">
        <v>1</v>
      </c>
      <c r="I2817" s="707">
        <f t="shared" si="86"/>
        <v>1.1499999999999999</v>
      </c>
      <c r="J2817" s="707">
        <f t="shared" si="87"/>
        <v>1.3</v>
      </c>
      <c r="K2817" s="70"/>
    </row>
    <row r="2818" spans="1:11" ht="24" customHeight="1">
      <c r="A2818" s="33" t="s">
        <v>1265</v>
      </c>
      <c r="B2818" s="33" t="s">
        <v>19</v>
      </c>
      <c r="C2818" s="33">
        <v>484</v>
      </c>
      <c r="D2818" s="33" t="s">
        <v>1201</v>
      </c>
      <c r="E2818" s="33">
        <v>4</v>
      </c>
      <c r="F2818" s="33"/>
      <c r="G2818" s="522"/>
      <c r="H2818" s="707">
        <v>0.25</v>
      </c>
      <c r="I2818" s="707">
        <f t="shared" si="86"/>
        <v>0.28749999999999998</v>
      </c>
      <c r="J2818" s="707">
        <f t="shared" si="87"/>
        <v>0.32500000000000001</v>
      </c>
      <c r="K2818" s="70"/>
    </row>
    <row r="2819" spans="1:11" ht="24" customHeight="1">
      <c r="A2819" s="33" t="s">
        <v>956</v>
      </c>
      <c r="B2819" s="33" t="s">
        <v>19</v>
      </c>
      <c r="C2819" s="33">
        <v>14</v>
      </c>
      <c r="D2819" s="33" t="s">
        <v>910</v>
      </c>
      <c r="E2819" s="33">
        <v>2</v>
      </c>
      <c r="F2819" s="33"/>
      <c r="G2819" s="522"/>
      <c r="H2819" s="707">
        <v>0.75</v>
      </c>
      <c r="I2819" s="707">
        <f t="shared" ref="I2819:I2882" si="88">H2819 * 1.15</f>
        <v>0.86249999999999993</v>
      </c>
      <c r="J2819" s="707">
        <f t="shared" ref="J2819:J2882" si="89">H2819 * 1.3</f>
        <v>0.97500000000000009</v>
      </c>
      <c r="K2819" s="70"/>
    </row>
    <row r="2820" spans="1:11" ht="24" customHeight="1">
      <c r="A2820" s="74" t="s">
        <v>956</v>
      </c>
      <c r="B2820" s="74" t="s">
        <v>19</v>
      </c>
      <c r="C2820" s="74">
        <v>4</v>
      </c>
      <c r="D2820" s="33" t="s">
        <v>2111</v>
      </c>
      <c r="E2820" s="33">
        <v>2</v>
      </c>
      <c r="F2820" s="33"/>
      <c r="G2820" s="522"/>
      <c r="H2820" s="707"/>
      <c r="I2820" s="707">
        <f t="shared" si="88"/>
        <v>0</v>
      </c>
      <c r="J2820" s="707">
        <f t="shared" si="89"/>
        <v>0</v>
      </c>
      <c r="K2820" s="70"/>
    </row>
    <row r="2821" spans="1:11" ht="24" customHeight="1">
      <c r="A2821" s="33" t="s">
        <v>2128</v>
      </c>
      <c r="B2821" s="33" t="s">
        <v>19</v>
      </c>
      <c r="C2821" s="33">
        <v>25</v>
      </c>
      <c r="D2821" s="33" t="s">
        <v>2111</v>
      </c>
      <c r="E2821" s="33">
        <v>1</v>
      </c>
      <c r="F2821" s="33"/>
      <c r="G2821" s="522"/>
      <c r="H2821" s="707">
        <v>3</v>
      </c>
      <c r="I2821" s="707">
        <f t="shared" si="88"/>
        <v>3.4499999999999997</v>
      </c>
      <c r="J2821" s="707">
        <f t="shared" si="89"/>
        <v>3.9000000000000004</v>
      </c>
      <c r="K2821" s="70"/>
    </row>
    <row r="2822" spans="1:11" ht="24" customHeight="1">
      <c r="A2822" s="33" t="s">
        <v>2128</v>
      </c>
      <c r="B2822" s="33" t="s">
        <v>19</v>
      </c>
      <c r="C2822" s="33">
        <v>217</v>
      </c>
      <c r="D2822" s="33" t="s">
        <v>2276</v>
      </c>
      <c r="E2822" s="33">
        <v>1</v>
      </c>
      <c r="F2822" s="33"/>
      <c r="G2822" s="522"/>
      <c r="H2822" s="707">
        <v>3</v>
      </c>
      <c r="I2822" s="707">
        <f t="shared" si="88"/>
        <v>3.4499999999999997</v>
      </c>
      <c r="J2822" s="707">
        <f t="shared" si="89"/>
        <v>3.9000000000000004</v>
      </c>
      <c r="K2822" s="70"/>
    </row>
    <row r="2823" spans="1:11" ht="24" customHeight="1">
      <c r="A2823" s="74" t="s">
        <v>1118</v>
      </c>
      <c r="B2823" s="74" t="s">
        <v>19</v>
      </c>
      <c r="C2823" s="74">
        <v>65</v>
      </c>
      <c r="D2823" s="33" t="s">
        <v>992</v>
      </c>
      <c r="E2823" s="33">
        <v>5</v>
      </c>
      <c r="F2823" s="33"/>
      <c r="G2823" s="522"/>
      <c r="H2823" s="707"/>
      <c r="I2823" s="707">
        <f t="shared" si="88"/>
        <v>0</v>
      </c>
      <c r="J2823" s="707">
        <f t="shared" si="89"/>
        <v>0</v>
      </c>
      <c r="K2823" s="70"/>
    </row>
    <row r="2824" spans="1:11" ht="24" customHeight="1">
      <c r="A2824" s="33" t="s">
        <v>1118</v>
      </c>
      <c r="B2824" s="33" t="s">
        <v>19</v>
      </c>
      <c r="C2824" s="33">
        <v>243</v>
      </c>
      <c r="D2824" s="33" t="s">
        <v>1325</v>
      </c>
      <c r="E2824" s="33">
        <v>1</v>
      </c>
      <c r="F2824" s="33"/>
      <c r="G2824" s="522"/>
      <c r="H2824" s="707"/>
      <c r="I2824" s="707">
        <f t="shared" si="88"/>
        <v>0</v>
      </c>
      <c r="J2824" s="707">
        <f t="shared" si="89"/>
        <v>0</v>
      </c>
      <c r="K2824" s="70"/>
    </row>
    <row r="2825" spans="1:11" ht="24" customHeight="1">
      <c r="A2825" s="74" t="s">
        <v>1118</v>
      </c>
      <c r="B2825" s="74" t="s">
        <v>19</v>
      </c>
      <c r="C2825" s="74">
        <v>82</v>
      </c>
      <c r="D2825" s="33" t="s">
        <v>1372</v>
      </c>
      <c r="E2825" s="33">
        <v>5</v>
      </c>
      <c r="F2825" s="33"/>
      <c r="G2825" s="522"/>
      <c r="H2825" s="707"/>
      <c r="I2825" s="707">
        <f t="shared" si="88"/>
        <v>0</v>
      </c>
      <c r="J2825" s="707">
        <f t="shared" si="89"/>
        <v>0</v>
      </c>
      <c r="K2825" s="70"/>
    </row>
    <row r="2826" spans="1:11" ht="24" customHeight="1">
      <c r="A2826" s="33" t="s">
        <v>1118</v>
      </c>
      <c r="B2826" s="33" t="s">
        <v>19</v>
      </c>
      <c r="C2826" s="33">
        <v>188</v>
      </c>
      <c r="D2826" s="33" t="s">
        <v>2624</v>
      </c>
      <c r="E2826" s="33">
        <v>4</v>
      </c>
      <c r="F2826" s="33"/>
      <c r="G2826" s="522"/>
      <c r="H2826" s="707"/>
      <c r="I2826" s="707">
        <f t="shared" si="88"/>
        <v>0</v>
      </c>
      <c r="J2826" s="707">
        <f t="shared" si="89"/>
        <v>0</v>
      </c>
      <c r="K2826" s="70"/>
    </row>
    <row r="2827" spans="1:11" ht="24" customHeight="1">
      <c r="A2827" s="33" t="s">
        <v>2004</v>
      </c>
      <c r="B2827" s="33" t="s">
        <v>19</v>
      </c>
      <c r="C2827" s="33">
        <v>109</v>
      </c>
      <c r="D2827" s="33" t="s">
        <v>1938</v>
      </c>
      <c r="E2827" s="33">
        <v>2</v>
      </c>
      <c r="F2827" s="33"/>
      <c r="G2827" s="522"/>
      <c r="H2827" s="707">
        <v>1</v>
      </c>
      <c r="I2827" s="707">
        <f t="shared" si="88"/>
        <v>1.1499999999999999</v>
      </c>
      <c r="J2827" s="707">
        <f t="shared" si="89"/>
        <v>1.3</v>
      </c>
      <c r="K2827" s="70"/>
    </row>
    <row r="2828" spans="1:11" ht="24" customHeight="1">
      <c r="A2828" s="11" t="s">
        <v>2004</v>
      </c>
      <c r="B2828" s="11" t="s">
        <v>19</v>
      </c>
      <c r="C2828" s="11">
        <v>742</v>
      </c>
      <c r="D2828" s="131" t="s">
        <v>2772</v>
      </c>
      <c r="E2828" s="17">
        <v>4</v>
      </c>
      <c r="F2828" s="17"/>
      <c r="G2828" s="687"/>
      <c r="H2828" s="707">
        <v>1</v>
      </c>
      <c r="I2828" s="707">
        <f t="shared" si="88"/>
        <v>1.1499999999999999</v>
      </c>
      <c r="J2828" s="707">
        <f t="shared" si="89"/>
        <v>1.3</v>
      </c>
      <c r="K2828" s="70"/>
    </row>
    <row r="2829" spans="1:11" ht="24" customHeight="1">
      <c r="A2829" s="11" t="s">
        <v>2846</v>
      </c>
      <c r="B2829" s="11" t="s">
        <v>19</v>
      </c>
      <c r="C2829" s="11">
        <v>214</v>
      </c>
      <c r="D2829" s="131" t="s">
        <v>2802</v>
      </c>
      <c r="E2829" s="15">
        <v>3</v>
      </c>
      <c r="F2829" s="15"/>
      <c r="G2829" s="684"/>
      <c r="H2829" s="707"/>
      <c r="I2829" s="707">
        <f t="shared" si="88"/>
        <v>0</v>
      </c>
      <c r="J2829" s="707">
        <f t="shared" si="89"/>
        <v>0</v>
      </c>
      <c r="K2829" s="70"/>
    </row>
    <row r="2830" spans="1:11" ht="24" customHeight="1">
      <c r="A2830" s="33" t="s">
        <v>1353</v>
      </c>
      <c r="B2830" s="33" t="s">
        <v>27</v>
      </c>
      <c r="C2830" s="33">
        <v>146</v>
      </c>
      <c r="D2830" s="33" t="s">
        <v>1325</v>
      </c>
      <c r="E2830" s="33">
        <v>2</v>
      </c>
      <c r="F2830" s="33"/>
      <c r="G2830" s="522"/>
      <c r="H2830" s="707"/>
      <c r="I2830" s="707">
        <f t="shared" si="88"/>
        <v>0</v>
      </c>
      <c r="J2830" s="707">
        <f t="shared" si="89"/>
        <v>0</v>
      </c>
      <c r="K2830" s="70"/>
    </row>
    <row r="2831" spans="1:11" ht="24" customHeight="1">
      <c r="A2831" s="33" t="s">
        <v>1249</v>
      </c>
      <c r="B2831" s="33" t="s">
        <v>19</v>
      </c>
      <c r="C2831" s="33">
        <v>311</v>
      </c>
      <c r="D2831" s="33" t="s">
        <v>1201</v>
      </c>
      <c r="E2831" s="33">
        <v>4</v>
      </c>
      <c r="F2831" s="33"/>
      <c r="G2831" s="522"/>
      <c r="H2831" s="707"/>
      <c r="I2831" s="707">
        <f t="shared" si="88"/>
        <v>0</v>
      </c>
      <c r="J2831" s="707">
        <f t="shared" si="89"/>
        <v>0</v>
      </c>
      <c r="K2831" s="70"/>
    </row>
    <row r="2832" spans="1:11" ht="24" customHeight="1">
      <c r="A2832" s="33" t="s">
        <v>3328</v>
      </c>
      <c r="B2832" s="33" t="s">
        <v>23</v>
      </c>
      <c r="C2832" s="33">
        <v>110</v>
      </c>
      <c r="D2832" s="33" t="s">
        <v>3279</v>
      </c>
      <c r="E2832" s="33">
        <v>4</v>
      </c>
      <c r="F2832" s="33"/>
      <c r="G2832" s="522"/>
      <c r="H2832" s="707"/>
      <c r="I2832" s="707">
        <f t="shared" si="88"/>
        <v>0</v>
      </c>
      <c r="J2832" s="707">
        <f t="shared" si="89"/>
        <v>0</v>
      </c>
      <c r="K2832" s="70"/>
    </row>
    <row r="2833" spans="1:11" ht="24" customHeight="1">
      <c r="A2833" s="17" t="s">
        <v>1710</v>
      </c>
      <c r="B2833" s="17" t="s">
        <v>23</v>
      </c>
      <c r="C2833" s="17">
        <v>5</v>
      </c>
      <c r="D2833" s="131" t="s">
        <v>1681</v>
      </c>
      <c r="E2833" s="15">
        <v>1</v>
      </c>
      <c r="F2833" s="15"/>
      <c r="G2833" s="684"/>
      <c r="H2833" s="707"/>
      <c r="I2833" s="707">
        <f t="shared" si="88"/>
        <v>0</v>
      </c>
      <c r="J2833" s="707">
        <f t="shared" si="89"/>
        <v>0</v>
      </c>
      <c r="K2833" s="70"/>
    </row>
    <row r="2834" spans="1:11" ht="24" customHeight="1">
      <c r="A2834" s="33" t="s">
        <v>2640</v>
      </c>
      <c r="B2834" s="33" t="s">
        <v>2641</v>
      </c>
      <c r="C2834" s="33">
        <v>3</v>
      </c>
      <c r="D2834" s="33" t="s">
        <v>2624</v>
      </c>
      <c r="E2834" s="33">
        <v>4</v>
      </c>
      <c r="F2834" s="33"/>
      <c r="G2834" s="522"/>
      <c r="H2834" s="707"/>
      <c r="I2834" s="707">
        <f t="shared" si="88"/>
        <v>0</v>
      </c>
      <c r="J2834" s="707">
        <f t="shared" si="89"/>
        <v>0</v>
      </c>
      <c r="K2834" s="70"/>
    </row>
    <row r="2835" spans="1:11" ht="24" customHeight="1">
      <c r="A2835" s="33" t="s">
        <v>1420</v>
      </c>
      <c r="B2835" s="33" t="s">
        <v>1421</v>
      </c>
      <c r="C2835" s="33">
        <v>1</v>
      </c>
      <c r="D2835" s="33" t="s">
        <v>1372</v>
      </c>
      <c r="E2835" s="33">
        <v>4</v>
      </c>
      <c r="F2835" s="33"/>
      <c r="G2835" s="522"/>
      <c r="H2835" s="707"/>
      <c r="I2835" s="707">
        <f t="shared" si="88"/>
        <v>0</v>
      </c>
      <c r="J2835" s="707">
        <f t="shared" si="89"/>
        <v>0</v>
      </c>
      <c r="K2835" s="70"/>
    </row>
    <row r="2836" spans="1:11" ht="24" customHeight="1">
      <c r="A2836" s="33" t="s">
        <v>1653</v>
      </c>
      <c r="B2836" s="33" t="s">
        <v>25</v>
      </c>
      <c r="C2836" s="33">
        <v>184</v>
      </c>
      <c r="D2836" s="33" t="s">
        <v>1548</v>
      </c>
      <c r="E2836" s="33">
        <v>4</v>
      </c>
      <c r="F2836" s="33"/>
      <c r="G2836" s="522"/>
      <c r="H2836" s="707">
        <v>1</v>
      </c>
      <c r="I2836" s="707">
        <f t="shared" si="88"/>
        <v>1.1499999999999999</v>
      </c>
      <c r="J2836" s="707">
        <f t="shared" si="89"/>
        <v>1.3</v>
      </c>
      <c r="K2836" s="70"/>
    </row>
    <row r="2837" spans="1:11" ht="24" customHeight="1">
      <c r="A2837" s="33" t="s">
        <v>2516</v>
      </c>
      <c r="B2837" s="33" t="s">
        <v>25</v>
      </c>
      <c r="C2837" s="33">
        <v>80</v>
      </c>
      <c r="D2837" s="33" t="s">
        <v>2504</v>
      </c>
      <c r="E2837" s="33">
        <v>5</v>
      </c>
      <c r="F2837" s="33"/>
      <c r="G2837" s="522"/>
      <c r="H2837" s="707"/>
      <c r="I2837" s="707">
        <f t="shared" si="88"/>
        <v>0</v>
      </c>
      <c r="J2837" s="707">
        <f t="shared" si="89"/>
        <v>0</v>
      </c>
      <c r="K2837" s="70"/>
    </row>
    <row r="2838" spans="1:11" ht="24" customHeight="1">
      <c r="A2838" s="33" t="s">
        <v>2031</v>
      </c>
      <c r="B2838" s="33" t="s">
        <v>25</v>
      </c>
      <c r="C2838" s="33">
        <v>740</v>
      </c>
      <c r="D2838" s="33" t="s">
        <v>2026</v>
      </c>
      <c r="E2838" s="33">
        <v>3</v>
      </c>
      <c r="F2838" s="33"/>
      <c r="G2838" s="522"/>
      <c r="H2838" s="707">
        <v>2.5</v>
      </c>
      <c r="I2838" s="707">
        <f t="shared" si="88"/>
        <v>2.875</v>
      </c>
      <c r="J2838" s="707">
        <f t="shared" si="89"/>
        <v>3.25</v>
      </c>
      <c r="K2838" s="70"/>
    </row>
    <row r="2839" spans="1:11" ht="24" customHeight="1">
      <c r="A2839" s="33" t="s">
        <v>1578</v>
      </c>
      <c r="B2839" s="33" t="s">
        <v>25</v>
      </c>
      <c r="C2839" s="33">
        <v>2</v>
      </c>
      <c r="D2839" s="33" t="s">
        <v>1548</v>
      </c>
      <c r="E2839" s="33">
        <v>3</v>
      </c>
      <c r="F2839" s="33"/>
      <c r="G2839" s="522"/>
      <c r="H2839" s="707"/>
      <c r="I2839" s="707">
        <f t="shared" si="88"/>
        <v>0</v>
      </c>
      <c r="J2839" s="707">
        <f t="shared" si="89"/>
        <v>0</v>
      </c>
      <c r="K2839" s="70"/>
    </row>
    <row r="2840" spans="1:11" ht="24" customHeight="1">
      <c r="A2840" s="33" t="s">
        <v>2201</v>
      </c>
      <c r="B2840" s="33" t="s">
        <v>25</v>
      </c>
      <c r="C2840" s="33" t="s">
        <v>2202</v>
      </c>
      <c r="D2840" s="33" t="s">
        <v>2191</v>
      </c>
      <c r="E2840" s="33">
        <v>3</v>
      </c>
      <c r="F2840" s="33"/>
      <c r="G2840" s="522"/>
      <c r="H2840" s="707"/>
      <c r="I2840" s="707">
        <f t="shared" si="88"/>
        <v>0</v>
      </c>
      <c r="J2840" s="707">
        <f t="shared" si="89"/>
        <v>0</v>
      </c>
      <c r="K2840" s="70"/>
    </row>
    <row r="2841" spans="1:11" ht="24" customHeight="1">
      <c r="A2841" s="33" t="s">
        <v>1559</v>
      </c>
      <c r="B2841" s="33" t="s">
        <v>25</v>
      </c>
      <c r="C2841" s="33">
        <v>16</v>
      </c>
      <c r="D2841" s="33" t="s">
        <v>1548</v>
      </c>
      <c r="E2841" s="33">
        <v>3</v>
      </c>
      <c r="F2841" s="33"/>
      <c r="G2841" s="522"/>
      <c r="H2841" s="707"/>
      <c r="I2841" s="707">
        <f t="shared" si="88"/>
        <v>0</v>
      </c>
      <c r="J2841" s="707">
        <f t="shared" si="89"/>
        <v>0</v>
      </c>
      <c r="K2841" s="70"/>
    </row>
    <row r="2842" spans="1:11" ht="24" customHeight="1">
      <c r="A2842" s="33" t="s">
        <v>1594</v>
      </c>
      <c r="B2842" s="33" t="s">
        <v>25</v>
      </c>
      <c r="C2842" s="33">
        <v>4</v>
      </c>
      <c r="D2842" s="33" t="s">
        <v>1548</v>
      </c>
      <c r="E2842" s="33">
        <v>3</v>
      </c>
      <c r="F2842" s="33"/>
      <c r="G2842" s="522"/>
      <c r="H2842" s="707"/>
      <c r="I2842" s="707">
        <f t="shared" si="88"/>
        <v>0</v>
      </c>
      <c r="J2842" s="707">
        <f t="shared" si="89"/>
        <v>0</v>
      </c>
      <c r="K2842" s="70"/>
    </row>
    <row r="2843" spans="1:11" ht="24" customHeight="1">
      <c r="A2843" s="33" t="s">
        <v>1560</v>
      </c>
      <c r="B2843" s="33" t="s">
        <v>25</v>
      </c>
      <c r="C2843" s="33">
        <v>4</v>
      </c>
      <c r="D2843" s="33" t="s">
        <v>1548</v>
      </c>
      <c r="E2843" s="33">
        <v>3</v>
      </c>
      <c r="F2843" s="33"/>
      <c r="G2843" s="522"/>
      <c r="H2843" s="707"/>
      <c r="I2843" s="707">
        <f t="shared" si="88"/>
        <v>0</v>
      </c>
      <c r="J2843" s="707">
        <f t="shared" si="89"/>
        <v>0</v>
      </c>
      <c r="K2843" s="70"/>
    </row>
    <row r="2844" spans="1:11" ht="24" customHeight="1">
      <c r="A2844" s="33" t="s">
        <v>1576</v>
      </c>
      <c r="B2844" s="33" t="s">
        <v>25</v>
      </c>
      <c r="C2844" s="33">
        <v>1</v>
      </c>
      <c r="D2844" s="33" t="s">
        <v>1548</v>
      </c>
      <c r="E2844" s="33">
        <v>3</v>
      </c>
      <c r="F2844" s="33"/>
      <c r="G2844" s="522"/>
      <c r="H2844" s="707"/>
      <c r="I2844" s="707">
        <f t="shared" si="88"/>
        <v>0</v>
      </c>
      <c r="J2844" s="707">
        <f t="shared" si="89"/>
        <v>0</v>
      </c>
      <c r="K2844" s="70"/>
    </row>
    <row r="2845" spans="1:11" ht="24" customHeight="1">
      <c r="A2845" s="33" t="s">
        <v>2971</v>
      </c>
      <c r="B2845" s="33" t="s">
        <v>25</v>
      </c>
      <c r="C2845" s="33">
        <v>7</v>
      </c>
      <c r="D2845" s="71" t="s">
        <v>2947</v>
      </c>
      <c r="E2845" s="33">
        <v>4</v>
      </c>
      <c r="F2845" s="33"/>
      <c r="G2845" s="522"/>
      <c r="H2845" s="707"/>
      <c r="I2845" s="707">
        <f t="shared" si="88"/>
        <v>0</v>
      </c>
      <c r="J2845" s="707">
        <f t="shared" si="89"/>
        <v>0</v>
      </c>
      <c r="K2845" s="70"/>
    </row>
    <row r="2846" spans="1:11" ht="24" customHeight="1">
      <c r="A2846" s="74" t="s">
        <v>2152</v>
      </c>
      <c r="B2846" s="74" t="s">
        <v>322</v>
      </c>
      <c r="C2846" s="74">
        <v>7</v>
      </c>
      <c r="D2846" s="33" t="s">
        <v>2111</v>
      </c>
      <c r="E2846" s="33">
        <v>2</v>
      </c>
      <c r="F2846" s="33"/>
      <c r="G2846" s="522"/>
      <c r="H2846" s="707">
        <v>0.5</v>
      </c>
      <c r="I2846" s="707">
        <f t="shared" si="88"/>
        <v>0.57499999999999996</v>
      </c>
      <c r="J2846" s="707">
        <f t="shared" si="89"/>
        <v>0.65</v>
      </c>
      <c r="K2846" s="70"/>
    </row>
    <row r="2847" spans="1:11" ht="24" customHeight="1">
      <c r="A2847" s="33" t="s">
        <v>2664</v>
      </c>
      <c r="B2847" s="33" t="s">
        <v>25</v>
      </c>
      <c r="C2847" s="33">
        <v>75</v>
      </c>
      <c r="D2847" s="33" t="s">
        <v>2624</v>
      </c>
      <c r="E2847" s="33">
        <v>4</v>
      </c>
      <c r="F2847" s="33"/>
      <c r="G2847" s="522"/>
      <c r="H2847" s="707"/>
      <c r="I2847" s="707">
        <f t="shared" si="88"/>
        <v>0</v>
      </c>
      <c r="J2847" s="707">
        <f t="shared" si="89"/>
        <v>0</v>
      </c>
      <c r="K2847" s="70"/>
    </row>
    <row r="2848" spans="1:11" ht="24" customHeight="1">
      <c r="A2848" s="33" t="s">
        <v>2970</v>
      </c>
      <c r="B2848" s="33" t="s">
        <v>25</v>
      </c>
      <c r="C2848" s="33">
        <v>7</v>
      </c>
      <c r="D2848" s="71" t="s">
        <v>2947</v>
      </c>
      <c r="E2848" s="33">
        <v>4</v>
      </c>
      <c r="F2848" s="33"/>
      <c r="G2848" s="522"/>
      <c r="H2848" s="707"/>
      <c r="I2848" s="707">
        <f t="shared" si="88"/>
        <v>0</v>
      </c>
      <c r="J2848" s="707">
        <f t="shared" si="89"/>
        <v>0</v>
      </c>
      <c r="K2848" s="70"/>
    </row>
    <row r="2849" spans="1:11" ht="24" customHeight="1">
      <c r="A2849" s="33" t="s">
        <v>1283</v>
      </c>
      <c r="B2849" s="33" t="s">
        <v>25</v>
      </c>
      <c r="C2849" s="33">
        <v>2</v>
      </c>
      <c r="D2849" s="33" t="s">
        <v>1201</v>
      </c>
      <c r="E2849" s="33">
        <v>4</v>
      </c>
      <c r="F2849" s="33"/>
      <c r="G2849" s="522"/>
      <c r="H2849" s="707"/>
      <c r="I2849" s="707">
        <f t="shared" si="88"/>
        <v>0</v>
      </c>
      <c r="J2849" s="707">
        <f t="shared" si="89"/>
        <v>0</v>
      </c>
      <c r="K2849" s="70"/>
    </row>
    <row r="2850" spans="1:11" ht="24" customHeight="1">
      <c r="A2850" s="33" t="s">
        <v>2005</v>
      </c>
      <c r="B2850" s="33" t="s">
        <v>2006</v>
      </c>
      <c r="C2850" s="33">
        <v>94</v>
      </c>
      <c r="D2850" s="33" t="s">
        <v>1938</v>
      </c>
      <c r="E2850" s="33">
        <v>2</v>
      </c>
      <c r="F2850" s="33"/>
      <c r="G2850" s="522"/>
      <c r="H2850" s="707"/>
      <c r="I2850" s="707">
        <f t="shared" si="88"/>
        <v>0</v>
      </c>
      <c r="J2850" s="707">
        <f t="shared" si="89"/>
        <v>0</v>
      </c>
      <c r="K2850" s="70"/>
    </row>
    <row r="2851" spans="1:11" ht="24" customHeight="1">
      <c r="A2851" s="33" t="s">
        <v>2642</v>
      </c>
      <c r="B2851" s="33" t="s">
        <v>1960</v>
      </c>
      <c r="C2851" s="33">
        <v>97</v>
      </c>
      <c r="D2851" s="33" t="s">
        <v>2624</v>
      </c>
      <c r="E2851" s="33">
        <v>4</v>
      </c>
      <c r="F2851" s="33"/>
      <c r="G2851" s="522"/>
      <c r="H2851" s="707"/>
      <c r="I2851" s="707">
        <f t="shared" si="88"/>
        <v>0</v>
      </c>
      <c r="J2851" s="707">
        <f t="shared" si="89"/>
        <v>0</v>
      </c>
      <c r="K2851" s="70"/>
    </row>
    <row r="2852" spans="1:11" ht="24" customHeight="1">
      <c r="A2852" s="33" t="s">
        <v>1959</v>
      </c>
      <c r="B2852" s="33" t="s">
        <v>1960</v>
      </c>
      <c r="C2852" s="33">
        <v>194</v>
      </c>
      <c r="D2852" s="33" t="s">
        <v>1938</v>
      </c>
      <c r="E2852" s="33">
        <v>1</v>
      </c>
      <c r="F2852" s="33"/>
      <c r="G2852" s="522"/>
      <c r="H2852" s="707"/>
      <c r="I2852" s="707">
        <f t="shared" si="88"/>
        <v>0</v>
      </c>
      <c r="J2852" s="707">
        <f t="shared" si="89"/>
        <v>0</v>
      </c>
      <c r="K2852" s="70"/>
    </row>
    <row r="2853" spans="1:11" ht="24" customHeight="1">
      <c r="A2853" s="2" t="s">
        <v>820</v>
      </c>
      <c r="B2853" s="2" t="s">
        <v>821</v>
      </c>
      <c r="C2853" s="2">
        <v>10</v>
      </c>
      <c r="D2853" s="2" t="s">
        <v>593</v>
      </c>
      <c r="E2853" s="33">
        <v>3</v>
      </c>
      <c r="F2853" s="33"/>
      <c r="G2853" s="522"/>
      <c r="H2853" s="707">
        <v>2</v>
      </c>
      <c r="I2853" s="707">
        <f t="shared" si="88"/>
        <v>2.2999999999999998</v>
      </c>
      <c r="J2853" s="707">
        <f t="shared" si="89"/>
        <v>2.6</v>
      </c>
      <c r="K2853" s="70"/>
    </row>
    <row r="2854" spans="1:11" ht="24" customHeight="1">
      <c r="A2854" s="2" t="s">
        <v>3598</v>
      </c>
      <c r="B2854" s="2" t="s">
        <v>201</v>
      </c>
      <c r="C2854" s="2">
        <v>1</v>
      </c>
      <c r="D2854" s="2" t="s">
        <v>3568</v>
      </c>
      <c r="E2854" s="33">
        <v>3</v>
      </c>
      <c r="F2854" s="33"/>
      <c r="G2854" s="522"/>
      <c r="H2854" s="707"/>
      <c r="I2854" s="707">
        <f t="shared" si="88"/>
        <v>0</v>
      </c>
      <c r="J2854" s="707">
        <f t="shared" si="89"/>
        <v>0</v>
      </c>
      <c r="K2854" s="70"/>
    </row>
    <row r="2855" spans="1:11" ht="24" customHeight="1">
      <c r="A2855" s="33" t="s">
        <v>2324</v>
      </c>
      <c r="B2855" s="33" t="s">
        <v>845</v>
      </c>
      <c r="C2855" s="33">
        <v>1</v>
      </c>
      <c r="D2855" s="33" t="s">
        <v>2276</v>
      </c>
      <c r="E2855" s="33">
        <v>1</v>
      </c>
      <c r="F2855" s="33"/>
      <c r="G2855" s="522"/>
      <c r="H2855" s="707"/>
      <c r="I2855" s="707">
        <f t="shared" si="88"/>
        <v>0</v>
      </c>
      <c r="J2855" s="707">
        <f t="shared" si="89"/>
        <v>0</v>
      </c>
      <c r="K2855" s="70"/>
    </row>
    <row r="2856" spans="1:11" ht="24" customHeight="1">
      <c r="A2856" s="33" t="s">
        <v>2324</v>
      </c>
      <c r="B2856" s="71" t="s">
        <v>3206</v>
      </c>
      <c r="C2856" s="71">
        <v>8</v>
      </c>
      <c r="D2856" s="33" t="s">
        <v>3053</v>
      </c>
      <c r="E2856" s="71">
        <v>4</v>
      </c>
      <c r="F2856" s="71"/>
      <c r="G2856" s="686"/>
      <c r="H2856" s="707"/>
      <c r="I2856" s="707">
        <f t="shared" si="88"/>
        <v>0</v>
      </c>
      <c r="J2856" s="707">
        <f t="shared" si="89"/>
        <v>0</v>
      </c>
      <c r="K2856" s="70"/>
    </row>
    <row r="2857" spans="1:11" ht="24" customHeight="1">
      <c r="A2857" s="74" t="s">
        <v>1478</v>
      </c>
      <c r="B2857" s="74" t="s">
        <v>845</v>
      </c>
      <c r="C2857" s="74">
        <v>10</v>
      </c>
      <c r="D2857" s="33" t="s">
        <v>1372</v>
      </c>
      <c r="E2857" s="33">
        <v>5</v>
      </c>
      <c r="F2857" s="33"/>
      <c r="G2857" s="522"/>
      <c r="H2857" s="707"/>
      <c r="I2857" s="707">
        <f t="shared" si="88"/>
        <v>0</v>
      </c>
      <c r="J2857" s="707">
        <f t="shared" si="89"/>
        <v>0</v>
      </c>
      <c r="K2857" s="70"/>
    </row>
    <row r="2858" spans="1:11" ht="24" customHeight="1">
      <c r="A2858" s="17" t="s">
        <v>7997</v>
      </c>
      <c r="B2858" s="17" t="s">
        <v>21</v>
      </c>
      <c r="C2858" s="17">
        <v>26</v>
      </c>
      <c r="D2858" s="131" t="s">
        <v>1723</v>
      </c>
      <c r="E2858" s="15">
        <v>2</v>
      </c>
      <c r="F2858" s="15"/>
      <c r="G2858" s="684"/>
      <c r="H2858" s="707"/>
      <c r="I2858" s="707">
        <f t="shared" si="88"/>
        <v>0</v>
      </c>
      <c r="J2858" s="707">
        <f t="shared" si="89"/>
        <v>0</v>
      </c>
      <c r="K2858" s="70"/>
    </row>
    <row r="2859" spans="1:11" ht="24" customHeight="1">
      <c r="A2859" s="33" t="s">
        <v>1210</v>
      </c>
      <c r="B2859" s="33" t="s">
        <v>21</v>
      </c>
      <c r="C2859" s="33">
        <v>16</v>
      </c>
      <c r="D2859" s="33" t="s">
        <v>1201</v>
      </c>
      <c r="E2859" s="33">
        <v>3</v>
      </c>
      <c r="F2859" s="33"/>
      <c r="G2859" s="522"/>
      <c r="H2859" s="707"/>
      <c r="I2859" s="707">
        <f t="shared" si="88"/>
        <v>0</v>
      </c>
      <c r="J2859" s="707">
        <f t="shared" si="89"/>
        <v>0</v>
      </c>
      <c r="K2859" s="70"/>
    </row>
    <row r="2860" spans="1:11" ht="24" customHeight="1">
      <c r="A2860" s="74" t="s">
        <v>2232</v>
      </c>
      <c r="B2860" s="74" t="s">
        <v>21</v>
      </c>
      <c r="C2860" s="74">
        <v>371</v>
      </c>
      <c r="D2860" s="33" t="s">
        <v>2191</v>
      </c>
      <c r="E2860" s="33">
        <v>5</v>
      </c>
      <c r="F2860" s="33"/>
      <c r="G2860" s="522"/>
      <c r="H2860" s="707">
        <v>1</v>
      </c>
      <c r="I2860" s="707">
        <f t="shared" si="88"/>
        <v>1.1499999999999999</v>
      </c>
      <c r="J2860" s="707">
        <f t="shared" si="89"/>
        <v>1.3</v>
      </c>
      <c r="K2860" s="70"/>
    </row>
    <row r="2861" spans="1:11" ht="24" customHeight="1">
      <c r="A2861" s="33" t="s">
        <v>2232</v>
      </c>
      <c r="B2861" s="33" t="s">
        <v>21</v>
      </c>
      <c r="C2861" s="33">
        <v>16</v>
      </c>
      <c r="D2861" s="33" t="s">
        <v>2276</v>
      </c>
      <c r="E2861" s="33">
        <v>1</v>
      </c>
      <c r="F2861" s="33"/>
      <c r="G2861" s="522"/>
      <c r="H2861" s="707">
        <v>1</v>
      </c>
      <c r="I2861" s="707">
        <f t="shared" si="88"/>
        <v>1.1499999999999999</v>
      </c>
      <c r="J2861" s="707">
        <f t="shared" si="89"/>
        <v>1.3</v>
      </c>
      <c r="K2861" s="70"/>
    </row>
    <row r="2862" spans="1:11" ht="24" customHeight="1">
      <c r="A2862" s="33" t="s">
        <v>914</v>
      </c>
      <c r="B2862" s="33" t="s">
        <v>915</v>
      </c>
      <c r="C2862" s="33">
        <v>21</v>
      </c>
      <c r="D2862" s="33" t="s">
        <v>910</v>
      </c>
      <c r="E2862" s="33">
        <v>1</v>
      </c>
      <c r="F2862" s="33"/>
      <c r="G2862" s="522"/>
      <c r="H2862" s="707">
        <v>1</v>
      </c>
      <c r="I2862" s="707">
        <f t="shared" si="88"/>
        <v>1.1499999999999999</v>
      </c>
      <c r="J2862" s="707">
        <f t="shared" si="89"/>
        <v>1.3</v>
      </c>
      <c r="K2862" s="70"/>
    </row>
    <row r="2863" spans="1:11" ht="24" customHeight="1">
      <c r="A2863" s="33" t="s">
        <v>1213</v>
      </c>
      <c r="B2863" s="33" t="s">
        <v>21</v>
      </c>
      <c r="C2863" s="33">
        <v>21</v>
      </c>
      <c r="D2863" s="33" t="s">
        <v>1201</v>
      </c>
      <c r="E2863" s="33">
        <v>3</v>
      </c>
      <c r="F2863" s="33"/>
      <c r="G2863" s="522"/>
      <c r="H2863" s="707">
        <v>0.25</v>
      </c>
      <c r="I2863" s="707">
        <f t="shared" si="88"/>
        <v>0.28749999999999998</v>
      </c>
      <c r="J2863" s="707">
        <f t="shared" si="89"/>
        <v>0.32500000000000001</v>
      </c>
      <c r="K2863" s="70"/>
    </row>
    <row r="2864" spans="1:11" ht="14.4">
      <c r="A2864" s="2" t="s">
        <v>563</v>
      </c>
      <c r="B2864" s="2" t="s">
        <v>21</v>
      </c>
      <c r="C2864" s="2">
        <v>10</v>
      </c>
      <c r="D2864" s="2" t="s">
        <v>536</v>
      </c>
      <c r="E2864" s="33">
        <v>5</v>
      </c>
      <c r="F2864" s="33"/>
      <c r="G2864" s="522"/>
      <c r="H2864" s="707">
        <v>1</v>
      </c>
      <c r="I2864" s="707">
        <f t="shared" si="88"/>
        <v>1.1499999999999999</v>
      </c>
      <c r="J2864" s="707">
        <f t="shared" si="89"/>
        <v>1.3</v>
      </c>
      <c r="K2864" s="70"/>
    </row>
    <row r="2865" spans="1:11" ht="24" customHeight="1">
      <c r="A2865" s="33" t="s">
        <v>864</v>
      </c>
      <c r="B2865" s="33" t="s">
        <v>21</v>
      </c>
      <c r="C2865" s="33">
        <v>3</v>
      </c>
      <c r="D2865" s="33" t="s">
        <v>1548</v>
      </c>
      <c r="E2865" s="33">
        <v>3</v>
      </c>
      <c r="F2865" s="33"/>
      <c r="G2865" s="522"/>
      <c r="H2865" s="707"/>
      <c r="I2865" s="707">
        <f t="shared" si="88"/>
        <v>0</v>
      </c>
      <c r="J2865" s="707">
        <f t="shared" si="89"/>
        <v>0</v>
      </c>
      <c r="K2865" s="70"/>
    </row>
    <row r="2866" spans="1:11" ht="24" customHeight="1">
      <c r="A2866" s="33" t="s">
        <v>254</v>
      </c>
      <c r="B2866" s="33" t="s">
        <v>21</v>
      </c>
      <c r="C2866" s="33">
        <v>96</v>
      </c>
      <c r="D2866" s="2" t="s">
        <v>188</v>
      </c>
      <c r="E2866" s="33">
        <v>5</v>
      </c>
      <c r="F2866" s="33"/>
      <c r="G2866" s="522"/>
      <c r="H2866" s="707"/>
      <c r="I2866" s="707">
        <f t="shared" si="88"/>
        <v>0</v>
      </c>
      <c r="J2866" s="707">
        <f t="shared" si="89"/>
        <v>0</v>
      </c>
      <c r="K2866" s="70"/>
    </row>
    <row r="2867" spans="1:11" ht="24" customHeight="1">
      <c r="A2867" s="33" t="s">
        <v>1532</v>
      </c>
      <c r="B2867" s="33" t="s">
        <v>21</v>
      </c>
      <c r="C2867" s="33">
        <v>5</v>
      </c>
      <c r="D2867" s="33" t="s">
        <v>1494</v>
      </c>
      <c r="E2867" s="33">
        <v>2</v>
      </c>
      <c r="F2867" s="33"/>
      <c r="G2867" s="522"/>
      <c r="H2867" s="707">
        <v>3</v>
      </c>
      <c r="I2867" s="707">
        <f t="shared" si="88"/>
        <v>3.4499999999999997</v>
      </c>
      <c r="J2867" s="707">
        <f t="shared" si="89"/>
        <v>3.9000000000000004</v>
      </c>
      <c r="K2867" s="70"/>
    </row>
    <row r="2868" spans="1:11" ht="24" customHeight="1">
      <c r="A2868" s="74" t="s">
        <v>2497</v>
      </c>
      <c r="B2868" s="74" t="s">
        <v>21</v>
      </c>
      <c r="C2868" s="74">
        <v>66</v>
      </c>
      <c r="D2868" s="33" t="s">
        <v>2504</v>
      </c>
      <c r="E2868" s="33">
        <v>5</v>
      </c>
      <c r="F2868" s="33"/>
      <c r="G2868" s="522"/>
      <c r="H2868" s="707">
        <v>6</v>
      </c>
      <c r="I2868" s="707">
        <f t="shared" si="88"/>
        <v>6.8999999999999995</v>
      </c>
      <c r="J2868" s="707">
        <f t="shared" si="89"/>
        <v>7.8000000000000007</v>
      </c>
      <c r="K2868" s="70"/>
    </row>
    <row r="2869" spans="1:11" ht="24" customHeight="1">
      <c r="A2869" s="2" t="s">
        <v>733</v>
      </c>
      <c r="B2869" s="2" t="s">
        <v>21</v>
      </c>
      <c r="C2869" s="2">
        <v>18</v>
      </c>
      <c r="D2869" s="2" t="s">
        <v>593</v>
      </c>
      <c r="E2869" s="33">
        <v>3</v>
      </c>
      <c r="F2869" s="33"/>
      <c r="G2869" s="522"/>
      <c r="H2869" s="707">
        <v>3</v>
      </c>
      <c r="I2869" s="707">
        <f t="shared" si="88"/>
        <v>3.4499999999999997</v>
      </c>
      <c r="J2869" s="707">
        <f t="shared" si="89"/>
        <v>3.9000000000000004</v>
      </c>
      <c r="K2869" s="70"/>
    </row>
    <row r="2870" spans="1:11" ht="24" customHeight="1">
      <c r="A2870" s="2" t="s">
        <v>606</v>
      </c>
      <c r="B2870" s="2" t="s">
        <v>607</v>
      </c>
      <c r="C2870" s="2">
        <v>75</v>
      </c>
      <c r="D2870" s="2" t="s">
        <v>593</v>
      </c>
      <c r="E2870" s="33">
        <v>1</v>
      </c>
      <c r="F2870" s="33"/>
      <c r="G2870" s="522"/>
      <c r="H2870" s="707"/>
      <c r="I2870" s="707">
        <f t="shared" si="88"/>
        <v>0</v>
      </c>
      <c r="J2870" s="707">
        <f t="shared" si="89"/>
        <v>0</v>
      </c>
      <c r="K2870" s="70"/>
    </row>
    <row r="2871" spans="1:11" ht="24" customHeight="1">
      <c r="A2871" s="74" t="s">
        <v>2421</v>
      </c>
      <c r="B2871" s="74" t="s">
        <v>2422</v>
      </c>
      <c r="C2871" s="74">
        <v>20</v>
      </c>
      <c r="D2871" s="33" t="s">
        <v>2363</v>
      </c>
      <c r="E2871" s="33">
        <v>5</v>
      </c>
      <c r="F2871" s="33"/>
      <c r="G2871" s="522"/>
      <c r="H2871" s="707">
        <v>1</v>
      </c>
      <c r="I2871" s="707">
        <f t="shared" si="88"/>
        <v>1.1499999999999999</v>
      </c>
      <c r="J2871" s="707">
        <f t="shared" si="89"/>
        <v>1.3</v>
      </c>
      <c r="K2871" s="70"/>
    </row>
    <row r="2872" spans="1:11" ht="24" customHeight="1">
      <c r="A2872" s="33" t="s">
        <v>401</v>
      </c>
      <c r="B2872" s="33" t="s">
        <v>21</v>
      </c>
      <c r="C2872" s="33">
        <v>15</v>
      </c>
      <c r="D2872" s="2" t="s">
        <v>274</v>
      </c>
      <c r="E2872" s="33">
        <v>2</v>
      </c>
      <c r="F2872" s="33"/>
      <c r="G2872" s="522"/>
      <c r="H2872" s="707">
        <v>3</v>
      </c>
      <c r="I2872" s="707">
        <f t="shared" si="88"/>
        <v>3.4499999999999997</v>
      </c>
      <c r="J2872" s="707">
        <f t="shared" si="89"/>
        <v>3.9000000000000004</v>
      </c>
      <c r="K2872" s="70"/>
    </row>
    <row r="2873" spans="1:11" ht="24" customHeight="1">
      <c r="A2873" s="33" t="s">
        <v>1157</v>
      </c>
      <c r="B2873" s="33" t="s">
        <v>21</v>
      </c>
      <c r="C2873" s="33">
        <v>315</v>
      </c>
      <c r="D2873" s="33" t="s">
        <v>1141</v>
      </c>
      <c r="E2873" s="33">
        <v>1</v>
      </c>
      <c r="F2873" s="33"/>
      <c r="G2873" s="522"/>
      <c r="H2873" s="707">
        <v>1.2</v>
      </c>
      <c r="I2873" s="707">
        <f t="shared" si="88"/>
        <v>1.38</v>
      </c>
      <c r="J2873" s="707">
        <f t="shared" si="89"/>
        <v>1.56</v>
      </c>
      <c r="K2873" s="70"/>
    </row>
    <row r="2874" spans="1:11" ht="24" customHeight="1">
      <c r="A2874" s="33" t="s">
        <v>1157</v>
      </c>
      <c r="B2874" s="33" t="s">
        <v>21</v>
      </c>
      <c r="C2874" s="33">
        <v>83</v>
      </c>
      <c r="D2874" s="33" t="s">
        <v>1548</v>
      </c>
      <c r="E2874" s="33">
        <v>4</v>
      </c>
      <c r="F2874" s="33"/>
      <c r="G2874" s="522"/>
      <c r="H2874" s="707"/>
      <c r="I2874" s="707">
        <f t="shared" si="88"/>
        <v>0</v>
      </c>
      <c r="J2874" s="707">
        <f t="shared" si="89"/>
        <v>0</v>
      </c>
      <c r="K2874" s="70"/>
    </row>
    <row r="2875" spans="1:11" ht="24" customHeight="1">
      <c r="A2875" s="33" t="s">
        <v>913</v>
      </c>
      <c r="B2875" s="33" t="s">
        <v>909</v>
      </c>
      <c r="C2875" s="33">
        <v>48</v>
      </c>
      <c r="D2875" s="33" t="s">
        <v>910</v>
      </c>
      <c r="E2875" s="33">
        <v>1</v>
      </c>
      <c r="F2875" s="33"/>
      <c r="G2875" s="522"/>
      <c r="H2875" s="711">
        <v>0.5</v>
      </c>
      <c r="I2875" s="711">
        <f t="shared" si="88"/>
        <v>0.57499999999999996</v>
      </c>
      <c r="J2875" s="711">
        <f t="shared" si="89"/>
        <v>0.65</v>
      </c>
      <c r="K2875" s="70"/>
    </row>
    <row r="2876" spans="1:11" ht="24" customHeight="1">
      <c r="A2876" s="33" t="s">
        <v>2614</v>
      </c>
      <c r="B2876" s="33" t="s">
        <v>909</v>
      </c>
      <c r="C2876" s="33">
        <v>50</v>
      </c>
      <c r="D2876" s="33" t="s">
        <v>2540</v>
      </c>
      <c r="E2876" s="33">
        <v>2</v>
      </c>
      <c r="F2876" s="33"/>
      <c r="G2876" s="522"/>
      <c r="H2876" s="707">
        <v>2</v>
      </c>
      <c r="I2876" s="707">
        <f t="shared" si="88"/>
        <v>2.2999999999999998</v>
      </c>
      <c r="J2876" s="707">
        <f t="shared" si="89"/>
        <v>2.6</v>
      </c>
      <c r="K2876" s="70"/>
    </row>
    <row r="2877" spans="1:11" ht="24" customHeight="1">
      <c r="A2877" s="33" t="s">
        <v>1652</v>
      </c>
      <c r="B2877" s="33" t="s">
        <v>21</v>
      </c>
      <c r="C2877" s="33">
        <v>100</v>
      </c>
      <c r="D2877" s="33" t="s">
        <v>1548</v>
      </c>
      <c r="E2877" s="33">
        <v>4</v>
      </c>
      <c r="F2877" s="33"/>
      <c r="G2877" s="522"/>
      <c r="H2877" s="707">
        <v>1</v>
      </c>
      <c r="I2877" s="707">
        <f t="shared" si="88"/>
        <v>1.1499999999999999</v>
      </c>
      <c r="J2877" s="707">
        <f t="shared" si="89"/>
        <v>1.3</v>
      </c>
      <c r="K2877" s="70"/>
    </row>
    <row r="2878" spans="1:11" ht="24" customHeight="1">
      <c r="A2878" s="74" t="s">
        <v>2462</v>
      </c>
      <c r="B2878" s="74" t="s">
        <v>607</v>
      </c>
      <c r="C2878" s="74">
        <v>35</v>
      </c>
      <c r="D2878" s="33" t="s">
        <v>2363</v>
      </c>
      <c r="E2878" s="33">
        <v>5</v>
      </c>
      <c r="F2878" s="33"/>
      <c r="G2878" s="522"/>
      <c r="H2878" s="707"/>
      <c r="I2878" s="707">
        <f t="shared" si="88"/>
        <v>0</v>
      </c>
      <c r="J2878" s="707">
        <f t="shared" si="89"/>
        <v>0</v>
      </c>
      <c r="K2878" s="70"/>
    </row>
    <row r="2879" spans="1:11" ht="24" customHeight="1">
      <c r="A2879" s="33" t="s">
        <v>2743</v>
      </c>
      <c r="B2879" s="33" t="s">
        <v>21</v>
      </c>
      <c r="C2879" s="33">
        <v>66</v>
      </c>
      <c r="D2879" s="33" t="s">
        <v>2716</v>
      </c>
      <c r="E2879" s="354">
        <v>3</v>
      </c>
      <c r="F2879" s="354"/>
      <c r="G2879" s="688"/>
      <c r="H2879" s="708"/>
      <c r="I2879" s="707">
        <f t="shared" si="88"/>
        <v>0</v>
      </c>
      <c r="J2879" s="708">
        <f t="shared" si="89"/>
        <v>0</v>
      </c>
      <c r="K2879" s="70" t="s">
        <v>2727</v>
      </c>
    </row>
    <row r="2880" spans="1:11" ht="24" customHeight="1">
      <c r="A2880" s="11" t="s">
        <v>2845</v>
      </c>
      <c r="B2880" s="11" t="s">
        <v>41</v>
      </c>
      <c r="C2880" s="11">
        <v>46</v>
      </c>
      <c r="D2880" s="131" t="s">
        <v>2802</v>
      </c>
      <c r="E2880" s="15">
        <v>3</v>
      </c>
      <c r="F2880" s="15"/>
      <c r="G2880" s="684"/>
      <c r="H2880" s="707">
        <v>5</v>
      </c>
      <c r="I2880" s="707">
        <f t="shared" si="88"/>
        <v>5.75</v>
      </c>
      <c r="J2880" s="707">
        <f t="shared" si="89"/>
        <v>6.5</v>
      </c>
      <c r="K2880" s="70"/>
    </row>
    <row r="2881" spans="1:11" ht="24" customHeight="1">
      <c r="A2881" s="2" t="s">
        <v>724</v>
      </c>
      <c r="B2881" s="2" t="s">
        <v>137</v>
      </c>
      <c r="C2881" s="2">
        <v>11</v>
      </c>
      <c r="D2881" s="2" t="s">
        <v>593</v>
      </c>
      <c r="E2881" s="33">
        <v>3</v>
      </c>
      <c r="F2881" s="33"/>
      <c r="G2881" s="522"/>
      <c r="H2881" s="707">
        <v>1</v>
      </c>
      <c r="I2881" s="707">
        <f t="shared" si="88"/>
        <v>1.1499999999999999</v>
      </c>
      <c r="J2881" s="707">
        <f t="shared" si="89"/>
        <v>1.3</v>
      </c>
      <c r="K2881" s="70"/>
    </row>
    <row r="2882" spans="1:11" ht="24" customHeight="1">
      <c r="A2882" s="2" t="s">
        <v>141</v>
      </c>
      <c r="B2882" s="2" t="s">
        <v>137</v>
      </c>
      <c r="C2882" s="2">
        <v>280</v>
      </c>
      <c r="D2882" s="2" t="s">
        <v>11</v>
      </c>
      <c r="E2882" s="33">
        <v>3</v>
      </c>
      <c r="F2882" s="33"/>
      <c r="G2882" s="522"/>
      <c r="H2882" s="707">
        <v>1</v>
      </c>
      <c r="I2882" s="707">
        <f t="shared" si="88"/>
        <v>1.1499999999999999</v>
      </c>
      <c r="J2882" s="707">
        <f t="shared" si="89"/>
        <v>1.3</v>
      </c>
      <c r="K2882" s="70"/>
    </row>
    <row r="2883" spans="1:11" ht="24" customHeight="1">
      <c r="A2883" s="74" t="s">
        <v>141</v>
      </c>
      <c r="B2883" s="74" t="s">
        <v>1301</v>
      </c>
      <c r="C2883" s="74">
        <v>10</v>
      </c>
      <c r="D2883" s="33" t="s">
        <v>1201</v>
      </c>
      <c r="E2883" s="33">
        <v>5</v>
      </c>
      <c r="F2883" s="33"/>
      <c r="G2883" s="522"/>
      <c r="H2883" s="707">
        <v>1</v>
      </c>
      <c r="I2883" s="707">
        <f t="shared" ref="I2883:I2946" si="90">H2883 * 1.15</f>
        <v>1.1499999999999999</v>
      </c>
      <c r="J2883" s="707">
        <f t="shared" ref="J2883:J2946" si="91">H2883 * 1.3</f>
        <v>1.3</v>
      </c>
      <c r="K2883" s="70"/>
    </row>
    <row r="2884" spans="1:11" ht="24" customHeight="1">
      <c r="A2884" s="74" t="s">
        <v>1314</v>
      </c>
      <c r="B2884" s="74" t="s">
        <v>1301</v>
      </c>
      <c r="C2884" s="74">
        <v>10</v>
      </c>
      <c r="D2884" s="33" t="s">
        <v>1201</v>
      </c>
      <c r="E2884" s="33">
        <v>5</v>
      </c>
      <c r="F2884" s="33"/>
      <c r="G2884" s="522"/>
      <c r="H2884" s="707"/>
      <c r="I2884" s="707">
        <f t="shared" si="90"/>
        <v>0</v>
      </c>
      <c r="J2884" s="707">
        <f t="shared" si="91"/>
        <v>0</v>
      </c>
      <c r="K2884" s="70"/>
    </row>
    <row r="2885" spans="1:11" ht="24" customHeight="1">
      <c r="A2885" s="2" t="s">
        <v>134</v>
      </c>
      <c r="B2885" s="2" t="s">
        <v>135</v>
      </c>
      <c r="C2885" s="2">
        <v>355</v>
      </c>
      <c r="D2885" s="2" t="s">
        <v>11</v>
      </c>
      <c r="E2885" s="33">
        <v>3</v>
      </c>
      <c r="F2885" s="33"/>
      <c r="G2885" s="522"/>
      <c r="H2885" s="707">
        <v>2</v>
      </c>
      <c r="I2885" s="707">
        <f t="shared" si="90"/>
        <v>2.2999999999999998</v>
      </c>
      <c r="J2885" s="707">
        <f t="shared" si="91"/>
        <v>2.6</v>
      </c>
      <c r="K2885" s="70"/>
    </row>
    <row r="2886" spans="1:11" ht="24" customHeight="1">
      <c r="A2886" s="74" t="s">
        <v>134</v>
      </c>
      <c r="B2886" s="74" t="s">
        <v>137</v>
      </c>
      <c r="C2886" s="74">
        <v>10</v>
      </c>
      <c r="D2886" s="33" t="s">
        <v>1201</v>
      </c>
      <c r="E2886" s="33">
        <v>5</v>
      </c>
      <c r="F2886" s="33"/>
      <c r="G2886" s="522"/>
      <c r="H2886" s="707">
        <v>2</v>
      </c>
      <c r="I2886" s="707">
        <f t="shared" si="90"/>
        <v>2.2999999999999998</v>
      </c>
      <c r="J2886" s="707">
        <f t="shared" si="91"/>
        <v>2.6</v>
      </c>
      <c r="K2886" s="70"/>
    </row>
    <row r="2887" spans="1:11" ht="24" customHeight="1">
      <c r="A2887" s="2" t="s">
        <v>760</v>
      </c>
      <c r="B2887" s="2" t="s">
        <v>137</v>
      </c>
      <c r="C2887" s="2">
        <v>21</v>
      </c>
      <c r="D2887" s="2" t="s">
        <v>593</v>
      </c>
      <c r="E2887" s="33">
        <v>3</v>
      </c>
      <c r="F2887" s="33"/>
      <c r="G2887" s="522"/>
      <c r="H2887" s="707"/>
      <c r="I2887" s="707">
        <f t="shared" si="90"/>
        <v>0</v>
      </c>
      <c r="J2887" s="707">
        <f t="shared" si="91"/>
        <v>0</v>
      </c>
      <c r="K2887" s="70"/>
    </row>
    <row r="2888" spans="1:11" ht="24" customHeight="1">
      <c r="A2888" s="2" t="s">
        <v>755</v>
      </c>
      <c r="B2888" s="2" t="s">
        <v>137</v>
      </c>
      <c r="C2888" s="2">
        <v>21</v>
      </c>
      <c r="D2888" s="2" t="s">
        <v>593</v>
      </c>
      <c r="E2888" s="33">
        <v>3</v>
      </c>
      <c r="F2888" s="33"/>
      <c r="G2888" s="522"/>
      <c r="H2888" s="707">
        <v>8</v>
      </c>
      <c r="I2888" s="707">
        <f t="shared" si="90"/>
        <v>9.1999999999999993</v>
      </c>
      <c r="J2888" s="707">
        <f t="shared" si="91"/>
        <v>10.4</v>
      </c>
      <c r="K2888" s="70"/>
    </row>
    <row r="2889" spans="1:11" ht="24" customHeight="1">
      <c r="A2889" s="2" t="s">
        <v>136</v>
      </c>
      <c r="B2889" s="2" t="s">
        <v>137</v>
      </c>
      <c r="C2889" s="2">
        <v>131</v>
      </c>
      <c r="D2889" s="2" t="s">
        <v>11</v>
      </c>
      <c r="E2889" s="33">
        <v>3</v>
      </c>
      <c r="F2889" s="33"/>
      <c r="G2889" s="522"/>
      <c r="H2889" s="707"/>
      <c r="I2889" s="707">
        <f t="shared" si="90"/>
        <v>0</v>
      </c>
      <c r="J2889" s="707">
        <f t="shared" si="91"/>
        <v>0</v>
      </c>
      <c r="K2889" s="70"/>
    </row>
    <row r="2890" spans="1:11" ht="24" customHeight="1">
      <c r="A2890" s="33" t="s">
        <v>136</v>
      </c>
      <c r="B2890" s="33" t="s">
        <v>1669</v>
      </c>
      <c r="C2890" s="33">
        <v>10</v>
      </c>
      <c r="D2890" s="33" t="s">
        <v>1548</v>
      </c>
      <c r="E2890" s="33">
        <v>5</v>
      </c>
      <c r="F2890" s="33"/>
      <c r="G2890" s="522"/>
      <c r="H2890" s="707"/>
      <c r="I2890" s="707">
        <f t="shared" si="90"/>
        <v>0</v>
      </c>
      <c r="J2890" s="707">
        <f t="shared" si="91"/>
        <v>0</v>
      </c>
      <c r="K2890" s="70"/>
    </row>
    <row r="2891" spans="1:11" ht="24" customHeight="1">
      <c r="A2891" s="2" t="s">
        <v>140</v>
      </c>
      <c r="B2891" s="2" t="s">
        <v>137</v>
      </c>
      <c r="C2891" s="2">
        <v>8</v>
      </c>
      <c r="D2891" s="2" t="s">
        <v>11</v>
      </c>
      <c r="E2891" s="33">
        <v>3</v>
      </c>
      <c r="F2891" s="33"/>
      <c r="G2891" s="522"/>
      <c r="H2891" s="707"/>
      <c r="I2891" s="707">
        <f t="shared" si="90"/>
        <v>0</v>
      </c>
      <c r="J2891" s="707">
        <f t="shared" si="91"/>
        <v>0</v>
      </c>
      <c r="K2891" s="70"/>
    </row>
    <row r="2892" spans="1:11" ht="24" customHeight="1">
      <c r="A2892" s="74" t="s">
        <v>140</v>
      </c>
      <c r="B2892" s="74" t="s">
        <v>1301</v>
      </c>
      <c r="C2892" s="74">
        <v>10</v>
      </c>
      <c r="D2892" s="33" t="s">
        <v>1201</v>
      </c>
      <c r="E2892" s="33">
        <v>5</v>
      </c>
      <c r="F2892" s="33"/>
      <c r="G2892" s="522"/>
      <c r="H2892" s="707"/>
      <c r="I2892" s="707">
        <f t="shared" si="90"/>
        <v>0</v>
      </c>
      <c r="J2892" s="707">
        <f t="shared" si="91"/>
        <v>0</v>
      </c>
      <c r="K2892" s="70"/>
    </row>
    <row r="2893" spans="1:11" ht="24" customHeight="1">
      <c r="A2893" s="74" t="s">
        <v>1318</v>
      </c>
      <c r="B2893" s="74" t="s">
        <v>137</v>
      </c>
      <c r="C2893" s="74">
        <v>11</v>
      </c>
      <c r="D2893" s="33" t="s">
        <v>1201</v>
      </c>
      <c r="E2893" s="33">
        <v>5</v>
      </c>
      <c r="F2893" s="33"/>
      <c r="G2893" s="522"/>
      <c r="H2893" s="707">
        <v>6</v>
      </c>
      <c r="I2893" s="707">
        <f t="shared" si="90"/>
        <v>6.8999999999999995</v>
      </c>
      <c r="J2893" s="707">
        <f t="shared" si="91"/>
        <v>7.8000000000000007</v>
      </c>
      <c r="K2893" s="70"/>
    </row>
    <row r="2894" spans="1:11" ht="24" customHeight="1">
      <c r="A2894" s="2" t="s">
        <v>142</v>
      </c>
      <c r="B2894" s="2" t="s">
        <v>137</v>
      </c>
      <c r="C2894" s="2">
        <v>94</v>
      </c>
      <c r="D2894" s="2" t="s">
        <v>11</v>
      </c>
      <c r="E2894" s="33">
        <v>3</v>
      </c>
      <c r="F2894" s="33"/>
      <c r="G2894" s="522"/>
      <c r="H2894" s="707"/>
      <c r="I2894" s="707">
        <f t="shared" si="90"/>
        <v>0</v>
      </c>
      <c r="J2894" s="707">
        <f t="shared" si="91"/>
        <v>0</v>
      </c>
      <c r="K2894" s="70"/>
    </row>
    <row r="2895" spans="1:11" ht="24" customHeight="1">
      <c r="A2895" s="2" t="s">
        <v>142</v>
      </c>
      <c r="B2895" s="2" t="s">
        <v>137</v>
      </c>
      <c r="C2895" s="2">
        <v>88</v>
      </c>
      <c r="D2895" s="2" t="s">
        <v>593</v>
      </c>
      <c r="E2895" s="33">
        <v>1</v>
      </c>
      <c r="F2895" s="33"/>
      <c r="G2895" s="522"/>
      <c r="H2895" s="707"/>
      <c r="I2895" s="707">
        <f t="shared" si="90"/>
        <v>0</v>
      </c>
      <c r="J2895" s="707">
        <f t="shared" si="91"/>
        <v>0</v>
      </c>
      <c r="K2895" s="70"/>
    </row>
    <row r="2896" spans="1:11" ht="24" customHeight="1">
      <c r="A2896" s="74" t="s">
        <v>142</v>
      </c>
      <c r="B2896" s="74" t="s">
        <v>1301</v>
      </c>
      <c r="C2896" s="74">
        <v>20</v>
      </c>
      <c r="D2896" s="33" t="s">
        <v>1201</v>
      </c>
      <c r="E2896" s="33">
        <v>5</v>
      </c>
      <c r="F2896" s="33"/>
      <c r="G2896" s="522"/>
      <c r="H2896" s="707"/>
      <c r="I2896" s="707">
        <f t="shared" si="90"/>
        <v>0</v>
      </c>
      <c r="J2896" s="707">
        <f t="shared" si="91"/>
        <v>0</v>
      </c>
      <c r="K2896" s="70"/>
    </row>
    <row r="2897" spans="1:11" ht="24" customHeight="1">
      <c r="A2897" s="33" t="s">
        <v>2028</v>
      </c>
      <c r="B2897" s="33" t="s">
        <v>27</v>
      </c>
      <c r="C2897" s="33">
        <v>5</v>
      </c>
      <c r="D2897" s="33" t="s">
        <v>2026</v>
      </c>
      <c r="E2897" s="33">
        <v>3</v>
      </c>
      <c r="F2897" s="33"/>
      <c r="G2897" s="522"/>
      <c r="H2897" s="707">
        <v>3</v>
      </c>
      <c r="I2897" s="707">
        <f t="shared" si="90"/>
        <v>3.4499999999999997</v>
      </c>
      <c r="J2897" s="707">
        <f t="shared" si="91"/>
        <v>3.9000000000000004</v>
      </c>
      <c r="K2897" s="70"/>
    </row>
    <row r="2898" spans="1:11" ht="24" customHeight="1">
      <c r="A2898" s="33" t="s">
        <v>3390</v>
      </c>
      <c r="B2898" s="33" t="s">
        <v>27</v>
      </c>
      <c r="C2898" s="33">
        <v>2</v>
      </c>
      <c r="D2898" s="33" t="s">
        <v>3348</v>
      </c>
      <c r="E2898" s="33">
        <v>4</v>
      </c>
      <c r="F2898" s="33"/>
      <c r="G2898" s="522"/>
      <c r="H2898" s="707"/>
      <c r="I2898" s="707">
        <f t="shared" si="90"/>
        <v>0</v>
      </c>
      <c r="J2898" s="707">
        <f t="shared" si="91"/>
        <v>0</v>
      </c>
      <c r="K2898" s="70"/>
    </row>
    <row r="2899" spans="1:11" ht="24" customHeight="1">
      <c r="A2899" s="33" t="s">
        <v>3296</v>
      </c>
      <c r="B2899" s="33" t="s">
        <v>27</v>
      </c>
      <c r="C2899" s="33">
        <v>4</v>
      </c>
      <c r="D2899" s="33" t="s">
        <v>3279</v>
      </c>
      <c r="E2899" s="33">
        <v>3</v>
      </c>
      <c r="F2899" s="33"/>
      <c r="G2899" s="522"/>
      <c r="H2899" s="707"/>
      <c r="I2899" s="707">
        <f t="shared" si="90"/>
        <v>0</v>
      </c>
      <c r="J2899" s="707">
        <f t="shared" si="91"/>
        <v>0</v>
      </c>
      <c r="K2899" s="70"/>
    </row>
    <row r="2900" spans="1:11" ht="24" customHeight="1">
      <c r="A2900" s="33" t="s">
        <v>2214</v>
      </c>
      <c r="B2900" s="33" t="s">
        <v>27</v>
      </c>
      <c r="C2900" s="33">
        <v>2</v>
      </c>
      <c r="D2900" s="33" t="s">
        <v>2191</v>
      </c>
      <c r="E2900" s="33">
        <v>4</v>
      </c>
      <c r="F2900" s="33"/>
      <c r="G2900" s="522"/>
      <c r="H2900" s="707">
        <v>150</v>
      </c>
      <c r="I2900" s="707">
        <f t="shared" si="90"/>
        <v>172.5</v>
      </c>
      <c r="J2900" s="707">
        <f t="shared" si="91"/>
        <v>195</v>
      </c>
      <c r="K2900" s="70"/>
    </row>
    <row r="2901" spans="1:11" ht="24" customHeight="1">
      <c r="A2901" s="11" t="s">
        <v>1715</v>
      </c>
      <c r="B2901" s="11" t="s">
        <v>27</v>
      </c>
      <c r="C2901" s="11">
        <v>93</v>
      </c>
      <c r="D2901" s="131" t="s">
        <v>1681</v>
      </c>
      <c r="E2901" s="15">
        <v>3</v>
      </c>
      <c r="F2901" s="15"/>
      <c r="G2901" s="684"/>
      <c r="H2901" s="707">
        <v>25</v>
      </c>
      <c r="I2901" s="707">
        <f t="shared" si="90"/>
        <v>28.749999999999996</v>
      </c>
      <c r="J2901" s="707">
        <f t="shared" si="91"/>
        <v>32.5</v>
      </c>
      <c r="K2901" s="70"/>
    </row>
    <row r="2902" spans="1:11" ht="24" customHeight="1">
      <c r="A2902" s="2" t="s">
        <v>71</v>
      </c>
      <c r="B2902" s="2" t="s">
        <v>27</v>
      </c>
      <c r="C2902" s="2">
        <v>15</v>
      </c>
      <c r="D2902" s="2" t="s">
        <v>11</v>
      </c>
      <c r="E2902" s="33">
        <v>1</v>
      </c>
      <c r="F2902" s="33"/>
      <c r="G2902" s="522"/>
      <c r="H2902" s="707"/>
      <c r="I2902" s="707">
        <f t="shared" si="90"/>
        <v>0</v>
      </c>
      <c r="J2902" s="707">
        <f t="shared" si="91"/>
        <v>0</v>
      </c>
      <c r="K2902" s="70"/>
    </row>
    <row r="2903" spans="1:11" ht="24" customHeight="1">
      <c r="A2903" s="33" t="s">
        <v>1495</v>
      </c>
      <c r="B2903" s="33" t="s">
        <v>41</v>
      </c>
      <c r="C2903" s="33">
        <v>230</v>
      </c>
      <c r="D2903" s="33" t="s">
        <v>1494</v>
      </c>
      <c r="E2903" s="33">
        <v>1</v>
      </c>
      <c r="F2903" s="33"/>
      <c r="G2903" s="522"/>
      <c r="H2903" s="707"/>
      <c r="I2903" s="707">
        <f t="shared" si="90"/>
        <v>0</v>
      </c>
      <c r="J2903" s="707">
        <f t="shared" si="91"/>
        <v>0</v>
      </c>
      <c r="K2903" s="70"/>
    </row>
    <row r="2904" spans="1:11" ht="24" customHeight="1">
      <c r="A2904" s="74" t="s">
        <v>2457</v>
      </c>
      <c r="B2904" s="74" t="s">
        <v>1016</v>
      </c>
      <c r="C2904" s="74">
        <v>111</v>
      </c>
      <c r="D2904" s="33" t="s">
        <v>1681</v>
      </c>
      <c r="E2904" s="33">
        <v>1</v>
      </c>
      <c r="F2904" s="33"/>
      <c r="G2904" s="33"/>
      <c r="H2904" s="707">
        <v>7</v>
      </c>
      <c r="I2904" s="707">
        <f t="shared" si="90"/>
        <v>8.0499999999999989</v>
      </c>
      <c r="J2904" s="707">
        <f t="shared" si="91"/>
        <v>9.1</v>
      </c>
      <c r="K2904" s="70"/>
    </row>
    <row r="2905" spans="1:11" ht="24" customHeight="1">
      <c r="A2905" s="74" t="s">
        <v>2527</v>
      </c>
      <c r="B2905" s="74" t="s">
        <v>1016</v>
      </c>
      <c r="C2905" s="74">
        <v>1</v>
      </c>
      <c r="D2905" s="33" t="s">
        <v>2504</v>
      </c>
      <c r="E2905" s="33">
        <v>5</v>
      </c>
      <c r="F2905" s="33"/>
      <c r="G2905" s="522"/>
      <c r="H2905" s="707">
        <v>6</v>
      </c>
      <c r="I2905" s="707">
        <f t="shared" si="90"/>
        <v>6.8999999999999995</v>
      </c>
      <c r="J2905" s="707">
        <f t="shared" si="91"/>
        <v>7.8000000000000007</v>
      </c>
      <c r="K2905" s="70"/>
    </row>
    <row r="2906" spans="1:11" ht="14.4">
      <c r="A2906" s="33" t="s">
        <v>2054</v>
      </c>
      <c r="B2906" s="33" t="s">
        <v>1016</v>
      </c>
      <c r="C2906" s="33">
        <v>1</v>
      </c>
      <c r="D2906" s="33" t="s">
        <v>2026</v>
      </c>
      <c r="E2906" s="33">
        <v>4</v>
      </c>
      <c r="F2906" s="33"/>
      <c r="G2906" s="522"/>
      <c r="H2906" s="707"/>
      <c r="I2906" s="707">
        <f t="shared" si="90"/>
        <v>0</v>
      </c>
      <c r="J2906" s="707">
        <f t="shared" si="91"/>
        <v>0</v>
      </c>
      <c r="K2906" s="70"/>
    </row>
    <row r="2907" spans="1:11" ht="24" customHeight="1">
      <c r="A2907" s="33" t="s">
        <v>2411</v>
      </c>
      <c r="B2907" s="33" t="s">
        <v>2412</v>
      </c>
      <c r="C2907" s="33">
        <v>2</v>
      </c>
      <c r="D2907" s="33" t="s">
        <v>2363</v>
      </c>
      <c r="E2907" s="33">
        <v>5</v>
      </c>
      <c r="F2907" s="33"/>
      <c r="G2907" s="522"/>
      <c r="H2907" s="707"/>
      <c r="I2907" s="707">
        <f t="shared" si="90"/>
        <v>0</v>
      </c>
      <c r="J2907" s="707">
        <f t="shared" si="91"/>
        <v>0</v>
      </c>
      <c r="K2907" s="70"/>
    </row>
    <row r="2908" spans="1:11" ht="24" customHeight="1">
      <c r="A2908" s="33" t="s">
        <v>2586</v>
      </c>
      <c r="B2908" s="33" t="s">
        <v>1016</v>
      </c>
      <c r="C2908" s="33">
        <v>1</v>
      </c>
      <c r="D2908" s="33" t="s">
        <v>2540</v>
      </c>
      <c r="E2908" s="33">
        <v>2</v>
      </c>
      <c r="F2908" s="33"/>
      <c r="G2908" s="522"/>
      <c r="H2908" s="707"/>
      <c r="I2908" s="707">
        <f t="shared" si="90"/>
        <v>0</v>
      </c>
      <c r="J2908" s="707">
        <f t="shared" si="91"/>
        <v>0</v>
      </c>
      <c r="K2908" s="70"/>
    </row>
    <row r="2909" spans="1:11" ht="24" customHeight="1">
      <c r="A2909" s="59" t="s">
        <v>8080</v>
      </c>
      <c r="B2909" s="59" t="s">
        <v>1016</v>
      </c>
      <c r="C2909" s="2">
        <v>4</v>
      </c>
      <c r="D2909" s="33" t="s">
        <v>8081</v>
      </c>
      <c r="E2909" s="33">
        <v>2</v>
      </c>
      <c r="F2909" s="33"/>
      <c r="G2909" s="33"/>
      <c r="H2909" s="707">
        <v>30</v>
      </c>
      <c r="I2909" s="707">
        <f t="shared" si="90"/>
        <v>34.5</v>
      </c>
      <c r="J2909" s="707">
        <f t="shared" si="91"/>
        <v>39</v>
      </c>
      <c r="K2909" s="70"/>
    </row>
    <row r="2910" spans="1:11" ht="24" customHeight="1">
      <c r="A2910" s="17" t="s">
        <v>8079</v>
      </c>
      <c r="B2910" s="17" t="s">
        <v>1016</v>
      </c>
      <c r="C2910" s="17">
        <v>83</v>
      </c>
      <c r="D2910" s="131" t="s">
        <v>1681</v>
      </c>
      <c r="E2910" s="15">
        <v>1</v>
      </c>
      <c r="F2910" s="15"/>
      <c r="G2910" s="684"/>
      <c r="H2910" s="707"/>
      <c r="I2910" s="707">
        <f t="shared" si="90"/>
        <v>0</v>
      </c>
      <c r="J2910" s="707">
        <f t="shared" si="91"/>
        <v>0</v>
      </c>
      <c r="K2910" s="70"/>
    </row>
    <row r="2911" spans="1:11" ht="24" customHeight="1">
      <c r="A2911" s="11" t="s">
        <v>3485</v>
      </c>
      <c r="B2911" s="11" t="s">
        <v>3486</v>
      </c>
      <c r="C2911" s="11">
        <v>1</v>
      </c>
      <c r="D2911" s="131" t="s">
        <v>3451</v>
      </c>
      <c r="E2911" s="15">
        <v>3</v>
      </c>
      <c r="F2911" s="15"/>
      <c r="G2911" s="684"/>
      <c r="H2911" s="707"/>
      <c r="I2911" s="707">
        <f t="shared" si="90"/>
        <v>0</v>
      </c>
      <c r="J2911" s="707">
        <f t="shared" si="91"/>
        <v>0</v>
      </c>
      <c r="K2911" s="70"/>
    </row>
    <row r="2912" spans="1:11" ht="24" customHeight="1">
      <c r="A2912" s="17" t="s">
        <v>1703</v>
      </c>
      <c r="B2912" s="17" t="s">
        <v>96</v>
      </c>
      <c r="C2912" s="17">
        <v>3</v>
      </c>
      <c r="D2912" s="131" t="s">
        <v>1681</v>
      </c>
      <c r="E2912" s="15">
        <v>1</v>
      </c>
      <c r="F2912" s="15"/>
      <c r="G2912" s="684"/>
      <c r="H2912" s="707"/>
      <c r="I2912" s="707">
        <f t="shared" si="90"/>
        <v>0</v>
      </c>
      <c r="J2912" s="707">
        <f t="shared" si="91"/>
        <v>0</v>
      </c>
      <c r="K2912" s="70"/>
    </row>
    <row r="2913" spans="1:12" ht="24" customHeight="1">
      <c r="A2913" s="2" t="s">
        <v>178</v>
      </c>
      <c r="B2913" s="2" t="s">
        <v>179</v>
      </c>
      <c r="C2913" s="2">
        <v>2</v>
      </c>
      <c r="D2913" s="2" t="s">
        <v>11</v>
      </c>
      <c r="E2913" s="33">
        <v>3</v>
      </c>
      <c r="F2913" s="33"/>
      <c r="G2913" s="522"/>
      <c r="H2913" s="707"/>
      <c r="I2913" s="707">
        <f t="shared" si="90"/>
        <v>0</v>
      </c>
      <c r="J2913" s="707">
        <f t="shared" si="91"/>
        <v>0</v>
      </c>
      <c r="K2913" s="70"/>
    </row>
    <row r="2914" spans="1:12" ht="24" customHeight="1">
      <c r="A2914" s="33" t="s">
        <v>1856</v>
      </c>
      <c r="B2914" s="33" t="s">
        <v>779</v>
      </c>
      <c r="C2914" s="33">
        <v>1</v>
      </c>
      <c r="D2914" s="2" t="s">
        <v>1785</v>
      </c>
      <c r="E2914" s="33">
        <v>2</v>
      </c>
      <c r="F2914" s="33"/>
      <c r="G2914" s="522"/>
      <c r="H2914" s="707"/>
      <c r="I2914" s="707">
        <f t="shared" si="90"/>
        <v>0</v>
      </c>
      <c r="J2914" s="707">
        <f t="shared" si="91"/>
        <v>0</v>
      </c>
      <c r="K2914" s="70"/>
    </row>
    <row r="2915" spans="1:12" ht="24" customHeight="1">
      <c r="A2915" s="59" t="s">
        <v>2709</v>
      </c>
      <c r="B2915" s="59" t="s">
        <v>1336</v>
      </c>
      <c r="C2915" s="59">
        <v>1</v>
      </c>
      <c r="D2915" s="33" t="s">
        <v>2624</v>
      </c>
      <c r="E2915" s="354">
        <v>5</v>
      </c>
      <c r="F2915" s="354"/>
      <c r="G2915" s="688"/>
      <c r="H2915" s="707"/>
      <c r="I2915" s="707">
        <f t="shared" si="90"/>
        <v>0</v>
      </c>
      <c r="J2915" s="707">
        <f t="shared" si="91"/>
        <v>0</v>
      </c>
      <c r="K2915" s="70"/>
    </row>
    <row r="2916" spans="1:12" ht="24" customHeight="1">
      <c r="A2916" s="74" t="s">
        <v>2104</v>
      </c>
      <c r="B2916" s="74" t="s">
        <v>2273</v>
      </c>
      <c r="C2916" s="33">
        <v>3</v>
      </c>
      <c r="D2916" s="33" t="s">
        <v>2191</v>
      </c>
      <c r="E2916" s="33">
        <v>5</v>
      </c>
      <c r="F2916" s="33"/>
      <c r="G2916" s="522"/>
      <c r="H2916" s="707"/>
      <c r="I2916" s="707">
        <f t="shared" si="90"/>
        <v>0</v>
      </c>
      <c r="J2916" s="707">
        <f t="shared" si="91"/>
        <v>0</v>
      </c>
      <c r="K2916" s="70"/>
    </row>
    <row r="2917" spans="1:12" ht="24" customHeight="1">
      <c r="A2917" s="17" t="s">
        <v>7996</v>
      </c>
      <c r="B2917" s="17" t="s">
        <v>350</v>
      </c>
      <c r="C2917" s="17">
        <v>9</v>
      </c>
      <c r="D2917" s="131" t="s">
        <v>1723</v>
      </c>
      <c r="E2917" s="15">
        <v>2</v>
      </c>
      <c r="F2917" s="15"/>
      <c r="G2917" s="684"/>
      <c r="H2917" s="707"/>
      <c r="I2917" s="707">
        <f t="shared" si="90"/>
        <v>0</v>
      </c>
      <c r="J2917" s="707">
        <f t="shared" si="91"/>
        <v>0</v>
      </c>
      <c r="K2917" s="70"/>
    </row>
    <row r="2918" spans="1:12" ht="24" customHeight="1">
      <c r="A2918" s="33" t="s">
        <v>1937</v>
      </c>
      <c r="B2918" s="33" t="s">
        <v>350</v>
      </c>
      <c r="C2918" s="33">
        <v>4</v>
      </c>
      <c r="D2918" s="33" t="s">
        <v>1938</v>
      </c>
      <c r="E2918" s="33">
        <v>1</v>
      </c>
      <c r="F2918" s="33"/>
      <c r="G2918" s="522"/>
      <c r="H2918" s="707"/>
      <c r="I2918" s="707">
        <f t="shared" si="90"/>
        <v>0</v>
      </c>
      <c r="J2918" s="707">
        <f t="shared" si="91"/>
        <v>0</v>
      </c>
      <c r="K2918" s="70"/>
    </row>
    <row r="2919" spans="1:12" ht="24" customHeight="1">
      <c r="A2919" s="33" t="s">
        <v>1223</v>
      </c>
      <c r="B2919" s="33" t="s">
        <v>350</v>
      </c>
      <c r="C2919" s="33">
        <v>2</v>
      </c>
      <c r="D2919" s="33" t="s">
        <v>1201</v>
      </c>
      <c r="E2919" s="33">
        <v>3</v>
      </c>
      <c r="F2919" s="33"/>
      <c r="G2919" s="522"/>
      <c r="H2919" s="707"/>
      <c r="I2919" s="707">
        <f t="shared" si="90"/>
        <v>0</v>
      </c>
      <c r="J2919" s="707">
        <f t="shared" si="91"/>
        <v>0</v>
      </c>
      <c r="K2919" s="70"/>
    </row>
    <row r="2920" spans="1:12" ht="24" customHeight="1">
      <c r="A2920" s="33" t="s">
        <v>1853</v>
      </c>
      <c r="B2920" s="33" t="s">
        <v>21</v>
      </c>
      <c r="C2920" s="33">
        <v>4</v>
      </c>
      <c r="D2920" s="2" t="s">
        <v>1785</v>
      </c>
      <c r="E2920" s="33">
        <v>2</v>
      </c>
      <c r="F2920" s="33"/>
      <c r="G2920" s="522"/>
      <c r="H2920" s="707"/>
      <c r="I2920" s="707">
        <f t="shared" si="90"/>
        <v>0</v>
      </c>
      <c r="J2920" s="707">
        <f t="shared" si="91"/>
        <v>0</v>
      </c>
      <c r="K2920" s="70"/>
    </row>
    <row r="2921" spans="1:12" ht="24" customHeight="1">
      <c r="A2921" s="17" t="s">
        <v>1698</v>
      </c>
      <c r="B2921" s="17" t="s">
        <v>21</v>
      </c>
      <c r="C2921" s="17">
        <v>26</v>
      </c>
      <c r="D2921" s="131" t="s">
        <v>1681</v>
      </c>
      <c r="E2921" s="15">
        <v>1</v>
      </c>
      <c r="F2921" s="15"/>
      <c r="G2921" s="684"/>
      <c r="H2921" s="708"/>
      <c r="I2921" s="707">
        <f t="shared" si="90"/>
        <v>0</v>
      </c>
      <c r="J2921" s="708">
        <f t="shared" si="91"/>
        <v>0</v>
      </c>
      <c r="K2921" s="70"/>
      <c r="L2921" s="52" t="s">
        <v>8076</v>
      </c>
    </row>
    <row r="2922" spans="1:12" ht="24" customHeight="1">
      <c r="A2922" s="33" t="s">
        <v>8083</v>
      </c>
      <c r="B2922" s="33" t="s">
        <v>845</v>
      </c>
      <c r="C2922" s="33">
        <v>39</v>
      </c>
      <c r="D2922" s="2" t="s">
        <v>1785</v>
      </c>
      <c r="E2922" s="33">
        <v>2</v>
      </c>
      <c r="F2922" s="33"/>
      <c r="G2922" s="522"/>
      <c r="H2922" s="707"/>
      <c r="I2922" s="707">
        <f t="shared" si="90"/>
        <v>0</v>
      </c>
      <c r="J2922" s="707">
        <f t="shared" si="91"/>
        <v>0</v>
      </c>
      <c r="K2922" s="55"/>
    </row>
    <row r="2923" spans="1:12" ht="24" customHeight="1">
      <c r="A2923" s="17" t="s">
        <v>1700</v>
      </c>
      <c r="B2923" s="17" t="s">
        <v>845</v>
      </c>
      <c r="C2923" s="17">
        <v>4</v>
      </c>
      <c r="D2923" s="131" t="s">
        <v>1681</v>
      </c>
      <c r="E2923" s="15">
        <v>1</v>
      </c>
      <c r="F2923" s="15"/>
      <c r="G2923" s="684"/>
      <c r="H2923" s="708"/>
      <c r="I2923" s="707">
        <f t="shared" si="90"/>
        <v>0</v>
      </c>
      <c r="J2923" s="708">
        <f t="shared" si="91"/>
        <v>0</v>
      </c>
      <c r="K2923" s="70"/>
    </row>
    <row r="2924" spans="1:12" ht="24" customHeight="1">
      <c r="A2924" s="74" t="s">
        <v>2442</v>
      </c>
      <c r="B2924" s="74" t="s">
        <v>81</v>
      </c>
      <c r="C2924" s="74">
        <v>35</v>
      </c>
      <c r="D2924" s="33" t="s">
        <v>2363</v>
      </c>
      <c r="E2924" s="33">
        <v>5</v>
      </c>
      <c r="F2924" s="33"/>
      <c r="G2924" s="522"/>
      <c r="H2924" s="707"/>
      <c r="I2924" s="707">
        <f t="shared" si="90"/>
        <v>0</v>
      </c>
      <c r="J2924" s="707">
        <f t="shared" si="91"/>
        <v>0</v>
      </c>
      <c r="K2924" s="70"/>
    </row>
    <row r="2925" spans="1:12" ht="24" customHeight="1">
      <c r="A2925" s="33" t="s">
        <v>8130</v>
      </c>
      <c r="B2925" s="33" t="s">
        <v>1016</v>
      </c>
      <c r="C2925" s="33">
        <v>5</v>
      </c>
      <c r="D2925" s="33" t="s">
        <v>1681</v>
      </c>
      <c r="E2925" s="33">
        <v>1</v>
      </c>
      <c r="F2925" s="33"/>
      <c r="G2925" s="33"/>
      <c r="H2925" s="708">
        <v>16.5</v>
      </c>
      <c r="I2925" s="707">
        <f t="shared" si="90"/>
        <v>18.974999999999998</v>
      </c>
      <c r="J2925" s="708">
        <f t="shared" si="91"/>
        <v>21.45</v>
      </c>
      <c r="K2925" s="70"/>
    </row>
    <row r="2926" spans="1:12" ht="24" customHeight="1">
      <c r="A2926" s="33" t="s">
        <v>2571</v>
      </c>
      <c r="B2926" s="33" t="s">
        <v>2572</v>
      </c>
      <c r="C2926" s="33">
        <v>6</v>
      </c>
      <c r="D2926" s="33" t="s">
        <v>2540</v>
      </c>
      <c r="E2926" s="33">
        <v>1</v>
      </c>
      <c r="F2926" s="33"/>
      <c r="G2926" s="522"/>
      <c r="H2926" s="707">
        <v>40</v>
      </c>
      <c r="I2926" s="707">
        <f t="shared" si="90"/>
        <v>46</v>
      </c>
      <c r="J2926" s="707">
        <f t="shared" si="91"/>
        <v>52</v>
      </c>
      <c r="K2926" s="70"/>
    </row>
    <row r="2927" spans="1:12" ht="24" customHeight="1">
      <c r="A2927" s="33" t="s">
        <v>2571</v>
      </c>
      <c r="B2927" s="33" t="s">
        <v>2663</v>
      </c>
      <c r="C2927" s="33">
        <v>1</v>
      </c>
      <c r="D2927" s="33" t="s">
        <v>2624</v>
      </c>
      <c r="E2927" s="33">
        <v>4</v>
      </c>
      <c r="F2927" s="33"/>
      <c r="G2927" s="522"/>
      <c r="H2927" s="707">
        <v>40</v>
      </c>
      <c r="I2927" s="707">
        <f t="shared" si="90"/>
        <v>46</v>
      </c>
      <c r="J2927" s="707">
        <f t="shared" si="91"/>
        <v>52</v>
      </c>
      <c r="K2927" s="70"/>
    </row>
    <row r="2928" spans="1:12" ht="24" customHeight="1">
      <c r="A2928" s="2" t="s">
        <v>659</v>
      </c>
      <c r="B2928" s="2" t="s">
        <v>23</v>
      </c>
      <c r="C2928" s="2">
        <v>182</v>
      </c>
      <c r="D2928" s="2" t="s">
        <v>593</v>
      </c>
      <c r="E2928" s="33">
        <v>3</v>
      </c>
      <c r="F2928" s="33"/>
      <c r="G2928" s="522"/>
      <c r="H2928" s="707">
        <v>2</v>
      </c>
      <c r="I2928" s="707">
        <f t="shared" si="90"/>
        <v>2.2999999999999998</v>
      </c>
      <c r="J2928" s="707">
        <f t="shared" si="91"/>
        <v>2.6</v>
      </c>
      <c r="K2928" s="70"/>
    </row>
    <row r="2929" spans="1:11" ht="24" customHeight="1">
      <c r="A2929" s="2" t="s">
        <v>747</v>
      </c>
      <c r="B2929" s="2" t="s">
        <v>23</v>
      </c>
      <c r="C2929" s="2">
        <v>6</v>
      </c>
      <c r="D2929" s="2" t="s">
        <v>593</v>
      </c>
      <c r="E2929" s="33">
        <v>3</v>
      </c>
      <c r="F2929" s="33"/>
      <c r="G2929" s="522"/>
      <c r="H2929" s="707">
        <v>3</v>
      </c>
      <c r="I2929" s="707">
        <f t="shared" si="90"/>
        <v>3.4499999999999997</v>
      </c>
      <c r="J2929" s="707">
        <f t="shared" si="91"/>
        <v>3.9000000000000004</v>
      </c>
      <c r="K2929" s="70"/>
    </row>
    <row r="2930" spans="1:11" ht="24" customHeight="1">
      <c r="A2930" s="2" t="s">
        <v>69</v>
      </c>
      <c r="B2930" s="2" t="s">
        <v>23</v>
      </c>
      <c r="C2930" s="2">
        <v>333</v>
      </c>
      <c r="D2930" s="2" t="s">
        <v>11</v>
      </c>
      <c r="E2930" s="33">
        <v>1</v>
      </c>
      <c r="F2930" s="33"/>
      <c r="G2930" s="522"/>
      <c r="H2930" s="707">
        <v>1</v>
      </c>
      <c r="I2930" s="707">
        <f t="shared" si="90"/>
        <v>1.1499999999999999</v>
      </c>
      <c r="J2930" s="707">
        <f t="shared" si="91"/>
        <v>1.3</v>
      </c>
      <c r="K2930" s="70"/>
    </row>
    <row r="2931" spans="1:11" ht="24" customHeight="1">
      <c r="A2931" s="2" t="s">
        <v>713</v>
      </c>
      <c r="B2931" s="2" t="s">
        <v>16</v>
      </c>
      <c r="C2931" s="2">
        <v>110</v>
      </c>
      <c r="D2931" s="2" t="s">
        <v>593</v>
      </c>
      <c r="E2931" s="33">
        <v>3</v>
      </c>
      <c r="F2931" s="33"/>
      <c r="G2931" s="522"/>
      <c r="H2931" s="707">
        <v>0.5</v>
      </c>
      <c r="I2931" s="707">
        <f t="shared" si="90"/>
        <v>0.57499999999999996</v>
      </c>
      <c r="J2931" s="707">
        <f t="shared" si="91"/>
        <v>0.65</v>
      </c>
      <c r="K2931" s="70"/>
    </row>
    <row r="2932" spans="1:11" ht="24" customHeight="1">
      <c r="A2932" s="33" t="s">
        <v>713</v>
      </c>
      <c r="B2932" s="33" t="s">
        <v>23</v>
      </c>
      <c r="C2932" s="33">
        <v>7</v>
      </c>
      <c r="D2932" s="33" t="s">
        <v>992</v>
      </c>
      <c r="E2932" s="33">
        <v>3</v>
      </c>
      <c r="F2932" s="33"/>
      <c r="G2932" s="522"/>
      <c r="H2932" s="707">
        <v>0.5</v>
      </c>
      <c r="I2932" s="707">
        <f t="shared" si="90"/>
        <v>0.57499999999999996</v>
      </c>
      <c r="J2932" s="707">
        <f t="shared" si="91"/>
        <v>0.65</v>
      </c>
      <c r="K2932" s="70"/>
    </row>
    <row r="2933" spans="1:11" ht="24" customHeight="1">
      <c r="A2933" s="33" t="s">
        <v>2366</v>
      </c>
      <c r="B2933" s="33" t="s">
        <v>2367</v>
      </c>
      <c r="C2933" s="33">
        <v>192</v>
      </c>
      <c r="D2933" s="33" t="s">
        <v>2363</v>
      </c>
      <c r="E2933" s="33">
        <v>3</v>
      </c>
      <c r="F2933" s="33"/>
      <c r="G2933" s="522"/>
      <c r="H2933" s="707">
        <v>1.2</v>
      </c>
      <c r="I2933" s="707">
        <f t="shared" si="90"/>
        <v>1.38</v>
      </c>
      <c r="J2933" s="707">
        <f t="shared" si="91"/>
        <v>1.56</v>
      </c>
      <c r="K2933" s="70"/>
    </row>
    <row r="2934" spans="1:11" ht="24" customHeight="1">
      <c r="A2934" s="74" t="s">
        <v>2366</v>
      </c>
      <c r="B2934" s="74" t="s">
        <v>10</v>
      </c>
      <c r="C2934" s="74">
        <v>222</v>
      </c>
      <c r="D2934" s="33" t="s">
        <v>2504</v>
      </c>
      <c r="E2934" s="33">
        <v>5</v>
      </c>
      <c r="F2934" s="33"/>
      <c r="G2934" s="522"/>
      <c r="H2934" s="707"/>
      <c r="I2934" s="707">
        <f t="shared" si="90"/>
        <v>0</v>
      </c>
      <c r="J2934" s="707">
        <f t="shared" si="91"/>
        <v>0</v>
      </c>
      <c r="K2934" s="70"/>
    </row>
    <row r="2935" spans="1:11" ht="24" customHeight="1">
      <c r="A2935" s="10" t="s">
        <v>2366</v>
      </c>
      <c r="B2935" s="11" t="s">
        <v>10</v>
      </c>
      <c r="C2935" s="11">
        <v>38</v>
      </c>
      <c r="D2935" s="131" t="s">
        <v>2802</v>
      </c>
      <c r="E2935" s="15">
        <v>3</v>
      </c>
      <c r="F2935" s="15"/>
      <c r="G2935" s="684"/>
      <c r="H2935" s="707">
        <v>1</v>
      </c>
      <c r="I2935" s="707">
        <f t="shared" si="90"/>
        <v>1.1499999999999999</v>
      </c>
      <c r="J2935" s="707">
        <f t="shared" si="91"/>
        <v>1.3</v>
      </c>
      <c r="K2935" s="70"/>
    </row>
    <row r="2936" spans="1:11" ht="24" customHeight="1">
      <c r="A2936" s="2" t="s">
        <v>1837</v>
      </c>
      <c r="B2936" s="2" t="s">
        <v>632</v>
      </c>
      <c r="C2936" s="2">
        <v>665</v>
      </c>
      <c r="D2936" s="2" t="s">
        <v>1785</v>
      </c>
      <c r="E2936" s="33">
        <v>2</v>
      </c>
      <c r="F2936" s="33"/>
      <c r="G2936" s="522"/>
      <c r="H2936" s="707">
        <v>1</v>
      </c>
      <c r="I2936" s="707">
        <f t="shared" si="90"/>
        <v>1.1499999999999999</v>
      </c>
      <c r="J2936" s="707">
        <f t="shared" si="91"/>
        <v>1.3</v>
      </c>
      <c r="K2936" s="70"/>
    </row>
    <row r="2937" spans="1:11" ht="24" customHeight="1">
      <c r="A2937" s="74" t="s">
        <v>1837</v>
      </c>
      <c r="B2937" s="74" t="s">
        <v>23</v>
      </c>
      <c r="C2937" s="74">
        <v>224</v>
      </c>
      <c r="D2937" s="33" t="s">
        <v>2363</v>
      </c>
      <c r="E2937" s="33">
        <v>5</v>
      </c>
      <c r="F2937" s="33"/>
      <c r="G2937" s="522"/>
      <c r="H2937" s="707">
        <v>1</v>
      </c>
      <c r="I2937" s="707">
        <f t="shared" si="90"/>
        <v>1.1499999999999999</v>
      </c>
      <c r="J2937" s="707">
        <f t="shared" si="91"/>
        <v>1.3</v>
      </c>
      <c r="K2937" s="70"/>
    </row>
    <row r="2938" spans="1:11" ht="24" customHeight="1">
      <c r="A2938" s="74" t="s">
        <v>1837</v>
      </c>
      <c r="B2938" s="74" t="s">
        <v>10</v>
      </c>
      <c r="C2938" s="74">
        <v>96</v>
      </c>
      <c r="D2938" s="33" t="s">
        <v>2504</v>
      </c>
      <c r="E2938" s="33">
        <v>5</v>
      </c>
      <c r="F2938" s="33"/>
      <c r="G2938" s="522"/>
      <c r="H2938" s="707"/>
      <c r="I2938" s="707">
        <f t="shared" si="90"/>
        <v>0</v>
      </c>
      <c r="J2938" s="707">
        <f t="shared" si="91"/>
        <v>0</v>
      </c>
      <c r="K2938" s="70"/>
    </row>
    <row r="2939" spans="1:11" ht="24" customHeight="1">
      <c r="A2939" s="2" t="s">
        <v>830</v>
      </c>
      <c r="B2939" s="2" t="s">
        <v>23</v>
      </c>
      <c r="C2939" s="2">
        <v>149</v>
      </c>
      <c r="D2939" s="2" t="s">
        <v>593</v>
      </c>
      <c r="E2939" s="33">
        <v>3</v>
      </c>
      <c r="F2939" s="33"/>
      <c r="G2939" s="522"/>
      <c r="H2939" s="707">
        <v>3</v>
      </c>
      <c r="I2939" s="707">
        <f t="shared" si="90"/>
        <v>3.4499999999999997</v>
      </c>
      <c r="J2939" s="707">
        <f t="shared" si="91"/>
        <v>3.9000000000000004</v>
      </c>
      <c r="K2939" s="70"/>
    </row>
    <row r="2940" spans="1:11" ht="24" customHeight="1">
      <c r="A2940" s="2" t="s">
        <v>758</v>
      </c>
      <c r="B2940" s="2" t="s">
        <v>23</v>
      </c>
      <c r="C2940" s="2">
        <v>48</v>
      </c>
      <c r="D2940" s="2" t="s">
        <v>593</v>
      </c>
      <c r="E2940" s="33">
        <v>3</v>
      </c>
      <c r="F2940" s="33"/>
      <c r="G2940" s="522"/>
      <c r="H2940" s="707"/>
      <c r="I2940" s="707">
        <f t="shared" si="90"/>
        <v>0</v>
      </c>
      <c r="J2940" s="707">
        <f t="shared" si="91"/>
        <v>0</v>
      </c>
      <c r="K2940" s="70"/>
    </row>
    <row r="2941" spans="1:11" ht="24" customHeight="1">
      <c r="A2941" s="2" t="s">
        <v>399</v>
      </c>
      <c r="B2941" s="2" t="s">
        <v>23</v>
      </c>
      <c r="C2941" s="2">
        <v>195</v>
      </c>
      <c r="D2941" s="2" t="s">
        <v>274</v>
      </c>
      <c r="E2941" s="33">
        <v>2</v>
      </c>
      <c r="F2941" s="33"/>
      <c r="G2941" s="522"/>
      <c r="H2941" s="707"/>
      <c r="I2941" s="707">
        <f t="shared" si="90"/>
        <v>0</v>
      </c>
      <c r="J2941" s="707">
        <f t="shared" si="91"/>
        <v>0</v>
      </c>
      <c r="K2941" s="70"/>
    </row>
    <row r="2942" spans="1:11" ht="24" customHeight="1">
      <c r="A2942" s="2" t="s">
        <v>631</v>
      </c>
      <c r="B2942" s="2" t="s">
        <v>632</v>
      </c>
      <c r="C2942" s="2">
        <v>180</v>
      </c>
      <c r="D2942" s="2" t="s">
        <v>593</v>
      </c>
      <c r="E2942" s="33">
        <v>1</v>
      </c>
      <c r="F2942" s="33"/>
      <c r="G2942" s="522"/>
      <c r="H2942" s="707">
        <v>1</v>
      </c>
      <c r="I2942" s="707">
        <f t="shared" si="90"/>
        <v>1.1499999999999999</v>
      </c>
      <c r="J2942" s="707">
        <f t="shared" si="91"/>
        <v>1.3</v>
      </c>
      <c r="K2942" s="70"/>
    </row>
    <row r="2943" spans="1:11" ht="24" customHeight="1">
      <c r="A2943" s="33" t="s">
        <v>631</v>
      </c>
      <c r="B2943" s="33" t="s">
        <v>23</v>
      </c>
      <c r="C2943" s="33">
        <v>34</v>
      </c>
      <c r="D2943" s="33" t="s">
        <v>992</v>
      </c>
      <c r="E2943" s="33">
        <v>5</v>
      </c>
      <c r="F2943" s="33"/>
      <c r="G2943" s="522"/>
      <c r="H2943" s="707">
        <v>1</v>
      </c>
      <c r="I2943" s="707">
        <f t="shared" si="90"/>
        <v>1.1499999999999999</v>
      </c>
      <c r="J2943" s="707">
        <f t="shared" si="91"/>
        <v>1.3</v>
      </c>
      <c r="K2943" s="55"/>
    </row>
    <row r="2944" spans="1:11" ht="24" customHeight="1">
      <c r="A2944" s="2" t="s">
        <v>580</v>
      </c>
      <c r="B2944" s="2" t="s">
        <v>23</v>
      </c>
      <c r="C2944" s="2">
        <v>197</v>
      </c>
      <c r="D2944" s="2" t="s">
        <v>536</v>
      </c>
      <c r="E2944" s="33">
        <v>5</v>
      </c>
      <c r="F2944" s="33"/>
      <c r="G2944" s="522"/>
      <c r="H2944" s="707">
        <v>1.5</v>
      </c>
      <c r="I2944" s="707">
        <f t="shared" si="90"/>
        <v>1.7249999999999999</v>
      </c>
      <c r="J2944" s="707">
        <f t="shared" si="91"/>
        <v>1.9500000000000002</v>
      </c>
      <c r="K2944" s="70"/>
    </row>
    <row r="2945" spans="1:11" ht="24" customHeight="1">
      <c r="A2945" s="2" t="s">
        <v>793</v>
      </c>
      <c r="B2945" s="2" t="s">
        <v>23</v>
      </c>
      <c r="C2945" s="2">
        <v>8</v>
      </c>
      <c r="D2945" s="2" t="s">
        <v>593</v>
      </c>
      <c r="E2945" s="33">
        <v>3</v>
      </c>
      <c r="F2945" s="33"/>
      <c r="G2945" s="522"/>
      <c r="H2945" s="707">
        <v>1</v>
      </c>
      <c r="I2945" s="707">
        <f t="shared" si="90"/>
        <v>1.1499999999999999</v>
      </c>
      <c r="J2945" s="707">
        <f t="shared" si="91"/>
        <v>1.3</v>
      </c>
      <c r="K2945" s="70"/>
    </row>
    <row r="2946" spans="1:11" ht="24" customHeight="1">
      <c r="A2946" s="2" t="s">
        <v>743</v>
      </c>
      <c r="B2946" s="2" t="s">
        <v>23</v>
      </c>
      <c r="C2946" s="2">
        <v>2</v>
      </c>
      <c r="D2946" s="2" t="s">
        <v>593</v>
      </c>
      <c r="E2946" s="33">
        <v>3</v>
      </c>
      <c r="F2946" s="33"/>
      <c r="G2946" s="522"/>
      <c r="H2946" s="707"/>
      <c r="I2946" s="707">
        <f t="shared" si="90"/>
        <v>0</v>
      </c>
      <c r="J2946" s="707">
        <f t="shared" si="91"/>
        <v>0</v>
      </c>
      <c r="K2946" s="70"/>
    </row>
    <row r="2947" spans="1:11" ht="24" customHeight="1">
      <c r="A2947" s="33" t="s">
        <v>15</v>
      </c>
      <c r="B2947" s="33" t="s">
        <v>16</v>
      </c>
      <c r="C2947" s="33">
        <v>96</v>
      </c>
      <c r="D2947" s="2" t="s">
        <v>11</v>
      </c>
      <c r="E2947" s="33">
        <v>1</v>
      </c>
      <c r="F2947" s="33"/>
      <c r="G2947" s="522"/>
      <c r="H2947" s="707">
        <v>0.1</v>
      </c>
      <c r="I2947" s="707">
        <f t="shared" ref="I2947:I3010" si="92">H2947 * 1.15</f>
        <v>0.11499999999999999</v>
      </c>
      <c r="J2947" s="707">
        <f t="shared" ref="J2947:J3010" si="93">H2947 * 1.3</f>
        <v>0.13</v>
      </c>
      <c r="K2947" s="70"/>
    </row>
    <row r="2948" spans="1:11" ht="24" customHeight="1">
      <c r="A2948" s="33" t="s">
        <v>642</v>
      </c>
      <c r="B2948" s="33" t="s">
        <v>23</v>
      </c>
      <c r="C2948" s="33">
        <v>200</v>
      </c>
      <c r="D2948" s="2" t="s">
        <v>593</v>
      </c>
      <c r="E2948" s="33">
        <v>1</v>
      </c>
      <c r="F2948" s="33"/>
      <c r="G2948" s="522"/>
      <c r="H2948" s="707">
        <v>1</v>
      </c>
      <c r="I2948" s="707">
        <f t="shared" si="92"/>
        <v>1.1499999999999999</v>
      </c>
      <c r="J2948" s="707">
        <f t="shared" si="93"/>
        <v>1.3</v>
      </c>
      <c r="K2948" s="70"/>
    </row>
    <row r="2949" spans="1:11" ht="24" customHeight="1">
      <c r="A2949" s="2" t="s">
        <v>22</v>
      </c>
      <c r="B2949" s="2" t="s">
        <v>23</v>
      </c>
      <c r="C2949" s="2">
        <v>100</v>
      </c>
      <c r="D2949" s="2" t="s">
        <v>11</v>
      </c>
      <c r="E2949" s="33">
        <v>1</v>
      </c>
      <c r="F2949" s="33"/>
      <c r="G2949" s="522"/>
      <c r="H2949" s="707">
        <v>1</v>
      </c>
      <c r="I2949" s="707">
        <f t="shared" si="92"/>
        <v>1.1499999999999999</v>
      </c>
      <c r="J2949" s="707">
        <f t="shared" si="93"/>
        <v>1.3</v>
      </c>
      <c r="K2949" s="70"/>
    </row>
    <row r="2950" spans="1:11" ht="24" customHeight="1">
      <c r="A2950" s="59" t="s">
        <v>3235</v>
      </c>
      <c r="B2950" s="59" t="s">
        <v>23</v>
      </c>
      <c r="C2950" s="59">
        <v>200</v>
      </c>
      <c r="D2950" s="33" t="s">
        <v>3053</v>
      </c>
      <c r="E2950" s="354">
        <v>5</v>
      </c>
      <c r="F2950" s="354"/>
      <c r="G2950" s="688"/>
      <c r="H2950" s="707">
        <v>6</v>
      </c>
      <c r="I2950" s="707">
        <f t="shared" si="92"/>
        <v>6.8999999999999995</v>
      </c>
      <c r="J2950" s="707">
        <f t="shared" si="93"/>
        <v>7.8000000000000007</v>
      </c>
      <c r="K2950" s="70"/>
    </row>
    <row r="2951" spans="1:11" ht="24" customHeight="1">
      <c r="A2951" s="33" t="s">
        <v>1989</v>
      </c>
      <c r="B2951" s="33" t="s">
        <v>23</v>
      </c>
      <c r="C2951" s="33">
        <v>31</v>
      </c>
      <c r="D2951" s="33" t="s">
        <v>1938</v>
      </c>
      <c r="E2951" s="33">
        <v>2</v>
      </c>
      <c r="F2951" s="33"/>
      <c r="G2951" s="522"/>
      <c r="H2951" s="707"/>
      <c r="I2951" s="707">
        <f t="shared" si="92"/>
        <v>0</v>
      </c>
      <c r="J2951" s="707">
        <f t="shared" si="93"/>
        <v>0</v>
      </c>
      <c r="K2951" s="70"/>
    </row>
    <row r="2952" spans="1:11" ht="24" customHeight="1">
      <c r="A2952" s="2" t="s">
        <v>338</v>
      </c>
      <c r="B2952" s="2" t="s">
        <v>23</v>
      </c>
      <c r="C2952" s="2">
        <v>15</v>
      </c>
      <c r="D2952" s="2" t="s">
        <v>274</v>
      </c>
      <c r="E2952" s="33">
        <v>1</v>
      </c>
      <c r="F2952" s="33"/>
      <c r="G2952" s="522"/>
      <c r="H2952" s="707">
        <v>3</v>
      </c>
      <c r="I2952" s="707">
        <f t="shared" si="92"/>
        <v>3.4499999999999997</v>
      </c>
      <c r="J2952" s="707">
        <f t="shared" si="93"/>
        <v>3.9000000000000004</v>
      </c>
      <c r="K2952" s="70"/>
    </row>
    <row r="2953" spans="1:11" ht="24" customHeight="1">
      <c r="A2953" s="2" t="s">
        <v>392</v>
      </c>
      <c r="B2953" s="2" t="s">
        <v>23</v>
      </c>
      <c r="C2953" s="2">
        <v>80</v>
      </c>
      <c r="D2953" s="2" t="s">
        <v>274</v>
      </c>
      <c r="E2953" s="33">
        <v>2</v>
      </c>
      <c r="F2953" s="33"/>
      <c r="G2953" s="522"/>
      <c r="H2953" s="707"/>
      <c r="I2953" s="707">
        <f t="shared" si="92"/>
        <v>0</v>
      </c>
      <c r="J2953" s="707">
        <f t="shared" si="93"/>
        <v>0</v>
      </c>
      <c r="K2953" s="70"/>
    </row>
    <row r="2954" spans="1:11" ht="24" customHeight="1">
      <c r="A2954" s="33" t="s">
        <v>1901</v>
      </c>
      <c r="B2954" s="33" t="s">
        <v>23</v>
      </c>
      <c r="C2954" s="33">
        <v>268</v>
      </c>
      <c r="D2954" s="33" t="s">
        <v>2716</v>
      </c>
      <c r="E2954" s="354">
        <v>3</v>
      </c>
      <c r="F2954" s="354"/>
      <c r="G2954" s="688"/>
      <c r="H2954" s="708">
        <v>3</v>
      </c>
      <c r="I2954" s="707">
        <f t="shared" si="92"/>
        <v>3.4499999999999997</v>
      </c>
      <c r="J2954" s="708">
        <f t="shared" si="93"/>
        <v>3.9000000000000004</v>
      </c>
      <c r="K2954" s="70" t="s">
        <v>2727</v>
      </c>
    </row>
    <row r="2955" spans="1:11" ht="24" customHeight="1">
      <c r="A2955" s="33" t="s">
        <v>2295</v>
      </c>
      <c r="B2955" s="33" t="s">
        <v>16</v>
      </c>
      <c r="C2955" s="33">
        <v>100</v>
      </c>
      <c r="D2955" s="33" t="s">
        <v>2276</v>
      </c>
      <c r="E2955" s="33">
        <v>1</v>
      </c>
      <c r="F2955" s="33"/>
      <c r="G2955" s="522"/>
      <c r="H2955" s="707">
        <v>1</v>
      </c>
      <c r="I2955" s="707">
        <f t="shared" si="92"/>
        <v>1.1499999999999999</v>
      </c>
      <c r="J2955" s="707">
        <f t="shared" si="93"/>
        <v>1.3</v>
      </c>
      <c r="K2955" s="70"/>
    </row>
    <row r="2956" spans="1:11" ht="24" customHeight="1">
      <c r="A2956" s="33" t="s">
        <v>505</v>
      </c>
      <c r="B2956" s="33" t="s">
        <v>41</v>
      </c>
      <c r="C2956" s="33">
        <v>36</v>
      </c>
      <c r="D2956" s="2" t="s">
        <v>274</v>
      </c>
      <c r="E2956" s="33">
        <v>3</v>
      </c>
      <c r="F2956" s="33"/>
      <c r="G2956" s="522"/>
      <c r="H2956" s="707"/>
      <c r="I2956" s="707">
        <f t="shared" si="92"/>
        <v>0</v>
      </c>
      <c r="J2956" s="707">
        <f t="shared" si="93"/>
        <v>0</v>
      </c>
      <c r="K2956" s="70"/>
    </row>
    <row r="2957" spans="1:11" ht="24" customHeight="1">
      <c r="A2957" s="33" t="s">
        <v>2726</v>
      </c>
      <c r="B2957" s="33" t="s">
        <v>41</v>
      </c>
      <c r="C2957" s="33">
        <v>31</v>
      </c>
      <c r="D2957" s="33" t="s">
        <v>2716</v>
      </c>
      <c r="E2957" s="354">
        <v>3</v>
      </c>
      <c r="F2957" s="354"/>
      <c r="G2957" s="688"/>
      <c r="H2957" s="708"/>
      <c r="I2957" s="707">
        <f t="shared" si="92"/>
        <v>0</v>
      </c>
      <c r="J2957" s="708">
        <f t="shared" si="93"/>
        <v>0</v>
      </c>
      <c r="K2957" s="70" t="s">
        <v>2727</v>
      </c>
    </row>
    <row r="2958" spans="1:11" ht="15" customHeight="1">
      <c r="A2958" s="392" t="s">
        <v>2730</v>
      </c>
      <c r="B2958" s="392" t="s">
        <v>41</v>
      </c>
      <c r="C2958" s="392">
        <v>104</v>
      </c>
      <c r="D2958" s="392" t="s">
        <v>2716</v>
      </c>
      <c r="E2958" s="393">
        <v>3</v>
      </c>
      <c r="F2958" s="394" t="s">
        <v>2731</v>
      </c>
      <c r="G2958" s="394"/>
      <c r="H2958" s="716"/>
      <c r="I2958" s="716">
        <f t="shared" si="92"/>
        <v>0</v>
      </c>
      <c r="J2958" s="716">
        <f t="shared" si="93"/>
        <v>0</v>
      </c>
      <c r="K2958" s="390" t="s">
        <v>2727</v>
      </c>
    </row>
    <row r="2959" spans="1:11" ht="24" customHeight="1">
      <c r="A2959" s="33" t="s">
        <v>2763</v>
      </c>
      <c r="B2959" s="33" t="s">
        <v>41</v>
      </c>
      <c r="C2959" s="33">
        <v>2</v>
      </c>
      <c r="D2959" s="33" t="s">
        <v>2716</v>
      </c>
      <c r="E2959" s="354">
        <v>3</v>
      </c>
      <c r="F2959" s="354"/>
      <c r="G2959" s="688"/>
      <c r="H2959" s="708"/>
      <c r="I2959" s="707">
        <f t="shared" si="92"/>
        <v>0</v>
      </c>
      <c r="J2959" s="708">
        <f t="shared" si="93"/>
        <v>0</v>
      </c>
      <c r="K2959" s="70" t="s">
        <v>2727</v>
      </c>
    </row>
    <row r="2960" spans="1:11" ht="14.4">
      <c r="A2960" s="33" t="s">
        <v>2729</v>
      </c>
      <c r="B2960" s="33" t="s">
        <v>41</v>
      </c>
      <c r="C2960" s="33">
        <v>15</v>
      </c>
      <c r="D2960" s="33" t="s">
        <v>2716</v>
      </c>
      <c r="E2960" s="59">
        <v>3</v>
      </c>
      <c r="F2960" s="59"/>
      <c r="G2960" s="695"/>
      <c r="H2960" s="708"/>
      <c r="I2960" s="707">
        <f t="shared" si="92"/>
        <v>0</v>
      </c>
      <c r="J2960" s="708">
        <f t="shared" si="93"/>
        <v>0</v>
      </c>
      <c r="K2960" s="70" t="s">
        <v>2727</v>
      </c>
    </row>
    <row r="2961" spans="1:11" ht="14.4">
      <c r="A2961" s="19" t="s">
        <v>173</v>
      </c>
      <c r="B2961" s="19" t="s">
        <v>41</v>
      </c>
      <c r="C2961" s="2">
        <v>88</v>
      </c>
      <c r="D2961" s="19" t="s">
        <v>11</v>
      </c>
      <c r="E2961" s="33">
        <v>3</v>
      </c>
      <c r="F2961" s="33"/>
      <c r="G2961" s="522"/>
      <c r="H2961" s="707"/>
      <c r="I2961" s="707">
        <f t="shared" si="92"/>
        <v>0</v>
      </c>
      <c r="J2961" s="707">
        <f t="shared" si="93"/>
        <v>0</v>
      </c>
      <c r="K2961" s="70"/>
    </row>
    <row r="2962" spans="1:11" ht="14.4">
      <c r="A2962" s="19" t="s">
        <v>1879</v>
      </c>
      <c r="B2962" s="19" t="s">
        <v>41</v>
      </c>
      <c r="C2962" s="2">
        <v>79</v>
      </c>
      <c r="D2962" s="19" t="s">
        <v>1785</v>
      </c>
      <c r="E2962" s="33">
        <v>3</v>
      </c>
      <c r="F2962" s="33"/>
      <c r="G2962" s="522"/>
      <c r="H2962" s="707"/>
      <c r="I2962" s="707">
        <f t="shared" si="92"/>
        <v>0</v>
      </c>
      <c r="J2962" s="707">
        <f t="shared" si="93"/>
        <v>0</v>
      </c>
      <c r="K2962" s="70"/>
    </row>
    <row r="2963" spans="1:11" ht="14.4">
      <c r="A2963" s="222" t="s">
        <v>533</v>
      </c>
      <c r="B2963" s="222" t="s">
        <v>41</v>
      </c>
      <c r="C2963" s="33">
        <v>24</v>
      </c>
      <c r="D2963" s="19" t="s">
        <v>274</v>
      </c>
      <c r="E2963" s="33">
        <v>3</v>
      </c>
      <c r="F2963" s="33"/>
      <c r="G2963" s="522"/>
      <c r="H2963" s="707">
        <v>6</v>
      </c>
      <c r="I2963" s="707">
        <f t="shared" si="92"/>
        <v>6.8999999999999995</v>
      </c>
      <c r="J2963" s="707">
        <f t="shared" si="93"/>
        <v>7.8000000000000007</v>
      </c>
      <c r="K2963" s="70"/>
    </row>
    <row r="2964" spans="1:11" ht="14.4">
      <c r="A2964" s="222" t="s">
        <v>533</v>
      </c>
      <c r="B2964" s="222" t="s">
        <v>27</v>
      </c>
      <c r="C2964" s="33">
        <v>60</v>
      </c>
      <c r="D2964" s="19" t="s">
        <v>593</v>
      </c>
      <c r="E2964" s="33">
        <v>2</v>
      </c>
      <c r="F2964" s="33"/>
      <c r="G2964" s="522"/>
      <c r="H2964" s="707">
        <v>6</v>
      </c>
      <c r="I2964" s="707">
        <f t="shared" si="92"/>
        <v>6.8999999999999995</v>
      </c>
      <c r="J2964" s="707">
        <f t="shared" si="93"/>
        <v>7.8000000000000007</v>
      </c>
      <c r="K2964" s="70"/>
    </row>
    <row r="2965" spans="1:11" ht="14.4">
      <c r="A2965" s="33" t="s">
        <v>1140</v>
      </c>
      <c r="B2965" s="33" t="s">
        <v>41</v>
      </c>
      <c r="C2965" s="33">
        <v>153</v>
      </c>
      <c r="D2965" s="222" t="s">
        <v>1141</v>
      </c>
      <c r="E2965" s="33">
        <v>1</v>
      </c>
      <c r="F2965" s="33"/>
      <c r="G2965" s="522"/>
      <c r="H2965" s="707">
        <v>0.1</v>
      </c>
      <c r="I2965" s="707">
        <f t="shared" si="92"/>
        <v>0.11499999999999999</v>
      </c>
      <c r="J2965" s="707">
        <f t="shared" si="93"/>
        <v>0.13</v>
      </c>
      <c r="K2965" s="70"/>
    </row>
    <row r="2966" spans="1:11" ht="14.4">
      <c r="A2966" s="33" t="s">
        <v>1950</v>
      </c>
      <c r="B2966" s="33" t="s">
        <v>41</v>
      </c>
      <c r="C2966" s="33">
        <v>100</v>
      </c>
      <c r="D2966" s="222" t="s">
        <v>1938</v>
      </c>
      <c r="E2966" s="33">
        <v>1</v>
      </c>
      <c r="F2966" s="33"/>
      <c r="G2966" s="522"/>
      <c r="H2966" s="707"/>
      <c r="I2966" s="707">
        <f t="shared" si="92"/>
        <v>0</v>
      </c>
      <c r="J2966" s="707">
        <f t="shared" si="93"/>
        <v>0</v>
      </c>
      <c r="K2966" s="70"/>
    </row>
    <row r="2967" spans="1:11" ht="14.4">
      <c r="A2967" s="33" t="s">
        <v>2033</v>
      </c>
      <c r="B2967" s="33" t="s">
        <v>41</v>
      </c>
      <c r="C2967" s="33">
        <v>97</v>
      </c>
      <c r="D2967" s="222" t="s">
        <v>2026</v>
      </c>
      <c r="E2967" s="33">
        <v>3</v>
      </c>
      <c r="F2967" s="33"/>
      <c r="G2967" s="522"/>
      <c r="H2967" s="707">
        <v>1</v>
      </c>
      <c r="I2967" s="707">
        <f t="shared" si="92"/>
        <v>1.1499999999999999</v>
      </c>
      <c r="J2967" s="707">
        <f t="shared" si="93"/>
        <v>1.3</v>
      </c>
      <c r="K2967" s="70"/>
    </row>
    <row r="2968" spans="1:11" ht="14.4">
      <c r="A2968" s="33" t="s">
        <v>1382</v>
      </c>
      <c r="B2968" s="33" t="s">
        <v>41</v>
      </c>
      <c r="C2968" s="33">
        <v>115</v>
      </c>
      <c r="D2968" s="33" t="s">
        <v>1372</v>
      </c>
      <c r="E2968" s="33">
        <v>3</v>
      </c>
      <c r="F2968" s="33"/>
      <c r="G2968" s="522"/>
      <c r="H2968" s="707"/>
      <c r="I2968" s="707">
        <f t="shared" si="92"/>
        <v>0</v>
      </c>
      <c r="J2968" s="707">
        <f t="shared" si="93"/>
        <v>0</v>
      </c>
      <c r="K2968" s="70"/>
    </row>
    <row r="2969" spans="1:11" ht="14.4">
      <c r="A2969" s="222" t="s">
        <v>1651</v>
      </c>
      <c r="B2969" s="222" t="s">
        <v>41</v>
      </c>
      <c r="C2969" s="33">
        <v>59</v>
      </c>
      <c r="D2969" s="222" t="s">
        <v>1548</v>
      </c>
      <c r="E2969" s="33">
        <v>4</v>
      </c>
      <c r="F2969" s="33"/>
      <c r="G2969" s="522"/>
      <c r="H2969" s="707"/>
      <c r="I2969" s="707">
        <f t="shared" si="92"/>
        <v>0</v>
      </c>
      <c r="J2969" s="707">
        <f t="shared" si="93"/>
        <v>0</v>
      </c>
      <c r="K2969" s="70"/>
    </row>
    <row r="2970" spans="1:11" ht="14.4">
      <c r="A2970" s="33" t="s">
        <v>2277</v>
      </c>
      <c r="B2970" s="33" t="s">
        <v>41</v>
      </c>
      <c r="C2970" s="33">
        <v>24</v>
      </c>
      <c r="D2970" s="33" t="s">
        <v>2276</v>
      </c>
      <c r="E2970" s="33">
        <v>1</v>
      </c>
      <c r="F2970" s="33"/>
      <c r="G2970" s="522"/>
      <c r="H2970" s="707">
        <v>1</v>
      </c>
      <c r="I2970" s="707">
        <f t="shared" si="92"/>
        <v>1.1499999999999999</v>
      </c>
      <c r="J2970" s="707">
        <f t="shared" si="93"/>
        <v>1.3</v>
      </c>
      <c r="K2970" s="70"/>
    </row>
    <row r="2971" spans="1:11" ht="14.4">
      <c r="A2971" s="33" t="s">
        <v>1534</v>
      </c>
      <c r="B2971" s="33" t="s">
        <v>41</v>
      </c>
      <c r="C2971" s="33">
        <v>100</v>
      </c>
      <c r="D2971" s="222" t="s">
        <v>1494</v>
      </c>
      <c r="E2971" s="33">
        <v>2</v>
      </c>
      <c r="F2971" s="33"/>
      <c r="G2971" s="522"/>
      <c r="H2971" s="707">
        <v>0.5</v>
      </c>
      <c r="I2971" s="707">
        <f t="shared" si="92"/>
        <v>0.57499999999999996</v>
      </c>
      <c r="J2971" s="707">
        <f t="shared" si="93"/>
        <v>0.65</v>
      </c>
      <c r="K2971" s="70"/>
    </row>
    <row r="2972" spans="1:11" ht="14.4">
      <c r="A2972" s="222" t="s">
        <v>1658</v>
      </c>
      <c r="B2972" s="222" t="s">
        <v>41</v>
      </c>
      <c r="C2972" s="33">
        <v>80</v>
      </c>
      <c r="D2972" s="222" t="s">
        <v>1548</v>
      </c>
      <c r="E2972" s="33">
        <v>4</v>
      </c>
      <c r="F2972" s="33"/>
      <c r="G2972" s="522"/>
      <c r="H2972" s="707">
        <v>1</v>
      </c>
      <c r="I2972" s="707">
        <f t="shared" si="92"/>
        <v>1.1499999999999999</v>
      </c>
      <c r="J2972" s="707">
        <f t="shared" si="93"/>
        <v>1.3</v>
      </c>
      <c r="K2972" s="70"/>
    </row>
    <row r="2973" spans="1:11" ht="14.4">
      <c r="A2973" s="33" t="s">
        <v>1556</v>
      </c>
      <c r="B2973" s="33" t="s">
        <v>41</v>
      </c>
      <c r="C2973" s="33">
        <v>25</v>
      </c>
      <c r="D2973" s="222" t="s">
        <v>1548</v>
      </c>
      <c r="E2973" s="33">
        <v>3</v>
      </c>
      <c r="F2973" s="33"/>
      <c r="G2973" s="522"/>
      <c r="H2973" s="707">
        <v>1</v>
      </c>
      <c r="I2973" s="707">
        <f t="shared" si="92"/>
        <v>1.1499999999999999</v>
      </c>
      <c r="J2973" s="707">
        <f t="shared" si="93"/>
        <v>1.3</v>
      </c>
      <c r="K2973" s="70"/>
    </row>
    <row r="2974" spans="1:11" ht="14.4">
      <c r="A2974" s="33" t="s">
        <v>1535</v>
      </c>
      <c r="B2974" s="33" t="s">
        <v>41</v>
      </c>
      <c r="C2974" s="33">
        <v>98</v>
      </c>
      <c r="D2974" s="222" t="s">
        <v>1494</v>
      </c>
      <c r="E2974" s="33">
        <v>2</v>
      </c>
      <c r="F2974" s="33"/>
      <c r="G2974" s="522"/>
      <c r="H2974" s="707"/>
      <c r="I2974" s="707">
        <f t="shared" si="92"/>
        <v>0</v>
      </c>
      <c r="J2974" s="707">
        <f t="shared" si="93"/>
        <v>0</v>
      </c>
      <c r="K2974" s="70"/>
    </row>
    <row r="2975" spans="1:11" ht="14.4">
      <c r="A2975" s="33" t="s">
        <v>2287</v>
      </c>
      <c r="B2975" s="33" t="s">
        <v>41</v>
      </c>
      <c r="C2975" s="33">
        <v>79</v>
      </c>
      <c r="D2975" s="222" t="s">
        <v>2276</v>
      </c>
      <c r="E2975" s="33">
        <v>1</v>
      </c>
      <c r="F2975" s="33"/>
      <c r="G2975" s="522"/>
      <c r="H2975" s="707"/>
      <c r="I2975" s="707">
        <f t="shared" si="92"/>
        <v>0</v>
      </c>
      <c r="J2975" s="707">
        <f t="shared" si="93"/>
        <v>0</v>
      </c>
      <c r="K2975" s="70"/>
    </row>
    <row r="2976" spans="1:11" ht="15.6">
      <c r="A2976" s="74" t="s">
        <v>2146</v>
      </c>
      <c r="B2976" s="74" t="s">
        <v>2147</v>
      </c>
      <c r="C2976" s="74">
        <v>86</v>
      </c>
      <c r="D2976" s="222" t="s">
        <v>2111</v>
      </c>
      <c r="E2976" s="33">
        <v>2</v>
      </c>
      <c r="F2976" s="33"/>
      <c r="G2976" s="522"/>
      <c r="H2976" s="707"/>
      <c r="I2976" s="707">
        <f t="shared" si="92"/>
        <v>0</v>
      </c>
      <c r="J2976" s="707">
        <f t="shared" si="93"/>
        <v>0</v>
      </c>
      <c r="K2976" s="70"/>
    </row>
    <row r="2977" spans="1:11" ht="14.4">
      <c r="A2977" s="222" t="s">
        <v>2219</v>
      </c>
      <c r="B2977" s="222" t="s">
        <v>27</v>
      </c>
      <c r="C2977" s="33">
        <v>8</v>
      </c>
      <c r="D2977" s="222" t="s">
        <v>2191</v>
      </c>
      <c r="E2977" s="33">
        <v>4</v>
      </c>
      <c r="F2977" s="33"/>
      <c r="G2977" s="522"/>
      <c r="H2977" s="707"/>
      <c r="I2977" s="707">
        <f t="shared" si="92"/>
        <v>0</v>
      </c>
      <c r="J2977" s="707">
        <f t="shared" si="93"/>
        <v>0</v>
      </c>
      <c r="K2977" s="70"/>
    </row>
    <row r="2978" spans="1:11" ht="14.4">
      <c r="A2978" s="222" t="s">
        <v>2053</v>
      </c>
      <c r="B2978" s="222" t="s">
        <v>41</v>
      </c>
      <c r="C2978" s="33">
        <v>91</v>
      </c>
      <c r="D2978" s="222" t="s">
        <v>2026</v>
      </c>
      <c r="E2978" s="33">
        <v>4</v>
      </c>
      <c r="F2978" s="33"/>
      <c r="G2978" s="522"/>
      <c r="H2978" s="707"/>
      <c r="I2978" s="707">
        <f t="shared" si="92"/>
        <v>0</v>
      </c>
      <c r="J2978" s="707">
        <f t="shared" si="93"/>
        <v>0</v>
      </c>
      <c r="K2978" s="70"/>
    </row>
    <row r="2979" spans="1:11" ht="14.4">
      <c r="A2979" s="222" t="s">
        <v>1342</v>
      </c>
      <c r="B2979" s="222" t="s">
        <v>41</v>
      </c>
      <c r="C2979" s="33">
        <v>270</v>
      </c>
      <c r="D2979" s="222" t="s">
        <v>1325</v>
      </c>
      <c r="E2979" s="33">
        <v>1</v>
      </c>
      <c r="F2979" s="33"/>
      <c r="G2979" s="522"/>
      <c r="H2979" s="707">
        <v>0.2</v>
      </c>
      <c r="I2979" s="707">
        <f t="shared" si="92"/>
        <v>0.22999999999999998</v>
      </c>
      <c r="J2979" s="707">
        <f t="shared" si="93"/>
        <v>0.26</v>
      </c>
      <c r="K2979" s="70"/>
    </row>
    <row r="2980" spans="1:11" ht="14.4">
      <c r="A2980" s="222" t="s">
        <v>1645</v>
      </c>
      <c r="B2980" s="222" t="s">
        <v>41</v>
      </c>
      <c r="C2980" s="33">
        <v>82</v>
      </c>
      <c r="D2980" s="222" t="s">
        <v>1548</v>
      </c>
      <c r="E2980" s="33">
        <v>4</v>
      </c>
      <c r="F2980" s="33"/>
      <c r="G2980" s="522"/>
      <c r="H2980" s="707"/>
      <c r="I2980" s="707">
        <f t="shared" si="92"/>
        <v>0</v>
      </c>
      <c r="J2980" s="707">
        <f t="shared" si="93"/>
        <v>0</v>
      </c>
      <c r="K2980" s="70"/>
    </row>
    <row r="2981" spans="1:11" ht="15.6">
      <c r="A2981" s="74" t="s">
        <v>2226</v>
      </c>
      <c r="B2981" s="74" t="s">
        <v>2227</v>
      </c>
      <c r="C2981" s="74">
        <v>4</v>
      </c>
      <c r="D2981" s="222" t="s">
        <v>2191</v>
      </c>
      <c r="E2981" s="33">
        <v>5</v>
      </c>
      <c r="F2981" s="33"/>
      <c r="G2981" s="522"/>
      <c r="H2981" s="707"/>
      <c r="I2981" s="707">
        <f t="shared" si="92"/>
        <v>0</v>
      </c>
      <c r="J2981" s="707">
        <f t="shared" si="93"/>
        <v>0</v>
      </c>
      <c r="K2981" s="70"/>
    </row>
    <row r="2982" spans="1:11" ht="14.4">
      <c r="A2982" s="33" t="s">
        <v>846</v>
      </c>
      <c r="B2982" s="33" t="s">
        <v>371</v>
      </c>
      <c r="C2982" s="33">
        <v>9</v>
      </c>
      <c r="D2982" s="19" t="s">
        <v>593</v>
      </c>
      <c r="E2982" s="33">
        <v>3</v>
      </c>
      <c r="F2982" s="33"/>
      <c r="G2982" s="522"/>
      <c r="H2982" s="707"/>
      <c r="I2982" s="707">
        <f t="shared" si="92"/>
        <v>0</v>
      </c>
      <c r="J2982" s="707">
        <f t="shared" si="93"/>
        <v>0</v>
      </c>
      <c r="K2982" s="70"/>
    </row>
    <row r="2983" spans="1:11" ht="14.4">
      <c r="A2983" s="33" t="s">
        <v>2115</v>
      </c>
      <c r="B2983" s="33" t="s">
        <v>10</v>
      </c>
      <c r="C2983" s="33">
        <v>500</v>
      </c>
      <c r="D2983" s="222" t="s">
        <v>2111</v>
      </c>
      <c r="E2983" s="33">
        <v>1</v>
      </c>
      <c r="F2983" s="33"/>
      <c r="G2983" s="522"/>
      <c r="H2983" s="707"/>
      <c r="I2983" s="707">
        <f t="shared" si="92"/>
        <v>0</v>
      </c>
      <c r="J2983" s="707">
        <f t="shared" si="93"/>
        <v>0</v>
      </c>
      <c r="K2983" s="70"/>
    </row>
    <row r="2984" spans="1:11" ht="14.4">
      <c r="A2984" s="33" t="s">
        <v>3298</v>
      </c>
      <c r="B2984" s="33" t="s">
        <v>41</v>
      </c>
      <c r="C2984" s="33">
        <v>495</v>
      </c>
      <c r="D2984" s="222" t="s">
        <v>3279</v>
      </c>
      <c r="E2984" s="33">
        <v>3</v>
      </c>
      <c r="F2984" s="33"/>
      <c r="G2984" s="522"/>
      <c r="H2984" s="707"/>
      <c r="I2984" s="707">
        <f t="shared" si="92"/>
        <v>0</v>
      </c>
      <c r="J2984" s="707">
        <f t="shared" si="93"/>
        <v>0</v>
      </c>
      <c r="K2984" s="70"/>
    </row>
    <row r="2985" spans="1:11" ht="14.4">
      <c r="A2985" s="33" t="s">
        <v>1203</v>
      </c>
      <c r="B2985" s="33" t="s">
        <v>27</v>
      </c>
      <c r="C2985" s="33">
        <v>10</v>
      </c>
      <c r="D2985" s="222" t="s">
        <v>1201</v>
      </c>
      <c r="E2985" s="33">
        <v>3</v>
      </c>
      <c r="F2985" s="33"/>
      <c r="G2985" s="522"/>
      <c r="H2985" s="707"/>
      <c r="I2985" s="707">
        <f t="shared" si="92"/>
        <v>0</v>
      </c>
      <c r="J2985" s="707">
        <f t="shared" si="93"/>
        <v>0</v>
      </c>
      <c r="K2985" s="70"/>
    </row>
    <row r="2986" spans="1:11" ht="14.4">
      <c r="A2986" s="33" t="s">
        <v>1203</v>
      </c>
      <c r="B2986" s="33" t="s">
        <v>41</v>
      </c>
      <c r="C2986" s="33">
        <v>145</v>
      </c>
      <c r="D2986" s="222" t="s">
        <v>1325</v>
      </c>
      <c r="E2986" s="33">
        <v>2</v>
      </c>
      <c r="F2986" s="33"/>
      <c r="G2986" s="522"/>
      <c r="H2986" s="707"/>
      <c r="I2986" s="707">
        <f t="shared" si="92"/>
        <v>0</v>
      </c>
      <c r="J2986" s="707">
        <f t="shared" si="93"/>
        <v>0</v>
      </c>
      <c r="K2986" s="70"/>
    </row>
    <row r="2987" spans="1:11" ht="15.6">
      <c r="A2987" s="74" t="s">
        <v>1203</v>
      </c>
      <c r="B2987" s="74" t="s">
        <v>41</v>
      </c>
      <c r="C2987" s="74">
        <v>10</v>
      </c>
      <c r="D2987" s="222" t="s">
        <v>2111</v>
      </c>
      <c r="E2987" s="33">
        <v>2</v>
      </c>
      <c r="F2987" s="33"/>
      <c r="G2987" s="522"/>
      <c r="H2987" s="707"/>
      <c r="I2987" s="707">
        <f t="shared" si="92"/>
        <v>0</v>
      </c>
      <c r="J2987" s="707">
        <f t="shared" si="93"/>
        <v>0</v>
      </c>
      <c r="K2987" s="70"/>
    </row>
    <row r="2988" spans="1:11" ht="14.4">
      <c r="A2988" s="33" t="s">
        <v>2030</v>
      </c>
      <c r="B2988" s="33" t="s">
        <v>41</v>
      </c>
      <c r="C2988" s="33">
        <v>97</v>
      </c>
      <c r="D2988" s="222" t="s">
        <v>2026</v>
      </c>
      <c r="E2988" s="33">
        <v>3</v>
      </c>
      <c r="F2988" s="33"/>
      <c r="G2988" s="522"/>
      <c r="H2988" s="707"/>
      <c r="I2988" s="707">
        <f t="shared" si="92"/>
        <v>0</v>
      </c>
      <c r="J2988" s="707">
        <f t="shared" si="93"/>
        <v>0</v>
      </c>
      <c r="K2988" s="70"/>
    </row>
    <row r="2989" spans="1:11" ht="14.4">
      <c r="A2989" s="33" t="s">
        <v>310</v>
      </c>
      <c r="B2989" s="33" t="s">
        <v>41</v>
      </c>
      <c r="C2989" s="33">
        <v>88</v>
      </c>
      <c r="D2989" s="19" t="s">
        <v>274</v>
      </c>
      <c r="E2989" s="33">
        <v>1</v>
      </c>
      <c r="F2989" s="33"/>
      <c r="G2989" s="522"/>
      <c r="H2989" s="707"/>
      <c r="I2989" s="707">
        <f t="shared" si="92"/>
        <v>0</v>
      </c>
      <c r="J2989" s="707">
        <f t="shared" si="93"/>
        <v>0</v>
      </c>
      <c r="K2989" s="70"/>
    </row>
    <row r="2990" spans="1:11" ht="14.4">
      <c r="A2990" s="33" t="s">
        <v>931</v>
      </c>
      <c r="B2990" s="33" t="s">
        <v>41</v>
      </c>
      <c r="C2990" s="33">
        <v>58</v>
      </c>
      <c r="D2990" s="222" t="s">
        <v>910</v>
      </c>
      <c r="E2990" s="33">
        <v>1</v>
      </c>
      <c r="F2990" s="33"/>
      <c r="G2990" s="522"/>
      <c r="H2990" s="711"/>
      <c r="I2990" s="711">
        <f t="shared" si="92"/>
        <v>0</v>
      </c>
      <c r="J2990" s="711">
        <f t="shared" si="93"/>
        <v>0</v>
      </c>
      <c r="K2990" s="70"/>
    </row>
    <row r="2991" spans="1:11" ht="14.4">
      <c r="A2991" s="33" t="s">
        <v>2347</v>
      </c>
      <c r="B2991" s="33" t="s">
        <v>27</v>
      </c>
      <c r="C2991" s="33">
        <v>12</v>
      </c>
      <c r="D2991" s="222" t="s">
        <v>2276</v>
      </c>
      <c r="E2991" s="33">
        <v>1</v>
      </c>
      <c r="F2991" s="33"/>
      <c r="G2991" s="522"/>
      <c r="H2991" s="707"/>
      <c r="I2991" s="707">
        <f t="shared" si="92"/>
        <v>0</v>
      </c>
      <c r="J2991" s="707">
        <f t="shared" si="93"/>
        <v>0</v>
      </c>
      <c r="K2991" s="70"/>
    </row>
    <row r="2992" spans="1:11" ht="14.4">
      <c r="A2992" s="33" t="s">
        <v>1497</v>
      </c>
      <c r="B2992" s="33" t="s">
        <v>41</v>
      </c>
      <c r="C2992" s="33">
        <v>11</v>
      </c>
      <c r="D2992" s="33" t="s">
        <v>1494</v>
      </c>
      <c r="E2992" s="33">
        <v>1</v>
      </c>
      <c r="F2992" s="33"/>
      <c r="G2992" s="522"/>
      <c r="H2992" s="707"/>
      <c r="I2992" s="707">
        <f t="shared" si="92"/>
        <v>0</v>
      </c>
      <c r="J2992" s="707">
        <f t="shared" si="93"/>
        <v>0</v>
      </c>
      <c r="K2992" s="70"/>
    </row>
    <row r="2993" spans="1:11" ht="15.6">
      <c r="A2993" s="74" t="s">
        <v>2466</v>
      </c>
      <c r="B2993" s="74" t="s">
        <v>41</v>
      </c>
      <c r="C2993" s="74">
        <v>4</v>
      </c>
      <c r="D2993" s="222" t="s">
        <v>2363</v>
      </c>
      <c r="E2993" s="33">
        <v>5</v>
      </c>
      <c r="F2993" s="33"/>
      <c r="G2993" s="522"/>
      <c r="H2993" s="707"/>
      <c r="I2993" s="707">
        <f t="shared" si="92"/>
        <v>0</v>
      </c>
      <c r="J2993" s="707">
        <f t="shared" si="93"/>
        <v>0</v>
      </c>
      <c r="K2993" s="70"/>
    </row>
    <row r="2994" spans="1:11" ht="14.4">
      <c r="A2994" s="2" t="s">
        <v>1817</v>
      </c>
      <c r="B2994" s="2" t="s">
        <v>1818</v>
      </c>
      <c r="C2994" s="2">
        <v>776</v>
      </c>
      <c r="D2994" s="19" t="s">
        <v>1785</v>
      </c>
      <c r="E2994" s="33">
        <v>2</v>
      </c>
      <c r="F2994" s="33"/>
      <c r="G2994" s="522"/>
      <c r="H2994" s="707"/>
      <c r="I2994" s="707">
        <f t="shared" si="92"/>
        <v>0</v>
      </c>
      <c r="J2994" s="707">
        <f t="shared" si="93"/>
        <v>0</v>
      </c>
      <c r="K2994" s="70"/>
    </row>
    <row r="2995" spans="1:11" ht="14.4">
      <c r="A2995" s="33" t="s">
        <v>614</v>
      </c>
      <c r="B2995" s="33" t="s">
        <v>615</v>
      </c>
      <c r="C2995" s="33">
        <v>40</v>
      </c>
      <c r="D2995" s="2" t="s">
        <v>593</v>
      </c>
      <c r="E2995" s="33">
        <v>1</v>
      </c>
      <c r="F2995" s="33"/>
      <c r="G2995" s="522"/>
      <c r="H2995" s="707"/>
      <c r="I2995" s="707">
        <f t="shared" si="92"/>
        <v>0</v>
      </c>
      <c r="J2995" s="707">
        <f t="shared" si="93"/>
        <v>0</v>
      </c>
      <c r="K2995" s="70"/>
    </row>
    <row r="2996" spans="1:11" ht="13.5" customHeight="1">
      <c r="A2996" s="33" t="s">
        <v>518</v>
      </c>
      <c r="B2996" s="33" t="s">
        <v>56</v>
      </c>
      <c r="C2996" s="33">
        <v>45</v>
      </c>
      <c r="D2996" s="2" t="s">
        <v>593</v>
      </c>
      <c r="E2996" s="33">
        <v>1</v>
      </c>
      <c r="F2996" s="33"/>
      <c r="G2996" s="522"/>
      <c r="H2996" s="707"/>
      <c r="I2996" s="707">
        <f t="shared" si="92"/>
        <v>0</v>
      </c>
      <c r="J2996" s="707">
        <f t="shared" si="93"/>
        <v>0</v>
      </c>
      <c r="K2996" s="70"/>
    </row>
    <row r="2997" spans="1:11" ht="2.25" customHeight="1">
      <c r="A2997" s="33" t="s">
        <v>672</v>
      </c>
      <c r="B2997" s="33" t="s">
        <v>56</v>
      </c>
      <c r="C2997" s="33">
        <v>95</v>
      </c>
      <c r="D2997" s="2" t="s">
        <v>593</v>
      </c>
      <c r="E2997" s="33">
        <v>1</v>
      </c>
      <c r="F2997" s="33"/>
      <c r="G2997" s="522"/>
      <c r="H2997" s="707"/>
      <c r="I2997" s="707">
        <f t="shared" si="92"/>
        <v>0</v>
      </c>
      <c r="J2997" s="707">
        <f t="shared" si="93"/>
        <v>0</v>
      </c>
      <c r="K2997" s="70"/>
    </row>
    <row r="2998" spans="1:11" ht="15.6">
      <c r="A2998" s="74" t="s">
        <v>1311</v>
      </c>
      <c r="B2998" s="74" t="s">
        <v>10</v>
      </c>
      <c r="C2998" s="74">
        <v>3</v>
      </c>
      <c r="D2998" s="33" t="s">
        <v>1201</v>
      </c>
      <c r="E2998" s="33">
        <v>5</v>
      </c>
      <c r="F2998" s="33"/>
      <c r="G2998" s="522"/>
      <c r="H2998" s="707"/>
      <c r="I2998" s="707">
        <f t="shared" si="92"/>
        <v>0</v>
      </c>
      <c r="J2998" s="707">
        <f t="shared" si="93"/>
        <v>0</v>
      </c>
      <c r="K2998" s="70"/>
    </row>
    <row r="2999" spans="1:11" ht="14.4">
      <c r="A2999" s="2" t="s">
        <v>1311</v>
      </c>
      <c r="B2999" s="2" t="s">
        <v>305</v>
      </c>
      <c r="C2999" s="2">
        <v>87</v>
      </c>
      <c r="D2999" s="2" t="s">
        <v>3256</v>
      </c>
      <c r="E2999" s="33">
        <v>1</v>
      </c>
      <c r="F2999" s="33"/>
      <c r="G2999" s="522"/>
      <c r="H2999" s="707"/>
      <c r="I2999" s="707">
        <f t="shared" si="92"/>
        <v>0</v>
      </c>
      <c r="J2999" s="707">
        <f t="shared" si="93"/>
        <v>0</v>
      </c>
      <c r="K2999" s="70"/>
    </row>
    <row r="3000" spans="1:11" ht="14.4">
      <c r="A3000" s="9" t="s">
        <v>1746</v>
      </c>
      <c r="B3000" s="9" t="s">
        <v>10</v>
      </c>
      <c r="C3000" s="11">
        <v>140</v>
      </c>
      <c r="D3000" s="14" t="s">
        <v>1723</v>
      </c>
      <c r="E3000" s="15">
        <v>1</v>
      </c>
      <c r="F3000" s="15"/>
      <c r="G3000" s="684"/>
      <c r="H3000" s="707"/>
      <c r="I3000" s="707">
        <f t="shared" si="92"/>
        <v>0</v>
      </c>
      <c r="J3000" s="707">
        <f t="shared" si="93"/>
        <v>0</v>
      </c>
      <c r="K3000" s="70"/>
    </row>
    <row r="3001" spans="1:11" ht="14.4">
      <c r="A3001" s="9" t="s">
        <v>1747</v>
      </c>
      <c r="B3001" s="9" t="s">
        <v>10</v>
      </c>
      <c r="C3001" s="11">
        <v>106</v>
      </c>
      <c r="D3001" s="14" t="s">
        <v>1723</v>
      </c>
      <c r="E3001" s="15">
        <v>1</v>
      </c>
      <c r="F3001" s="15"/>
      <c r="G3001" s="684"/>
      <c r="H3001" s="707"/>
      <c r="I3001" s="707">
        <f t="shared" si="92"/>
        <v>0</v>
      </c>
      <c r="J3001" s="707">
        <f t="shared" si="93"/>
        <v>0</v>
      </c>
      <c r="K3001" s="70"/>
    </row>
    <row r="3002" spans="1:11" ht="14.4">
      <c r="A3002" s="19" t="s">
        <v>1840</v>
      </c>
      <c r="B3002" s="19" t="s">
        <v>10</v>
      </c>
      <c r="C3002" s="2">
        <v>115</v>
      </c>
      <c r="D3002" s="19" t="s">
        <v>1785</v>
      </c>
      <c r="E3002" s="33">
        <v>2</v>
      </c>
      <c r="F3002" s="33"/>
      <c r="G3002" s="522"/>
      <c r="H3002" s="707"/>
      <c r="I3002" s="707">
        <f t="shared" si="92"/>
        <v>0</v>
      </c>
      <c r="J3002" s="707">
        <f t="shared" si="93"/>
        <v>0</v>
      </c>
      <c r="K3002" s="70"/>
    </row>
    <row r="3003" spans="1:11" ht="14.4">
      <c r="A3003" s="19" t="s">
        <v>103</v>
      </c>
      <c r="B3003" s="19" t="s">
        <v>81</v>
      </c>
      <c r="C3003" s="2">
        <v>12</v>
      </c>
      <c r="D3003" s="19" t="s">
        <v>11</v>
      </c>
      <c r="E3003" s="33">
        <v>2</v>
      </c>
      <c r="F3003" s="33"/>
      <c r="G3003" s="522"/>
      <c r="H3003" s="707"/>
      <c r="I3003" s="707">
        <f t="shared" si="92"/>
        <v>0</v>
      </c>
      <c r="J3003" s="707">
        <f t="shared" si="93"/>
        <v>0</v>
      </c>
      <c r="K3003" s="70"/>
    </row>
    <row r="3004" spans="1:11" ht="14.4">
      <c r="A3004" s="19" t="s">
        <v>103</v>
      </c>
      <c r="B3004" s="19" t="s">
        <v>56</v>
      </c>
      <c r="C3004" s="2">
        <v>1</v>
      </c>
      <c r="D3004" s="19" t="s">
        <v>593</v>
      </c>
      <c r="E3004" s="33">
        <v>1</v>
      </c>
      <c r="F3004" s="33"/>
      <c r="G3004" s="522"/>
      <c r="H3004" s="707"/>
      <c r="I3004" s="707">
        <f t="shared" si="92"/>
        <v>0</v>
      </c>
      <c r="J3004" s="707">
        <f t="shared" si="93"/>
        <v>0</v>
      </c>
      <c r="K3004" s="70"/>
    </row>
    <row r="3005" spans="1:11" ht="14.4">
      <c r="A3005" s="33" t="s">
        <v>2012</v>
      </c>
      <c r="B3005" s="33" t="s">
        <v>213</v>
      </c>
      <c r="C3005" s="33">
        <v>21</v>
      </c>
      <c r="D3005" s="222" t="s">
        <v>1938</v>
      </c>
      <c r="E3005" s="33">
        <v>2</v>
      </c>
      <c r="F3005" s="33"/>
      <c r="G3005" s="522"/>
      <c r="H3005" s="707">
        <v>0.5</v>
      </c>
      <c r="I3005" s="707">
        <f t="shared" si="92"/>
        <v>0.57499999999999996</v>
      </c>
      <c r="J3005" s="707">
        <f t="shared" si="93"/>
        <v>0.65</v>
      </c>
      <c r="K3005" s="70"/>
    </row>
    <row r="3006" spans="1:11" ht="14.4">
      <c r="A3006" s="59" t="s">
        <v>3242</v>
      </c>
      <c r="B3006" s="59" t="s">
        <v>150</v>
      </c>
      <c r="C3006" s="59">
        <v>10</v>
      </c>
      <c r="D3006" s="222" t="s">
        <v>3053</v>
      </c>
      <c r="E3006" s="354">
        <v>5</v>
      </c>
      <c r="F3006" s="354"/>
      <c r="G3006" s="688"/>
      <c r="H3006" s="707"/>
      <c r="I3006" s="707">
        <f t="shared" si="92"/>
        <v>0</v>
      </c>
      <c r="J3006" s="707">
        <f t="shared" si="93"/>
        <v>0</v>
      </c>
      <c r="K3006" s="70"/>
    </row>
    <row r="3007" spans="1:11" ht="14.4">
      <c r="A3007" s="2" t="s">
        <v>764</v>
      </c>
      <c r="B3007" s="2" t="s">
        <v>10</v>
      </c>
      <c r="C3007" s="2">
        <v>22</v>
      </c>
      <c r="D3007" s="19" t="s">
        <v>593</v>
      </c>
      <c r="E3007" s="33">
        <v>3</v>
      </c>
      <c r="F3007" s="33"/>
      <c r="G3007" s="522"/>
      <c r="H3007" s="707"/>
      <c r="I3007" s="707">
        <f t="shared" si="92"/>
        <v>0</v>
      </c>
      <c r="J3007" s="707">
        <f t="shared" si="93"/>
        <v>0</v>
      </c>
      <c r="K3007" s="70"/>
    </row>
    <row r="3008" spans="1:11" ht="14.4">
      <c r="A3008" s="33" t="s">
        <v>1286</v>
      </c>
      <c r="B3008" s="33" t="s">
        <v>147</v>
      </c>
      <c r="C3008" s="33">
        <v>7</v>
      </c>
      <c r="D3008" s="222" t="s">
        <v>1201</v>
      </c>
      <c r="E3008" s="33">
        <v>4</v>
      </c>
      <c r="F3008" s="33"/>
      <c r="G3008" s="522"/>
      <c r="H3008" s="707">
        <v>1.5</v>
      </c>
      <c r="I3008" s="707">
        <f t="shared" si="92"/>
        <v>1.7249999999999999</v>
      </c>
      <c r="J3008" s="707">
        <f t="shared" si="93"/>
        <v>1.9500000000000002</v>
      </c>
      <c r="K3008" s="70"/>
    </row>
    <row r="3009" spans="1:11" ht="14.4">
      <c r="A3009" s="33" t="s">
        <v>3406</v>
      </c>
      <c r="B3009" s="33" t="s">
        <v>147</v>
      </c>
      <c r="C3009" s="33">
        <v>150</v>
      </c>
      <c r="D3009" s="33" t="s">
        <v>3348</v>
      </c>
      <c r="E3009" s="33">
        <v>4</v>
      </c>
      <c r="F3009" s="33"/>
      <c r="G3009" s="522"/>
      <c r="H3009" s="707"/>
      <c r="I3009" s="707">
        <f t="shared" si="92"/>
        <v>0</v>
      </c>
      <c r="J3009" s="707">
        <f t="shared" si="93"/>
        <v>0</v>
      </c>
      <c r="K3009" s="70"/>
    </row>
    <row r="3010" spans="1:11" ht="14.4">
      <c r="A3010" s="235" t="s">
        <v>2676</v>
      </c>
      <c r="B3010" s="235" t="s">
        <v>10</v>
      </c>
      <c r="C3010" s="59">
        <v>30</v>
      </c>
      <c r="D3010" s="222" t="s">
        <v>2624</v>
      </c>
      <c r="E3010" s="354">
        <v>5</v>
      </c>
      <c r="F3010" s="354"/>
      <c r="G3010" s="688"/>
      <c r="H3010" s="707"/>
      <c r="I3010" s="707">
        <f t="shared" si="92"/>
        <v>0</v>
      </c>
      <c r="J3010" s="707">
        <f t="shared" si="93"/>
        <v>0</v>
      </c>
      <c r="K3010" s="70"/>
    </row>
    <row r="3011" spans="1:11" ht="14.4">
      <c r="A3011" s="19" t="s">
        <v>2676</v>
      </c>
      <c r="B3011" s="19" t="s">
        <v>81</v>
      </c>
      <c r="C3011" s="2">
        <v>2</v>
      </c>
      <c r="D3011" s="19" t="s">
        <v>3705</v>
      </c>
      <c r="E3011" s="33">
        <v>2</v>
      </c>
      <c r="F3011" s="33"/>
      <c r="G3011" s="522"/>
      <c r="H3011" s="707"/>
      <c r="I3011" s="707">
        <f t="shared" ref="I3011:I3074" si="94">H3011 * 1.15</f>
        <v>0</v>
      </c>
      <c r="J3011" s="707">
        <f t="shared" ref="J3011:J3074" si="95">H3011 * 1.3</f>
        <v>0</v>
      </c>
      <c r="K3011" s="55"/>
    </row>
    <row r="3012" spans="1:11" ht="14.4">
      <c r="A3012" s="2" t="s">
        <v>152</v>
      </c>
      <c r="B3012" s="19" t="s">
        <v>147</v>
      </c>
      <c r="C3012" s="2">
        <v>20</v>
      </c>
      <c r="D3012" s="19" t="s">
        <v>11</v>
      </c>
      <c r="E3012" s="33">
        <v>3</v>
      </c>
      <c r="F3012" s="33"/>
      <c r="G3012" s="522"/>
      <c r="H3012" s="707"/>
      <c r="I3012" s="707">
        <f t="shared" si="94"/>
        <v>0</v>
      </c>
      <c r="J3012" s="707">
        <f t="shared" si="95"/>
        <v>0</v>
      </c>
      <c r="K3012" s="70"/>
    </row>
    <row r="3013" spans="1:11" ht="14.4">
      <c r="A3013" s="222" t="s">
        <v>152</v>
      </c>
      <c r="B3013" s="222" t="s">
        <v>50</v>
      </c>
      <c r="C3013" s="33">
        <v>4</v>
      </c>
      <c r="D3013" s="222" t="s">
        <v>2094</v>
      </c>
      <c r="E3013" s="33">
        <v>5</v>
      </c>
      <c r="F3013" s="33"/>
      <c r="G3013" s="522"/>
      <c r="H3013" s="707"/>
      <c r="I3013" s="707">
        <f t="shared" si="94"/>
        <v>0</v>
      </c>
      <c r="J3013" s="707">
        <f t="shared" si="95"/>
        <v>0</v>
      </c>
      <c r="K3013" s="70"/>
    </row>
    <row r="3014" spans="1:11" ht="14.4">
      <c r="A3014" s="9" t="s">
        <v>152</v>
      </c>
      <c r="B3014" s="9" t="s">
        <v>10</v>
      </c>
      <c r="C3014" s="11">
        <v>2</v>
      </c>
      <c r="D3014" s="14" t="s">
        <v>3539</v>
      </c>
      <c r="E3014" s="15">
        <v>4</v>
      </c>
      <c r="F3014" s="15"/>
      <c r="G3014" s="684"/>
      <c r="H3014" s="707"/>
      <c r="I3014" s="707">
        <f t="shared" si="94"/>
        <v>0</v>
      </c>
      <c r="J3014" s="707">
        <f t="shared" si="95"/>
        <v>0</v>
      </c>
      <c r="K3014" s="70"/>
    </row>
    <row r="3015" spans="1:11" ht="14.4">
      <c r="A3015" s="19" t="s">
        <v>146</v>
      </c>
      <c r="B3015" s="19" t="s">
        <v>147</v>
      </c>
      <c r="C3015" s="2">
        <v>1</v>
      </c>
      <c r="D3015" s="19" t="s">
        <v>11</v>
      </c>
      <c r="E3015" s="33">
        <v>3</v>
      </c>
      <c r="F3015" s="33"/>
      <c r="G3015" s="522"/>
      <c r="H3015" s="707"/>
      <c r="I3015" s="707">
        <f t="shared" si="94"/>
        <v>0</v>
      </c>
      <c r="J3015" s="707">
        <f t="shared" si="95"/>
        <v>0</v>
      </c>
      <c r="K3015" s="70"/>
    </row>
    <row r="3016" spans="1:11" ht="14.4">
      <c r="A3016" s="9" t="s">
        <v>146</v>
      </c>
      <c r="B3016" s="9" t="s">
        <v>10</v>
      </c>
      <c r="C3016" s="11">
        <v>4</v>
      </c>
      <c r="D3016" s="222" t="s">
        <v>1548</v>
      </c>
      <c r="E3016" s="33">
        <v>5</v>
      </c>
      <c r="F3016" s="33"/>
      <c r="G3016" s="522"/>
      <c r="H3016" s="707"/>
      <c r="I3016" s="707">
        <f t="shared" si="94"/>
        <v>0</v>
      </c>
      <c r="J3016" s="707">
        <f t="shared" si="95"/>
        <v>0</v>
      </c>
      <c r="K3016" s="70"/>
    </row>
    <row r="3017" spans="1:11" ht="14.4">
      <c r="A3017" s="11" t="s">
        <v>146</v>
      </c>
      <c r="B3017" s="9" t="s">
        <v>10</v>
      </c>
      <c r="C3017" s="11">
        <v>2</v>
      </c>
      <c r="D3017" s="14" t="s">
        <v>3539</v>
      </c>
      <c r="E3017" s="15">
        <v>4</v>
      </c>
      <c r="F3017" s="15"/>
      <c r="G3017" s="684"/>
      <c r="H3017" s="707"/>
      <c r="I3017" s="707">
        <f t="shared" si="94"/>
        <v>0</v>
      </c>
      <c r="J3017" s="707">
        <f t="shared" si="95"/>
        <v>0</v>
      </c>
      <c r="K3017" s="70"/>
    </row>
    <row r="3018" spans="1:11" ht="14.4">
      <c r="A3018" s="2" t="s">
        <v>3720</v>
      </c>
      <c r="B3018" s="2" t="s">
        <v>81</v>
      </c>
      <c r="C3018" s="2">
        <v>6</v>
      </c>
      <c r="D3018" s="2" t="s">
        <v>3705</v>
      </c>
      <c r="E3018" s="33">
        <v>2</v>
      </c>
      <c r="F3018" s="33"/>
      <c r="G3018" s="522"/>
      <c r="H3018" s="707"/>
      <c r="I3018" s="707">
        <f t="shared" si="94"/>
        <v>0</v>
      </c>
      <c r="J3018" s="707">
        <f t="shared" si="95"/>
        <v>0</v>
      </c>
      <c r="K3018" s="55"/>
    </row>
    <row r="3019" spans="1:11" ht="15.6">
      <c r="A3019" s="74" t="s">
        <v>304</v>
      </c>
      <c r="B3019" s="74" t="s">
        <v>81</v>
      </c>
      <c r="C3019" s="74">
        <v>146</v>
      </c>
      <c r="D3019" s="33" t="s">
        <v>1372</v>
      </c>
      <c r="E3019" s="33">
        <v>5</v>
      </c>
      <c r="F3019" s="33"/>
      <c r="G3019" s="522"/>
      <c r="H3019" s="707"/>
      <c r="I3019" s="707">
        <f t="shared" si="94"/>
        <v>0</v>
      </c>
      <c r="J3019" s="707">
        <f t="shared" si="95"/>
        <v>0</v>
      </c>
      <c r="K3019" s="70"/>
    </row>
    <row r="3020" spans="1:11" ht="14.4">
      <c r="A3020" s="222" t="s">
        <v>304</v>
      </c>
      <c r="B3020" s="222" t="s">
        <v>81</v>
      </c>
      <c r="C3020" s="33">
        <v>18</v>
      </c>
      <c r="D3020" s="222" t="s">
        <v>2276</v>
      </c>
      <c r="E3020" s="33">
        <v>1</v>
      </c>
      <c r="F3020" s="33"/>
      <c r="G3020" s="522"/>
      <c r="H3020" s="707"/>
      <c r="I3020" s="707">
        <f t="shared" si="94"/>
        <v>0</v>
      </c>
      <c r="J3020" s="707">
        <f t="shared" si="95"/>
        <v>0</v>
      </c>
      <c r="K3020" s="70"/>
    </row>
    <row r="3021" spans="1:11" ht="14.4">
      <c r="A3021" s="19" t="s">
        <v>3721</v>
      </c>
      <c r="B3021" s="19" t="s">
        <v>81</v>
      </c>
      <c r="C3021" s="2">
        <v>2</v>
      </c>
      <c r="D3021" s="19" t="s">
        <v>3705</v>
      </c>
      <c r="E3021" s="33">
        <v>2</v>
      </c>
      <c r="F3021" s="33"/>
      <c r="G3021" s="522"/>
      <c r="H3021" s="707"/>
      <c r="I3021" s="707">
        <f t="shared" si="94"/>
        <v>0</v>
      </c>
      <c r="J3021" s="707">
        <f t="shared" si="95"/>
        <v>0</v>
      </c>
      <c r="K3021" s="55"/>
    </row>
    <row r="3022" spans="1:11" ht="14.4">
      <c r="A3022" s="222" t="s">
        <v>323</v>
      </c>
      <c r="B3022" s="222" t="s">
        <v>56</v>
      </c>
      <c r="C3022" s="33">
        <v>21</v>
      </c>
      <c r="D3022" s="19" t="s">
        <v>274</v>
      </c>
      <c r="E3022" s="33">
        <v>2</v>
      </c>
      <c r="F3022" s="33"/>
      <c r="G3022" s="522"/>
      <c r="H3022" s="707"/>
      <c r="I3022" s="707">
        <f t="shared" si="94"/>
        <v>0</v>
      </c>
      <c r="J3022" s="707">
        <f t="shared" si="95"/>
        <v>0</v>
      </c>
      <c r="K3022" s="70"/>
    </row>
    <row r="3023" spans="1:11" ht="15.6">
      <c r="A3023" s="431" t="s">
        <v>323</v>
      </c>
      <c r="B3023" s="431" t="s">
        <v>10</v>
      </c>
      <c r="C3023" s="74">
        <v>2</v>
      </c>
      <c r="D3023" s="222" t="s">
        <v>2191</v>
      </c>
      <c r="E3023" s="33">
        <v>5</v>
      </c>
      <c r="F3023" s="33"/>
      <c r="G3023" s="522"/>
      <c r="H3023" s="707">
        <v>4</v>
      </c>
      <c r="I3023" s="707">
        <f t="shared" si="94"/>
        <v>4.5999999999999996</v>
      </c>
      <c r="J3023" s="707">
        <f t="shared" si="95"/>
        <v>5.2</v>
      </c>
      <c r="K3023" s="70"/>
    </row>
    <row r="3024" spans="1:11" ht="14.4">
      <c r="A3024" s="19" t="s">
        <v>375</v>
      </c>
      <c r="B3024" s="19" t="s">
        <v>10</v>
      </c>
      <c r="C3024" s="2">
        <v>2</v>
      </c>
      <c r="D3024" s="19" t="s">
        <v>274</v>
      </c>
      <c r="E3024" s="33">
        <v>2</v>
      </c>
      <c r="F3024" s="33"/>
      <c r="G3024" s="522"/>
      <c r="H3024" s="707"/>
      <c r="I3024" s="707">
        <f t="shared" si="94"/>
        <v>0</v>
      </c>
      <c r="J3024" s="707">
        <f t="shared" si="95"/>
        <v>0</v>
      </c>
      <c r="K3024" s="70"/>
    </row>
    <row r="3025" spans="1:11" ht="15" customHeight="1">
      <c r="A3025" s="74" t="s">
        <v>1299</v>
      </c>
      <c r="B3025" s="74" t="s">
        <v>10</v>
      </c>
      <c r="C3025" s="74">
        <v>92</v>
      </c>
      <c r="D3025" s="222" t="s">
        <v>1201</v>
      </c>
      <c r="E3025" s="33">
        <v>5</v>
      </c>
      <c r="F3025" s="33"/>
      <c r="G3025" s="522"/>
      <c r="H3025" s="707"/>
      <c r="I3025" s="707">
        <f t="shared" si="94"/>
        <v>0</v>
      </c>
      <c r="J3025" s="707">
        <f t="shared" si="95"/>
        <v>0</v>
      </c>
      <c r="K3025" s="70" t="s">
        <v>51</v>
      </c>
    </row>
    <row r="3026" spans="1:11" ht="24" customHeight="1">
      <c r="A3026" s="2" t="s">
        <v>709</v>
      </c>
      <c r="B3026" s="2" t="s">
        <v>14</v>
      </c>
      <c r="C3026" s="2">
        <v>4</v>
      </c>
      <c r="D3026" s="2" t="s">
        <v>593</v>
      </c>
      <c r="E3026" s="33">
        <v>3</v>
      </c>
      <c r="F3026" s="33"/>
      <c r="G3026" s="522"/>
      <c r="H3026" s="707">
        <v>2</v>
      </c>
      <c r="I3026" s="707">
        <f t="shared" si="94"/>
        <v>2.2999999999999998</v>
      </c>
      <c r="J3026" s="707">
        <f t="shared" si="95"/>
        <v>2.6</v>
      </c>
      <c r="K3026" s="70"/>
    </row>
    <row r="3027" spans="1:11" ht="24" hidden="1" customHeight="1">
      <c r="A3027" s="9" t="s">
        <v>2889</v>
      </c>
      <c r="B3027" s="9" t="s">
        <v>2890</v>
      </c>
      <c r="C3027" s="11">
        <v>0</v>
      </c>
      <c r="D3027" s="14" t="s">
        <v>2882</v>
      </c>
      <c r="E3027" s="15">
        <v>2</v>
      </c>
      <c r="F3027" s="15"/>
      <c r="G3027" s="15"/>
      <c r="H3027" s="56">
        <v>10</v>
      </c>
      <c r="I3027" s="56">
        <f t="shared" si="94"/>
        <v>11.5</v>
      </c>
      <c r="J3027" s="56">
        <f t="shared" si="95"/>
        <v>13</v>
      </c>
      <c r="K3027" s="70" t="s">
        <v>2891</v>
      </c>
    </row>
    <row r="3028" spans="1:11" ht="24" customHeight="1">
      <c r="A3028" s="74" t="s">
        <v>2465</v>
      </c>
      <c r="B3028" s="74" t="s">
        <v>10</v>
      </c>
      <c r="C3028" s="74">
        <v>2</v>
      </c>
      <c r="D3028" s="33" t="s">
        <v>2363</v>
      </c>
      <c r="E3028" s="33">
        <v>5</v>
      </c>
      <c r="F3028" s="33"/>
      <c r="G3028" s="522"/>
      <c r="H3028" s="707">
        <v>1</v>
      </c>
      <c r="I3028" s="707">
        <f t="shared" si="94"/>
        <v>1.1499999999999999</v>
      </c>
      <c r="J3028" s="707">
        <f t="shared" si="95"/>
        <v>1.3</v>
      </c>
      <c r="K3028" s="70"/>
    </row>
    <row r="3029" spans="1:11" ht="24" customHeight="1">
      <c r="A3029" s="33" t="s">
        <v>1968</v>
      </c>
      <c r="B3029" s="33" t="s">
        <v>10</v>
      </c>
      <c r="C3029" s="33">
        <v>165</v>
      </c>
      <c r="D3029" s="33" t="s">
        <v>1938</v>
      </c>
      <c r="E3029" s="33">
        <v>1</v>
      </c>
      <c r="F3029" s="33"/>
      <c r="G3029" s="522"/>
      <c r="H3029" s="707">
        <v>3</v>
      </c>
      <c r="I3029" s="707">
        <f t="shared" si="94"/>
        <v>3.4499999999999997</v>
      </c>
      <c r="J3029" s="707">
        <f t="shared" si="95"/>
        <v>3.9000000000000004</v>
      </c>
      <c r="K3029" s="70" t="s">
        <v>51</v>
      </c>
    </row>
    <row r="3030" spans="1:11" ht="24" customHeight="1">
      <c r="A3030" s="33" t="s">
        <v>1968</v>
      </c>
      <c r="B3030" s="33" t="s">
        <v>10</v>
      </c>
      <c r="C3030" s="33">
        <v>158</v>
      </c>
      <c r="D3030" s="33" t="s">
        <v>2363</v>
      </c>
      <c r="E3030" s="33">
        <v>3</v>
      </c>
      <c r="F3030" s="33"/>
      <c r="G3030" s="522"/>
      <c r="H3030" s="707">
        <v>3</v>
      </c>
      <c r="I3030" s="707">
        <f t="shared" si="94"/>
        <v>3.4499999999999997</v>
      </c>
      <c r="J3030" s="707">
        <f t="shared" si="95"/>
        <v>3.9000000000000004</v>
      </c>
      <c r="K3030" s="70" t="s">
        <v>1062</v>
      </c>
    </row>
    <row r="3031" spans="1:11" ht="24" customHeight="1">
      <c r="A3031" s="2" t="s">
        <v>3552</v>
      </c>
      <c r="B3031" s="2" t="s">
        <v>10</v>
      </c>
      <c r="C3031" s="2">
        <v>100</v>
      </c>
      <c r="D3031" s="2" t="s">
        <v>3548</v>
      </c>
      <c r="E3031" s="33">
        <v>5</v>
      </c>
      <c r="F3031" s="33"/>
      <c r="G3031" s="522"/>
      <c r="H3031" s="707"/>
      <c r="I3031" s="707">
        <f t="shared" si="94"/>
        <v>0</v>
      </c>
      <c r="J3031" s="707">
        <f t="shared" si="95"/>
        <v>0</v>
      </c>
      <c r="K3031" s="70"/>
    </row>
    <row r="3032" spans="1:11" ht="24" customHeight="1">
      <c r="A3032" s="2" t="s">
        <v>756</v>
      </c>
      <c r="B3032" s="2" t="s">
        <v>10</v>
      </c>
      <c r="C3032" s="2">
        <v>1</v>
      </c>
      <c r="D3032" s="2" t="s">
        <v>593</v>
      </c>
      <c r="E3032" s="33">
        <v>3</v>
      </c>
      <c r="F3032" s="33"/>
      <c r="G3032" s="522"/>
      <c r="H3032" s="707">
        <v>1</v>
      </c>
      <c r="I3032" s="707">
        <f t="shared" si="94"/>
        <v>1.1499999999999999</v>
      </c>
      <c r="J3032" s="707">
        <f t="shared" si="95"/>
        <v>1.3</v>
      </c>
      <c r="K3032" s="70"/>
    </row>
    <row r="3033" spans="1:11" ht="24" customHeight="1">
      <c r="A3033" s="33" t="s">
        <v>498</v>
      </c>
      <c r="B3033" s="33" t="s">
        <v>10</v>
      </c>
      <c r="C3033" s="33">
        <v>30</v>
      </c>
      <c r="D3033" s="33" t="s">
        <v>1938</v>
      </c>
      <c r="E3033" s="33">
        <v>1</v>
      </c>
      <c r="F3033" s="33"/>
      <c r="G3033" s="522"/>
      <c r="H3033" s="707">
        <v>1</v>
      </c>
      <c r="I3033" s="707">
        <f t="shared" si="94"/>
        <v>1.1499999999999999</v>
      </c>
      <c r="J3033" s="707">
        <f t="shared" si="95"/>
        <v>1.3</v>
      </c>
      <c r="K3033" s="70" t="s">
        <v>1970</v>
      </c>
    </row>
    <row r="3034" spans="1:11" ht="24" customHeight="1">
      <c r="A3034" s="33" t="s">
        <v>498</v>
      </c>
      <c r="B3034" s="33" t="s">
        <v>50</v>
      </c>
      <c r="C3034" s="33">
        <v>35</v>
      </c>
      <c r="D3034" s="33" t="s">
        <v>2191</v>
      </c>
      <c r="E3034" s="33">
        <v>3</v>
      </c>
      <c r="F3034" s="33"/>
      <c r="G3034" s="522"/>
      <c r="H3034" s="707">
        <v>1</v>
      </c>
      <c r="I3034" s="707">
        <f t="shared" si="94"/>
        <v>1.1499999999999999</v>
      </c>
      <c r="J3034" s="707">
        <f t="shared" si="95"/>
        <v>1.3</v>
      </c>
      <c r="K3034" s="70" t="s">
        <v>1970</v>
      </c>
    </row>
    <row r="3035" spans="1:11" ht="24" customHeight="1">
      <c r="A3035" s="2" t="s">
        <v>498</v>
      </c>
      <c r="B3035" s="2" t="s">
        <v>56</v>
      </c>
      <c r="C3035" s="2">
        <v>2</v>
      </c>
      <c r="D3035" s="2" t="s">
        <v>274</v>
      </c>
      <c r="E3035" s="33">
        <v>3</v>
      </c>
      <c r="F3035" s="33"/>
      <c r="G3035" s="522"/>
      <c r="H3035" s="707">
        <v>1</v>
      </c>
      <c r="I3035" s="707">
        <f t="shared" si="94"/>
        <v>1.1499999999999999</v>
      </c>
      <c r="J3035" s="707">
        <f t="shared" si="95"/>
        <v>1.3</v>
      </c>
      <c r="K3035" s="70"/>
    </row>
    <row r="3036" spans="1:11" ht="24" customHeight="1">
      <c r="A3036" s="59" t="s">
        <v>753</v>
      </c>
      <c r="B3036" s="59" t="s">
        <v>10</v>
      </c>
      <c r="C3036" s="59">
        <v>74</v>
      </c>
      <c r="D3036" s="33" t="s">
        <v>3027</v>
      </c>
      <c r="E3036" s="33">
        <v>1</v>
      </c>
      <c r="F3036" s="33"/>
      <c r="G3036" s="522"/>
      <c r="H3036" s="707"/>
      <c r="I3036" s="707">
        <f t="shared" si="94"/>
        <v>0</v>
      </c>
      <c r="J3036" s="707">
        <f t="shared" si="95"/>
        <v>0</v>
      </c>
      <c r="K3036" s="70" t="s">
        <v>51</v>
      </c>
    </row>
    <row r="3037" spans="1:11" ht="21.6" customHeight="1">
      <c r="A3037" s="2" t="s">
        <v>753</v>
      </c>
      <c r="B3037" s="2" t="s">
        <v>10</v>
      </c>
      <c r="C3037" s="2">
        <v>2</v>
      </c>
      <c r="D3037" s="676" t="s">
        <v>593</v>
      </c>
      <c r="E3037" s="33">
        <v>3</v>
      </c>
      <c r="F3037" s="33"/>
      <c r="G3037" s="522"/>
      <c r="H3037" s="707">
        <v>1</v>
      </c>
      <c r="I3037" s="707">
        <f t="shared" si="94"/>
        <v>1.1499999999999999</v>
      </c>
      <c r="J3037" s="707">
        <f t="shared" si="95"/>
        <v>1.3</v>
      </c>
      <c r="K3037" s="70"/>
    </row>
    <row r="3038" spans="1:11" ht="21.6" customHeight="1">
      <c r="A3038" s="2" t="s">
        <v>753</v>
      </c>
      <c r="B3038" s="2" t="s">
        <v>10</v>
      </c>
      <c r="C3038" s="2">
        <v>3</v>
      </c>
      <c r="D3038" s="676" t="s">
        <v>593</v>
      </c>
      <c r="E3038" s="33">
        <v>3</v>
      </c>
      <c r="F3038" s="33"/>
      <c r="G3038" s="522"/>
      <c r="H3038" s="707">
        <v>1</v>
      </c>
      <c r="I3038" s="707">
        <f t="shared" si="94"/>
        <v>1.1499999999999999</v>
      </c>
      <c r="J3038" s="707">
        <f t="shared" si="95"/>
        <v>1.3</v>
      </c>
      <c r="K3038" s="70"/>
    </row>
    <row r="3039" spans="1:11" ht="24" customHeight="1">
      <c r="A3039" s="2" t="s">
        <v>377</v>
      </c>
      <c r="B3039" s="2" t="s">
        <v>10</v>
      </c>
      <c r="C3039" s="2">
        <v>1</v>
      </c>
      <c r="D3039" s="676" t="s">
        <v>274</v>
      </c>
      <c r="E3039" s="33">
        <v>2</v>
      </c>
      <c r="F3039" s="33"/>
      <c r="G3039" s="522"/>
      <c r="H3039" s="707"/>
      <c r="I3039" s="707">
        <f t="shared" si="94"/>
        <v>0</v>
      </c>
      <c r="J3039" s="707">
        <f t="shared" si="95"/>
        <v>0</v>
      </c>
      <c r="K3039" s="70"/>
    </row>
    <row r="3040" spans="1:11" ht="24" customHeight="1">
      <c r="A3040" s="2" t="s">
        <v>377</v>
      </c>
      <c r="B3040" s="2" t="s">
        <v>10</v>
      </c>
      <c r="C3040" s="2">
        <v>1</v>
      </c>
      <c r="D3040" s="676" t="s">
        <v>593</v>
      </c>
      <c r="E3040" s="33">
        <v>3</v>
      </c>
      <c r="F3040" s="33"/>
      <c r="G3040" s="522"/>
      <c r="H3040" s="707"/>
      <c r="I3040" s="707">
        <f t="shared" si="94"/>
        <v>0</v>
      </c>
      <c r="J3040" s="707">
        <f t="shared" si="95"/>
        <v>0</v>
      </c>
      <c r="K3040" s="70"/>
    </row>
    <row r="3041" spans="1:11" ht="14.4">
      <c r="A3041" s="2" t="s">
        <v>763</v>
      </c>
      <c r="B3041" s="2" t="s">
        <v>10</v>
      </c>
      <c r="C3041" s="2">
        <v>2</v>
      </c>
      <c r="D3041" s="676" t="s">
        <v>593</v>
      </c>
      <c r="E3041" s="33">
        <v>3</v>
      </c>
      <c r="F3041" s="33"/>
      <c r="G3041" s="522"/>
      <c r="H3041" s="707"/>
      <c r="I3041" s="707">
        <f t="shared" si="94"/>
        <v>0</v>
      </c>
      <c r="J3041" s="707">
        <f t="shared" si="95"/>
        <v>0</v>
      </c>
      <c r="K3041" s="70"/>
    </row>
    <row r="3042" spans="1:11" ht="14.4">
      <c r="A3042" s="2" t="s">
        <v>376</v>
      </c>
      <c r="B3042" s="2" t="s">
        <v>10</v>
      </c>
      <c r="C3042" s="2">
        <v>5</v>
      </c>
      <c r="D3042" s="676" t="s">
        <v>274</v>
      </c>
      <c r="E3042" s="33">
        <v>2</v>
      </c>
      <c r="F3042" s="33"/>
      <c r="G3042" s="522"/>
      <c r="H3042" s="707"/>
      <c r="I3042" s="707">
        <f t="shared" si="94"/>
        <v>0</v>
      </c>
      <c r="J3042" s="707">
        <f t="shared" si="95"/>
        <v>0</v>
      </c>
      <c r="K3042" s="70"/>
    </row>
    <row r="3043" spans="1:11" ht="14.4">
      <c r="A3043" s="2" t="s">
        <v>769</v>
      </c>
      <c r="B3043" s="2" t="s">
        <v>10</v>
      </c>
      <c r="C3043" s="2">
        <v>1</v>
      </c>
      <c r="D3043" s="676" t="s">
        <v>593</v>
      </c>
      <c r="E3043" s="33">
        <v>3</v>
      </c>
      <c r="F3043" s="33"/>
      <c r="G3043" s="522"/>
      <c r="H3043" s="707"/>
      <c r="I3043" s="707">
        <f t="shared" si="94"/>
        <v>0</v>
      </c>
      <c r="J3043" s="707">
        <f t="shared" si="95"/>
        <v>0</v>
      </c>
      <c r="K3043" s="70"/>
    </row>
    <row r="3044" spans="1:11" ht="14.4">
      <c r="A3044" s="33" t="s">
        <v>292</v>
      </c>
      <c r="B3044" s="33" t="s">
        <v>10</v>
      </c>
      <c r="C3044" s="33">
        <v>12</v>
      </c>
      <c r="D3044" s="664" t="s">
        <v>992</v>
      </c>
      <c r="E3044" s="33">
        <v>4</v>
      </c>
      <c r="F3044" s="33"/>
      <c r="G3044" s="522"/>
      <c r="H3044" s="707"/>
      <c r="I3044" s="707">
        <f t="shared" si="94"/>
        <v>0</v>
      </c>
      <c r="J3044" s="707">
        <f t="shared" si="95"/>
        <v>0</v>
      </c>
      <c r="K3044" s="70" t="s">
        <v>1062</v>
      </c>
    </row>
    <row r="3045" spans="1:11" ht="14.4">
      <c r="A3045" s="2" t="s">
        <v>292</v>
      </c>
      <c r="B3045" s="2" t="s">
        <v>10</v>
      </c>
      <c r="C3045" s="2">
        <v>3</v>
      </c>
      <c r="D3045" s="676" t="s">
        <v>274</v>
      </c>
      <c r="E3045" s="33">
        <v>1</v>
      </c>
      <c r="F3045" s="33"/>
      <c r="G3045" s="522"/>
      <c r="H3045" s="707"/>
      <c r="I3045" s="707">
        <f t="shared" si="94"/>
        <v>0</v>
      </c>
      <c r="J3045" s="707">
        <f t="shared" si="95"/>
        <v>0</v>
      </c>
      <c r="K3045" s="70"/>
    </row>
    <row r="3046" spans="1:11" ht="15.6">
      <c r="A3046" s="74" t="s">
        <v>1306</v>
      </c>
      <c r="B3046" s="74" t="s">
        <v>10</v>
      </c>
      <c r="C3046" s="74">
        <v>11</v>
      </c>
      <c r="D3046" s="664" t="s">
        <v>1201</v>
      </c>
      <c r="E3046" s="33">
        <v>5</v>
      </c>
      <c r="F3046" s="33"/>
      <c r="G3046" s="522"/>
      <c r="H3046" s="707"/>
      <c r="I3046" s="707">
        <f t="shared" si="94"/>
        <v>0</v>
      </c>
      <c r="J3046" s="707">
        <f t="shared" si="95"/>
        <v>0</v>
      </c>
      <c r="K3046" s="70"/>
    </row>
    <row r="3047" spans="1:11" ht="24" customHeight="1">
      <c r="A3047" s="2" t="s">
        <v>387</v>
      </c>
      <c r="B3047" s="2" t="s">
        <v>10</v>
      </c>
      <c r="C3047" s="2">
        <v>2</v>
      </c>
      <c r="D3047" s="676" t="s">
        <v>274</v>
      </c>
      <c r="E3047" s="33">
        <v>2</v>
      </c>
      <c r="F3047" s="33"/>
      <c r="G3047" s="522"/>
      <c r="H3047" s="707"/>
      <c r="I3047" s="707">
        <f t="shared" si="94"/>
        <v>0</v>
      </c>
      <c r="J3047" s="707">
        <f t="shared" si="95"/>
        <v>0</v>
      </c>
      <c r="K3047" s="70"/>
    </row>
    <row r="3048" spans="1:11" ht="24" customHeight="1">
      <c r="A3048" s="74" t="s">
        <v>2081</v>
      </c>
      <c r="B3048" s="74" t="s">
        <v>10</v>
      </c>
      <c r="C3048" s="74">
        <v>20</v>
      </c>
      <c r="D3048" s="664" t="s">
        <v>2026</v>
      </c>
      <c r="E3048" s="33">
        <v>5</v>
      </c>
      <c r="F3048" s="33"/>
      <c r="G3048" s="522"/>
      <c r="H3048" s="707">
        <v>1</v>
      </c>
      <c r="I3048" s="707">
        <f t="shared" si="94"/>
        <v>1.1499999999999999</v>
      </c>
      <c r="J3048" s="707">
        <f t="shared" si="95"/>
        <v>1.3</v>
      </c>
      <c r="K3048" s="70"/>
    </row>
    <row r="3049" spans="1:11" ht="24" customHeight="1">
      <c r="A3049" s="74" t="s">
        <v>2086</v>
      </c>
      <c r="B3049" s="74" t="s">
        <v>50</v>
      </c>
      <c r="C3049" s="74">
        <v>20</v>
      </c>
      <c r="D3049" s="664" t="s">
        <v>2026</v>
      </c>
      <c r="E3049" s="33">
        <v>5</v>
      </c>
      <c r="F3049" s="33"/>
      <c r="G3049" s="522"/>
      <c r="H3049" s="707">
        <v>8</v>
      </c>
      <c r="I3049" s="707">
        <f t="shared" si="94"/>
        <v>9.1999999999999993</v>
      </c>
      <c r="J3049" s="707">
        <f t="shared" si="95"/>
        <v>10.4</v>
      </c>
      <c r="K3049" s="70"/>
    </row>
    <row r="3050" spans="1:11" ht="24" customHeight="1">
      <c r="A3050" s="74" t="s">
        <v>2093</v>
      </c>
      <c r="B3050" s="74" t="s">
        <v>10</v>
      </c>
      <c r="C3050" s="74">
        <v>20</v>
      </c>
      <c r="D3050" s="664" t="s">
        <v>2094</v>
      </c>
      <c r="E3050" s="74">
        <v>5</v>
      </c>
      <c r="F3050" s="74"/>
      <c r="G3050" s="696"/>
      <c r="H3050" s="707">
        <v>100</v>
      </c>
      <c r="I3050" s="707">
        <f t="shared" si="94"/>
        <v>114.99999999999999</v>
      </c>
      <c r="J3050" s="707">
        <f t="shared" si="95"/>
        <v>130</v>
      </c>
      <c r="K3050" s="70"/>
    </row>
    <row r="3051" spans="1:11" ht="24" customHeight="1">
      <c r="A3051" s="33" t="s">
        <v>1984</v>
      </c>
      <c r="B3051" s="33" t="s">
        <v>10</v>
      </c>
      <c r="C3051" s="33">
        <v>1</v>
      </c>
      <c r="D3051" s="664" t="s">
        <v>1938</v>
      </c>
      <c r="E3051" s="33">
        <v>2</v>
      </c>
      <c r="F3051" s="33"/>
      <c r="G3051" s="522"/>
      <c r="H3051" s="707"/>
      <c r="I3051" s="707">
        <f t="shared" si="94"/>
        <v>0</v>
      </c>
      <c r="J3051" s="707">
        <f t="shared" si="95"/>
        <v>0</v>
      </c>
      <c r="K3051" s="70" t="s">
        <v>51</v>
      </c>
    </row>
    <row r="3052" spans="1:11" ht="24" customHeight="1">
      <c r="A3052" s="3" t="s">
        <v>1984</v>
      </c>
      <c r="B3052" s="3" t="s">
        <v>10</v>
      </c>
      <c r="C3052" s="3">
        <v>1</v>
      </c>
      <c r="D3052" s="681" t="s">
        <v>2802</v>
      </c>
      <c r="E3052" s="33">
        <v>2</v>
      </c>
      <c r="F3052" s="33"/>
      <c r="G3052" s="522"/>
      <c r="H3052" s="707"/>
      <c r="I3052" s="707">
        <f t="shared" si="94"/>
        <v>0</v>
      </c>
      <c r="J3052" s="707">
        <f t="shared" si="95"/>
        <v>0</v>
      </c>
      <c r="K3052" s="70"/>
    </row>
    <row r="3053" spans="1:11" ht="24" customHeight="1">
      <c r="A3053" s="33" t="s">
        <v>1984</v>
      </c>
      <c r="B3053" s="33" t="s">
        <v>10</v>
      </c>
      <c r="C3053" s="33">
        <v>28</v>
      </c>
      <c r="D3053" s="223" t="s">
        <v>2947</v>
      </c>
      <c r="E3053" s="33">
        <v>3</v>
      </c>
      <c r="F3053" s="33"/>
      <c r="G3053" s="522"/>
      <c r="H3053" s="707"/>
      <c r="I3053" s="707">
        <f t="shared" si="94"/>
        <v>0</v>
      </c>
      <c r="J3053" s="707">
        <f t="shared" si="95"/>
        <v>0</v>
      </c>
      <c r="K3053" s="70"/>
    </row>
    <row r="3054" spans="1:11" ht="24" customHeight="1">
      <c r="A3054" s="33" t="s">
        <v>2654</v>
      </c>
      <c r="B3054" s="33" t="s">
        <v>10</v>
      </c>
      <c r="C3054" s="33">
        <v>10</v>
      </c>
      <c r="D3054" s="664" t="s">
        <v>2624</v>
      </c>
      <c r="E3054" s="33">
        <v>4</v>
      </c>
      <c r="F3054" s="33"/>
      <c r="G3054" s="522"/>
      <c r="H3054" s="707"/>
      <c r="I3054" s="707">
        <f t="shared" si="94"/>
        <v>0</v>
      </c>
      <c r="J3054" s="707">
        <f t="shared" si="95"/>
        <v>0</v>
      </c>
      <c r="K3054" s="70" t="s">
        <v>51</v>
      </c>
    </row>
    <row r="3055" spans="1:11" ht="24" customHeight="1">
      <c r="A3055" s="74" t="s">
        <v>1462</v>
      </c>
      <c r="B3055" s="74" t="s">
        <v>10</v>
      </c>
      <c r="C3055" s="74">
        <v>3</v>
      </c>
      <c r="D3055" s="664" t="s">
        <v>1372</v>
      </c>
      <c r="E3055" s="33">
        <v>5</v>
      </c>
      <c r="F3055" s="33"/>
      <c r="G3055" s="522"/>
      <c r="H3055" s="707"/>
      <c r="I3055" s="707">
        <f t="shared" si="94"/>
        <v>0</v>
      </c>
      <c r="J3055" s="707">
        <f t="shared" si="95"/>
        <v>0</v>
      </c>
      <c r="K3055" s="70"/>
    </row>
    <row r="3056" spans="1:11" ht="24" customHeight="1">
      <c r="A3056" s="2" t="s">
        <v>3690</v>
      </c>
      <c r="B3056" s="2" t="s">
        <v>10</v>
      </c>
      <c r="C3056" s="2">
        <v>1</v>
      </c>
      <c r="D3056" s="676" t="s">
        <v>3671</v>
      </c>
      <c r="E3056" s="33">
        <v>2</v>
      </c>
      <c r="F3056" s="33"/>
      <c r="G3056" s="522"/>
      <c r="H3056" s="707"/>
      <c r="I3056" s="707">
        <f t="shared" si="94"/>
        <v>0</v>
      </c>
      <c r="J3056" s="707">
        <f t="shared" si="95"/>
        <v>0</v>
      </c>
      <c r="K3056" s="70"/>
    </row>
    <row r="3057" spans="1:11" ht="24" customHeight="1">
      <c r="A3057" s="74" t="s">
        <v>1300</v>
      </c>
      <c r="B3057" s="74" t="s">
        <v>50</v>
      </c>
      <c r="C3057" s="74">
        <v>2</v>
      </c>
      <c r="D3057" s="664" t="s">
        <v>1201</v>
      </c>
      <c r="E3057" s="33">
        <v>5</v>
      </c>
      <c r="F3057" s="33"/>
      <c r="G3057" s="522"/>
      <c r="H3057" s="707">
        <v>5</v>
      </c>
      <c r="I3057" s="707">
        <f t="shared" si="94"/>
        <v>5.75</v>
      </c>
      <c r="J3057" s="707">
        <f t="shared" si="95"/>
        <v>6.5</v>
      </c>
      <c r="K3057" s="70"/>
    </row>
    <row r="3058" spans="1:11" ht="24" customHeight="1">
      <c r="A3058" s="2" t="s">
        <v>3698</v>
      </c>
      <c r="B3058" s="2" t="s">
        <v>10</v>
      </c>
      <c r="C3058" s="2">
        <v>2</v>
      </c>
      <c r="D3058" s="676" t="s">
        <v>3671</v>
      </c>
      <c r="E3058" s="33">
        <v>2</v>
      </c>
      <c r="F3058" s="33"/>
      <c r="G3058" s="522"/>
      <c r="H3058" s="707"/>
      <c r="I3058" s="707">
        <f t="shared" si="94"/>
        <v>0</v>
      </c>
      <c r="J3058" s="707">
        <f t="shared" si="95"/>
        <v>0</v>
      </c>
      <c r="K3058" s="70"/>
    </row>
    <row r="3059" spans="1:11" ht="24" customHeight="1">
      <c r="A3059" s="2" t="s">
        <v>604</v>
      </c>
      <c r="B3059" s="2" t="s">
        <v>10</v>
      </c>
      <c r="C3059" s="2">
        <v>13</v>
      </c>
      <c r="D3059" s="676" t="s">
        <v>593</v>
      </c>
      <c r="E3059" s="33">
        <v>1</v>
      </c>
      <c r="F3059" s="33"/>
      <c r="G3059" s="522"/>
      <c r="H3059" s="707">
        <v>4</v>
      </c>
      <c r="I3059" s="707">
        <f t="shared" si="94"/>
        <v>4.5999999999999996</v>
      </c>
      <c r="J3059" s="707">
        <f t="shared" si="95"/>
        <v>5.2</v>
      </c>
      <c r="K3059" s="70" t="s">
        <v>605</v>
      </c>
    </row>
    <row r="3060" spans="1:11" ht="24" customHeight="1">
      <c r="A3060" s="2" t="s">
        <v>604</v>
      </c>
      <c r="B3060" s="2" t="s">
        <v>10</v>
      </c>
      <c r="C3060" s="2">
        <v>2</v>
      </c>
      <c r="D3060" s="676" t="s">
        <v>3671</v>
      </c>
      <c r="E3060" s="33">
        <v>2</v>
      </c>
      <c r="F3060" s="33"/>
      <c r="G3060" s="522"/>
      <c r="H3060" s="707"/>
      <c r="I3060" s="707">
        <f t="shared" si="94"/>
        <v>0</v>
      </c>
      <c r="J3060" s="707">
        <f t="shared" si="95"/>
        <v>0</v>
      </c>
      <c r="K3060" s="70"/>
    </row>
    <row r="3061" spans="1:11" ht="24" customHeight="1">
      <c r="A3061" s="2" t="s">
        <v>604</v>
      </c>
      <c r="B3061" s="2" t="s">
        <v>10</v>
      </c>
      <c r="C3061" s="2">
        <v>3</v>
      </c>
      <c r="D3061" s="676" t="s">
        <v>3671</v>
      </c>
      <c r="E3061" s="33">
        <v>2</v>
      </c>
      <c r="F3061" s="33"/>
      <c r="G3061" s="522"/>
      <c r="H3061" s="707"/>
      <c r="I3061" s="707">
        <f t="shared" si="94"/>
        <v>0</v>
      </c>
      <c r="J3061" s="707">
        <f t="shared" si="95"/>
        <v>0</v>
      </c>
      <c r="K3061" s="70"/>
    </row>
    <row r="3062" spans="1:11" ht="30" customHeight="1">
      <c r="A3062" s="2" t="s">
        <v>604</v>
      </c>
      <c r="B3062" s="2" t="s">
        <v>10</v>
      </c>
      <c r="C3062" s="2">
        <v>3</v>
      </c>
      <c r="D3062" s="676" t="s">
        <v>3705</v>
      </c>
      <c r="E3062" s="33">
        <v>2</v>
      </c>
      <c r="F3062" s="33"/>
      <c r="G3062" s="522"/>
      <c r="H3062" s="707"/>
      <c r="I3062" s="707">
        <f t="shared" si="94"/>
        <v>0</v>
      </c>
      <c r="J3062" s="707">
        <f t="shared" si="95"/>
        <v>0</v>
      </c>
      <c r="K3062" s="55"/>
    </row>
    <row r="3063" spans="1:11" ht="24" customHeight="1">
      <c r="A3063" s="33" t="s">
        <v>1536</v>
      </c>
      <c r="B3063" s="33" t="s">
        <v>10</v>
      </c>
      <c r="C3063" s="33">
        <v>199</v>
      </c>
      <c r="D3063" s="664" t="s">
        <v>1494</v>
      </c>
      <c r="E3063" s="33">
        <v>2</v>
      </c>
      <c r="F3063" s="33"/>
      <c r="G3063" s="522"/>
      <c r="H3063" s="707">
        <v>20</v>
      </c>
      <c r="I3063" s="707">
        <f t="shared" si="94"/>
        <v>23</v>
      </c>
      <c r="J3063" s="707">
        <f t="shared" si="95"/>
        <v>26</v>
      </c>
      <c r="K3063" s="70" t="s">
        <v>51</v>
      </c>
    </row>
    <row r="3064" spans="1:11" ht="24" customHeight="1">
      <c r="A3064" s="33" t="s">
        <v>1536</v>
      </c>
      <c r="B3064" s="33" t="s">
        <v>10</v>
      </c>
      <c r="C3064" s="33">
        <v>25</v>
      </c>
      <c r="D3064" s="664" t="s">
        <v>2363</v>
      </c>
      <c r="E3064" s="33">
        <v>4</v>
      </c>
      <c r="F3064" s="33"/>
      <c r="G3064" s="522"/>
      <c r="H3064" s="707">
        <v>20</v>
      </c>
      <c r="I3064" s="707">
        <f t="shared" si="94"/>
        <v>23</v>
      </c>
      <c r="J3064" s="707">
        <f t="shared" si="95"/>
        <v>26</v>
      </c>
      <c r="K3064" s="70"/>
    </row>
    <row r="3065" spans="1:11" ht="24" customHeight="1">
      <c r="A3065" s="2" t="s">
        <v>1536</v>
      </c>
      <c r="B3065" s="2" t="s">
        <v>10</v>
      </c>
      <c r="C3065" s="2">
        <v>2</v>
      </c>
      <c r="D3065" s="676" t="s">
        <v>3671</v>
      </c>
      <c r="E3065" s="33">
        <v>2</v>
      </c>
      <c r="F3065" s="33"/>
      <c r="G3065" s="522"/>
      <c r="H3065" s="707"/>
      <c r="I3065" s="707">
        <f t="shared" si="94"/>
        <v>0</v>
      </c>
      <c r="J3065" s="707">
        <f t="shared" si="95"/>
        <v>0</v>
      </c>
      <c r="K3065" s="70"/>
    </row>
    <row r="3066" spans="1:11" ht="24" customHeight="1">
      <c r="A3066" s="2" t="s">
        <v>1536</v>
      </c>
      <c r="B3066" s="2" t="s">
        <v>10</v>
      </c>
      <c r="C3066" s="2">
        <v>3</v>
      </c>
      <c r="D3066" s="676" t="s">
        <v>3671</v>
      </c>
      <c r="E3066" s="33">
        <v>2</v>
      </c>
      <c r="F3066" s="33"/>
      <c r="G3066" s="522"/>
      <c r="H3066" s="707"/>
      <c r="I3066" s="707">
        <f t="shared" si="94"/>
        <v>0</v>
      </c>
      <c r="J3066" s="707">
        <f t="shared" si="95"/>
        <v>0</v>
      </c>
      <c r="K3066" s="70"/>
    </row>
    <row r="3067" spans="1:11" ht="24" customHeight="1">
      <c r="A3067" s="2" t="s">
        <v>1536</v>
      </c>
      <c r="B3067" s="2" t="s">
        <v>10</v>
      </c>
      <c r="C3067" s="2">
        <v>3</v>
      </c>
      <c r="D3067" s="676" t="s">
        <v>3705</v>
      </c>
      <c r="E3067" s="33">
        <v>2</v>
      </c>
      <c r="F3067" s="33"/>
      <c r="G3067" s="522"/>
      <c r="H3067" s="707"/>
      <c r="I3067" s="707">
        <f t="shared" si="94"/>
        <v>0</v>
      </c>
      <c r="J3067" s="707">
        <f t="shared" si="95"/>
        <v>0</v>
      </c>
      <c r="K3067" s="55"/>
    </row>
    <row r="3068" spans="1:11" ht="24" customHeight="1">
      <c r="A3068" s="74" t="s">
        <v>1484</v>
      </c>
      <c r="B3068" s="74" t="s">
        <v>10</v>
      </c>
      <c r="C3068" s="74">
        <v>15</v>
      </c>
      <c r="D3068" s="664" t="s">
        <v>1372</v>
      </c>
      <c r="E3068" s="33">
        <v>5</v>
      </c>
      <c r="F3068" s="33"/>
      <c r="G3068" s="522"/>
      <c r="H3068" s="707">
        <v>30</v>
      </c>
      <c r="I3068" s="707">
        <f t="shared" si="94"/>
        <v>34.5</v>
      </c>
      <c r="J3068" s="707">
        <f t="shared" si="95"/>
        <v>39</v>
      </c>
      <c r="K3068" s="70" t="s">
        <v>51</v>
      </c>
    </row>
    <row r="3069" spans="1:11" ht="24" customHeight="1">
      <c r="A3069" s="2" t="s">
        <v>1484</v>
      </c>
      <c r="B3069" s="2" t="s">
        <v>10</v>
      </c>
      <c r="C3069" s="2">
        <v>4</v>
      </c>
      <c r="D3069" s="2" t="s">
        <v>3671</v>
      </c>
      <c r="E3069" s="33">
        <v>2</v>
      </c>
      <c r="F3069" s="33"/>
      <c r="G3069" s="522"/>
      <c r="H3069" s="707"/>
      <c r="I3069" s="707">
        <f t="shared" si="94"/>
        <v>0</v>
      </c>
      <c r="J3069" s="707">
        <f t="shared" si="95"/>
        <v>0</v>
      </c>
      <c r="K3069" s="70"/>
    </row>
    <row r="3070" spans="1:11" ht="24" customHeight="1">
      <c r="A3070" s="33" t="s">
        <v>2114</v>
      </c>
      <c r="B3070" s="33" t="s">
        <v>10</v>
      </c>
      <c r="C3070" s="33">
        <v>53</v>
      </c>
      <c r="D3070" s="664" t="s">
        <v>2111</v>
      </c>
      <c r="E3070" s="33">
        <v>1</v>
      </c>
      <c r="F3070" s="33"/>
      <c r="G3070" s="522"/>
      <c r="H3070" s="707">
        <v>4</v>
      </c>
      <c r="I3070" s="707">
        <f t="shared" si="94"/>
        <v>4.5999999999999996</v>
      </c>
      <c r="J3070" s="707">
        <f t="shared" si="95"/>
        <v>5.2</v>
      </c>
      <c r="K3070" s="70"/>
    </row>
    <row r="3071" spans="1:11" ht="24" customHeight="1">
      <c r="A3071" s="33" t="s">
        <v>2114</v>
      </c>
      <c r="B3071" s="33" t="s">
        <v>10</v>
      </c>
      <c r="C3071" s="33">
        <v>2</v>
      </c>
      <c r="D3071" s="664" t="s">
        <v>2363</v>
      </c>
      <c r="E3071" s="33">
        <v>4</v>
      </c>
      <c r="F3071" s="33"/>
      <c r="G3071" s="522"/>
      <c r="H3071" s="707">
        <v>4</v>
      </c>
      <c r="I3071" s="707">
        <f t="shared" si="94"/>
        <v>4.5999999999999996</v>
      </c>
      <c r="J3071" s="707">
        <f t="shared" si="95"/>
        <v>5.2</v>
      </c>
      <c r="K3071" s="70"/>
    </row>
    <row r="3072" spans="1:11" ht="24" customHeight="1">
      <c r="A3072" s="33" t="s">
        <v>2114</v>
      </c>
      <c r="B3072" s="71" t="s">
        <v>10</v>
      </c>
      <c r="C3072" s="71">
        <v>3</v>
      </c>
      <c r="D3072" s="223" t="s">
        <v>2947</v>
      </c>
      <c r="E3072" s="71">
        <v>3</v>
      </c>
      <c r="F3072" s="71"/>
      <c r="G3072" s="686"/>
      <c r="H3072" s="709">
        <v>4</v>
      </c>
      <c r="I3072" s="709">
        <f t="shared" si="94"/>
        <v>4.5999999999999996</v>
      </c>
      <c r="J3072" s="709">
        <f t="shared" si="95"/>
        <v>5.2</v>
      </c>
      <c r="K3072" s="70"/>
    </row>
    <row r="3073" spans="1:11" ht="24" customHeight="1">
      <c r="A3073" s="74" t="s">
        <v>2250</v>
      </c>
      <c r="B3073" s="74" t="s">
        <v>56</v>
      </c>
      <c r="C3073" s="74">
        <v>136</v>
      </c>
      <c r="D3073" s="664" t="s">
        <v>2191</v>
      </c>
      <c r="E3073" s="33">
        <v>5</v>
      </c>
      <c r="F3073" s="33"/>
      <c r="G3073" s="522"/>
      <c r="H3073" s="707">
        <v>1</v>
      </c>
      <c r="I3073" s="707">
        <f t="shared" si="94"/>
        <v>1.1499999999999999</v>
      </c>
      <c r="J3073" s="707">
        <f t="shared" si="95"/>
        <v>1.3</v>
      </c>
      <c r="K3073" s="70"/>
    </row>
    <row r="3074" spans="1:11" ht="24" customHeight="1">
      <c r="A3074" s="33" t="s">
        <v>33</v>
      </c>
      <c r="B3074" s="33" t="s">
        <v>10</v>
      </c>
      <c r="C3074" s="33">
        <v>1</v>
      </c>
      <c r="D3074" s="676" t="s">
        <v>11</v>
      </c>
      <c r="E3074" s="33">
        <v>1</v>
      </c>
      <c r="F3074" s="33"/>
      <c r="G3074" s="522"/>
      <c r="H3074" s="707"/>
      <c r="I3074" s="707">
        <f t="shared" si="94"/>
        <v>0</v>
      </c>
      <c r="J3074" s="707">
        <f t="shared" si="95"/>
        <v>0</v>
      </c>
      <c r="K3074" s="70"/>
    </row>
    <row r="3075" spans="1:11" ht="24" customHeight="1">
      <c r="A3075" s="2" t="s">
        <v>3633</v>
      </c>
      <c r="B3075" s="2" t="s">
        <v>147</v>
      </c>
      <c r="C3075" s="2">
        <v>10</v>
      </c>
      <c r="D3075" s="676" t="s">
        <v>3618</v>
      </c>
      <c r="E3075" s="33">
        <v>5</v>
      </c>
      <c r="F3075" s="33"/>
      <c r="G3075" s="522"/>
      <c r="H3075" s="707"/>
      <c r="I3075" s="707">
        <f t="shared" ref="I3075:I3138" si="96">H3075 * 1.15</f>
        <v>0</v>
      </c>
      <c r="J3075" s="707">
        <f t="shared" ref="J3075:J3138" si="97">H3075 * 1.3</f>
        <v>0</v>
      </c>
      <c r="K3075" s="55"/>
    </row>
    <row r="3076" spans="1:11" ht="24" customHeight="1">
      <c r="A3076" s="2" t="s">
        <v>1877</v>
      </c>
      <c r="B3076" s="2" t="s">
        <v>10</v>
      </c>
      <c r="C3076" s="2">
        <v>24</v>
      </c>
      <c r="D3076" s="676" t="s">
        <v>1785</v>
      </c>
      <c r="E3076" s="33">
        <v>3</v>
      </c>
      <c r="F3076" s="33"/>
      <c r="G3076" s="522"/>
      <c r="H3076" s="707">
        <v>3</v>
      </c>
      <c r="I3076" s="707">
        <f t="shared" si="96"/>
        <v>3.4499999999999997</v>
      </c>
      <c r="J3076" s="707">
        <f t="shared" si="97"/>
        <v>3.9000000000000004</v>
      </c>
      <c r="K3076" s="70"/>
    </row>
    <row r="3077" spans="1:11" ht="24" customHeight="1">
      <c r="A3077" s="2" t="s">
        <v>1877</v>
      </c>
      <c r="B3077" s="2" t="s">
        <v>10</v>
      </c>
      <c r="C3077" s="2">
        <v>1</v>
      </c>
      <c r="D3077" s="2" t="s">
        <v>3568</v>
      </c>
      <c r="E3077" s="33">
        <v>3</v>
      </c>
      <c r="F3077" s="33"/>
      <c r="G3077" s="522"/>
      <c r="H3077" s="707"/>
      <c r="I3077" s="707">
        <f t="shared" si="96"/>
        <v>0</v>
      </c>
      <c r="J3077" s="707">
        <f t="shared" si="97"/>
        <v>0</v>
      </c>
      <c r="K3077" s="70"/>
    </row>
    <row r="3078" spans="1:11" ht="24" customHeight="1">
      <c r="A3078" s="2" t="s">
        <v>1821</v>
      </c>
      <c r="B3078" s="2" t="s">
        <v>56</v>
      </c>
      <c r="C3078" s="2">
        <v>50</v>
      </c>
      <c r="D3078" s="676" t="s">
        <v>1785</v>
      </c>
      <c r="E3078" s="33">
        <v>2</v>
      </c>
      <c r="F3078" s="33"/>
      <c r="G3078" s="522"/>
      <c r="H3078" s="707"/>
      <c r="I3078" s="707">
        <f t="shared" si="96"/>
        <v>0</v>
      </c>
      <c r="J3078" s="707">
        <f t="shared" si="97"/>
        <v>0</v>
      </c>
      <c r="K3078" s="70"/>
    </row>
    <row r="3079" spans="1:11" ht="24" customHeight="1">
      <c r="A3079" s="2" t="s">
        <v>3631</v>
      </c>
      <c r="B3079" s="2" t="s">
        <v>10</v>
      </c>
      <c r="C3079" s="2">
        <v>2</v>
      </c>
      <c r="D3079" s="2" t="s">
        <v>3618</v>
      </c>
      <c r="E3079" s="33">
        <v>5</v>
      </c>
      <c r="F3079" s="33"/>
      <c r="G3079" s="522"/>
      <c r="H3079" s="707"/>
      <c r="I3079" s="707">
        <f t="shared" si="96"/>
        <v>0</v>
      </c>
      <c r="J3079" s="707">
        <f t="shared" si="97"/>
        <v>0</v>
      </c>
      <c r="K3079" s="55"/>
    </row>
    <row r="3080" spans="1:11" ht="24" customHeight="1">
      <c r="A3080" s="2" t="s">
        <v>573</v>
      </c>
      <c r="B3080" s="2" t="s">
        <v>14</v>
      </c>
      <c r="C3080" s="2">
        <v>94</v>
      </c>
      <c r="D3080" s="676" t="s">
        <v>536</v>
      </c>
      <c r="E3080" s="33">
        <v>5</v>
      </c>
      <c r="F3080" s="33"/>
      <c r="G3080" s="522"/>
      <c r="H3080" s="707"/>
      <c r="I3080" s="707">
        <f t="shared" si="96"/>
        <v>0</v>
      </c>
      <c r="J3080" s="707">
        <f t="shared" si="97"/>
        <v>0</v>
      </c>
      <c r="K3080" s="70"/>
    </row>
    <row r="3081" spans="1:11" ht="24" customHeight="1">
      <c r="A3081" s="2" t="s">
        <v>391</v>
      </c>
      <c r="B3081" s="2" t="s">
        <v>10</v>
      </c>
      <c r="C3081" s="2">
        <v>1</v>
      </c>
      <c r="D3081" s="2" t="s">
        <v>274</v>
      </c>
      <c r="E3081" s="33">
        <v>2</v>
      </c>
      <c r="F3081" s="33"/>
      <c r="G3081" s="522"/>
      <c r="H3081" s="707">
        <v>10</v>
      </c>
      <c r="I3081" s="707">
        <f t="shared" si="96"/>
        <v>11.5</v>
      </c>
      <c r="J3081" s="707">
        <f t="shared" si="97"/>
        <v>13</v>
      </c>
      <c r="K3081" s="70"/>
    </row>
    <row r="3082" spans="1:11" ht="24" customHeight="1">
      <c r="A3082" s="2" t="s">
        <v>3600</v>
      </c>
      <c r="B3082" s="2" t="s">
        <v>10</v>
      </c>
      <c r="C3082" s="2">
        <v>1</v>
      </c>
      <c r="D3082" s="676" t="s">
        <v>3568</v>
      </c>
      <c r="E3082" s="33">
        <v>3</v>
      </c>
      <c r="F3082" s="33"/>
      <c r="G3082" s="522"/>
      <c r="H3082" s="707"/>
      <c r="I3082" s="707">
        <f t="shared" si="96"/>
        <v>0</v>
      </c>
      <c r="J3082" s="707">
        <f t="shared" si="97"/>
        <v>0</v>
      </c>
      <c r="K3082" s="70"/>
    </row>
    <row r="3083" spans="1:11" ht="24" customHeight="1">
      <c r="A3083" s="2" t="s">
        <v>3724</v>
      </c>
      <c r="B3083" s="2" t="s">
        <v>10</v>
      </c>
      <c r="C3083" s="2">
        <v>1</v>
      </c>
      <c r="D3083" s="676" t="s">
        <v>3705</v>
      </c>
      <c r="E3083" s="33">
        <v>2</v>
      </c>
      <c r="F3083" s="33"/>
      <c r="G3083" s="522"/>
      <c r="H3083" s="707"/>
      <c r="I3083" s="707">
        <f t="shared" si="96"/>
        <v>0</v>
      </c>
      <c r="J3083" s="707">
        <f t="shared" si="97"/>
        <v>0</v>
      </c>
      <c r="K3083" s="55"/>
    </row>
    <row r="3084" spans="1:11" ht="24" customHeight="1">
      <c r="A3084" s="2" t="s">
        <v>3588</v>
      </c>
      <c r="B3084" s="2" t="s">
        <v>10</v>
      </c>
      <c r="C3084" s="2">
        <v>70</v>
      </c>
      <c r="D3084" s="33" t="s">
        <v>3568</v>
      </c>
      <c r="E3084" s="33">
        <v>2</v>
      </c>
      <c r="F3084" s="33"/>
      <c r="G3084" s="522"/>
      <c r="H3084" s="707"/>
      <c r="I3084" s="707">
        <f t="shared" si="96"/>
        <v>0</v>
      </c>
      <c r="J3084" s="707">
        <f t="shared" si="97"/>
        <v>0</v>
      </c>
      <c r="K3084" s="312" t="s">
        <v>3576</v>
      </c>
    </row>
    <row r="3085" spans="1:11" ht="24" customHeight="1">
      <c r="A3085" s="2" t="s">
        <v>3588</v>
      </c>
      <c r="B3085" s="2" t="s">
        <v>10</v>
      </c>
      <c r="C3085" s="2">
        <v>2</v>
      </c>
      <c r="D3085" s="676" t="s">
        <v>3618</v>
      </c>
      <c r="E3085" s="33">
        <v>5</v>
      </c>
      <c r="F3085" s="33"/>
      <c r="G3085" s="522"/>
      <c r="H3085" s="707">
        <v>2.5</v>
      </c>
      <c r="I3085" s="707">
        <f t="shared" si="96"/>
        <v>2.875</v>
      </c>
      <c r="J3085" s="707">
        <f t="shared" si="97"/>
        <v>3.25</v>
      </c>
      <c r="K3085" s="55"/>
    </row>
    <row r="3086" spans="1:11" ht="24" customHeight="1">
      <c r="A3086" s="2" t="s">
        <v>3682</v>
      </c>
      <c r="B3086" s="2" t="s">
        <v>10</v>
      </c>
      <c r="C3086" s="2">
        <v>31</v>
      </c>
      <c r="D3086" s="676" t="s">
        <v>3671</v>
      </c>
      <c r="E3086" s="33">
        <v>2</v>
      </c>
      <c r="F3086" s="33"/>
      <c r="G3086" s="522"/>
      <c r="H3086" s="707"/>
      <c r="I3086" s="707">
        <f t="shared" si="96"/>
        <v>0</v>
      </c>
      <c r="J3086" s="707">
        <f t="shared" si="97"/>
        <v>0</v>
      </c>
      <c r="K3086" s="70"/>
    </row>
    <row r="3087" spans="1:11" ht="24" customHeight="1">
      <c r="A3087" s="33" t="s">
        <v>1614</v>
      </c>
      <c r="B3087" s="33" t="s">
        <v>10</v>
      </c>
      <c r="C3087" s="33">
        <v>79</v>
      </c>
      <c r="D3087" s="664" t="s">
        <v>1548</v>
      </c>
      <c r="E3087" s="33">
        <v>3</v>
      </c>
      <c r="F3087" s="33"/>
      <c r="G3087" s="522"/>
      <c r="H3087" s="707"/>
      <c r="I3087" s="707">
        <f t="shared" si="96"/>
        <v>0</v>
      </c>
      <c r="J3087" s="707">
        <f t="shared" si="97"/>
        <v>0</v>
      </c>
      <c r="K3087" s="70" t="s">
        <v>51</v>
      </c>
    </row>
    <row r="3088" spans="1:11" ht="24" customHeight="1">
      <c r="A3088" s="33" t="s">
        <v>1602</v>
      </c>
      <c r="B3088" s="33" t="s">
        <v>10</v>
      </c>
      <c r="C3088" s="33">
        <v>6</v>
      </c>
      <c r="D3088" s="664" t="s">
        <v>1548</v>
      </c>
      <c r="E3088" s="33">
        <v>3</v>
      </c>
      <c r="F3088" s="33"/>
      <c r="G3088" s="522"/>
      <c r="H3088" s="707"/>
      <c r="I3088" s="707">
        <f t="shared" si="96"/>
        <v>0</v>
      </c>
      <c r="J3088" s="707">
        <f t="shared" si="97"/>
        <v>0</v>
      </c>
      <c r="K3088" s="70" t="s">
        <v>51</v>
      </c>
    </row>
    <row r="3089" spans="1:11" ht="24" customHeight="1">
      <c r="A3089" s="33" t="s">
        <v>1281</v>
      </c>
      <c r="B3089" s="33" t="s">
        <v>10</v>
      </c>
      <c r="C3089" s="33">
        <v>10</v>
      </c>
      <c r="D3089" s="664" t="s">
        <v>1201</v>
      </c>
      <c r="E3089" s="33">
        <v>4</v>
      </c>
      <c r="F3089" s="33"/>
      <c r="G3089" s="522"/>
      <c r="H3089" s="707">
        <v>1</v>
      </c>
      <c r="I3089" s="707">
        <f t="shared" si="96"/>
        <v>1.1499999999999999</v>
      </c>
      <c r="J3089" s="707">
        <f t="shared" si="97"/>
        <v>1.3</v>
      </c>
      <c r="K3089" s="70" t="s">
        <v>51</v>
      </c>
    </row>
    <row r="3090" spans="1:11" ht="24" customHeight="1">
      <c r="A3090" s="33" t="s">
        <v>1281</v>
      </c>
      <c r="B3090" s="33" t="s">
        <v>10</v>
      </c>
      <c r="C3090" s="33">
        <v>27</v>
      </c>
      <c r="D3090" s="664" t="s">
        <v>2191</v>
      </c>
      <c r="E3090" s="33">
        <v>3</v>
      </c>
      <c r="F3090" s="33"/>
      <c r="G3090" s="522"/>
      <c r="H3090" s="707">
        <v>1</v>
      </c>
      <c r="I3090" s="707">
        <f t="shared" si="96"/>
        <v>1.1499999999999999</v>
      </c>
      <c r="J3090" s="707">
        <f t="shared" si="97"/>
        <v>1.3</v>
      </c>
      <c r="K3090" s="70" t="s">
        <v>51</v>
      </c>
    </row>
    <row r="3091" spans="1:11" ht="24" customHeight="1">
      <c r="A3091" s="33" t="s">
        <v>1281</v>
      </c>
      <c r="B3091" s="33" t="s">
        <v>10</v>
      </c>
      <c r="C3091" s="33">
        <v>10</v>
      </c>
      <c r="D3091" s="664" t="s">
        <v>3279</v>
      </c>
      <c r="E3091" s="33">
        <v>4</v>
      </c>
      <c r="F3091" s="33"/>
      <c r="G3091" s="522"/>
      <c r="H3091" s="707">
        <v>1</v>
      </c>
      <c r="I3091" s="707">
        <f t="shared" si="96"/>
        <v>1.1499999999999999</v>
      </c>
      <c r="J3091" s="707">
        <f t="shared" si="97"/>
        <v>1.3</v>
      </c>
      <c r="K3091" s="70" t="s">
        <v>51</v>
      </c>
    </row>
    <row r="3092" spans="1:11" ht="24" customHeight="1">
      <c r="A3092" s="17" t="s">
        <v>1766</v>
      </c>
      <c r="B3092" s="17" t="s">
        <v>10</v>
      </c>
      <c r="C3092" s="17">
        <v>43</v>
      </c>
      <c r="D3092" s="237" t="s">
        <v>1723</v>
      </c>
      <c r="E3092" s="15">
        <v>2</v>
      </c>
      <c r="F3092" s="15"/>
      <c r="G3092" s="684"/>
      <c r="H3092" s="707"/>
      <c r="I3092" s="707">
        <f t="shared" si="96"/>
        <v>0</v>
      </c>
      <c r="J3092" s="707">
        <f t="shared" si="97"/>
        <v>0</v>
      </c>
      <c r="K3092" s="70"/>
    </row>
    <row r="3093" spans="1:11" ht="24" customHeight="1">
      <c r="A3093" s="2" t="s">
        <v>17</v>
      </c>
      <c r="B3093" s="2" t="s">
        <v>10</v>
      </c>
      <c r="C3093" s="2">
        <v>10</v>
      </c>
      <c r="D3093" s="676" t="s">
        <v>11</v>
      </c>
      <c r="E3093" s="33">
        <v>1</v>
      </c>
      <c r="F3093" s="33"/>
      <c r="G3093" s="522"/>
      <c r="H3093" s="707">
        <v>0.18</v>
      </c>
      <c r="I3093" s="707">
        <f t="shared" si="96"/>
        <v>0.20699999999999999</v>
      </c>
      <c r="J3093" s="707">
        <f t="shared" si="97"/>
        <v>0.23399999999999999</v>
      </c>
      <c r="K3093" s="70"/>
    </row>
    <row r="3094" spans="1:11" ht="24" customHeight="1">
      <c r="A3094" s="2" t="s">
        <v>3573</v>
      </c>
      <c r="B3094" s="2" t="s">
        <v>10</v>
      </c>
      <c r="C3094" s="2">
        <v>87</v>
      </c>
      <c r="D3094" s="664" t="s">
        <v>3568</v>
      </c>
      <c r="E3094" s="33">
        <v>2</v>
      </c>
      <c r="F3094" s="33"/>
      <c r="G3094" s="522"/>
      <c r="H3094" s="707"/>
      <c r="I3094" s="707">
        <f t="shared" si="96"/>
        <v>0</v>
      </c>
      <c r="J3094" s="707">
        <f t="shared" si="97"/>
        <v>0</v>
      </c>
      <c r="K3094" s="70"/>
    </row>
    <row r="3095" spans="1:11" ht="24" customHeight="1">
      <c r="A3095" s="2" t="s">
        <v>3605</v>
      </c>
      <c r="B3095" s="2" t="s">
        <v>10</v>
      </c>
      <c r="C3095" s="2">
        <v>72</v>
      </c>
      <c r="D3095" s="676" t="s">
        <v>3568</v>
      </c>
      <c r="E3095" s="33">
        <v>3</v>
      </c>
      <c r="F3095" s="33"/>
      <c r="G3095" s="522"/>
      <c r="H3095" s="707"/>
      <c r="I3095" s="707">
        <f t="shared" si="96"/>
        <v>0</v>
      </c>
      <c r="J3095" s="707">
        <f t="shared" si="97"/>
        <v>0</v>
      </c>
      <c r="K3095" s="70"/>
    </row>
    <row r="3096" spans="1:11" ht="24" customHeight="1">
      <c r="A3096" s="2" t="s">
        <v>3605</v>
      </c>
      <c r="B3096" s="2" t="s">
        <v>10</v>
      </c>
      <c r="C3096" s="2">
        <v>6</v>
      </c>
      <c r="D3096" s="676" t="s">
        <v>3671</v>
      </c>
      <c r="E3096" s="33">
        <v>2</v>
      </c>
      <c r="F3096" s="33"/>
      <c r="G3096" s="522"/>
      <c r="H3096" s="707"/>
      <c r="I3096" s="707">
        <f t="shared" si="96"/>
        <v>0</v>
      </c>
      <c r="J3096" s="707">
        <f t="shared" si="97"/>
        <v>0</v>
      </c>
      <c r="K3096" s="70"/>
    </row>
    <row r="3097" spans="1:11" ht="24" customHeight="1">
      <c r="A3097" s="2" t="s">
        <v>3605</v>
      </c>
      <c r="B3097" s="2" t="s">
        <v>10</v>
      </c>
      <c r="C3097" s="2">
        <v>150</v>
      </c>
      <c r="D3097" s="676" t="s">
        <v>3705</v>
      </c>
      <c r="E3097" s="33">
        <v>3</v>
      </c>
      <c r="F3097" s="33"/>
      <c r="G3097" s="522"/>
      <c r="H3097" s="707"/>
      <c r="I3097" s="707">
        <f t="shared" si="96"/>
        <v>0</v>
      </c>
      <c r="J3097" s="707">
        <f t="shared" si="97"/>
        <v>0</v>
      </c>
      <c r="K3097" s="55"/>
    </row>
    <row r="3098" spans="1:11" ht="24" customHeight="1">
      <c r="A3098" s="2" t="s">
        <v>65</v>
      </c>
      <c r="B3098" s="2" t="s">
        <v>10</v>
      </c>
      <c r="C3098" s="2">
        <v>3</v>
      </c>
      <c r="D3098" s="676" t="s">
        <v>11</v>
      </c>
      <c r="E3098" s="33">
        <v>1</v>
      </c>
      <c r="F3098" s="33"/>
      <c r="G3098" s="522"/>
      <c r="H3098" s="707"/>
      <c r="I3098" s="707">
        <f t="shared" si="96"/>
        <v>0</v>
      </c>
      <c r="J3098" s="707">
        <f t="shared" si="97"/>
        <v>0</v>
      </c>
      <c r="K3098" s="70"/>
    </row>
    <row r="3099" spans="1:11" ht="24" customHeight="1">
      <c r="A3099" s="2" t="s">
        <v>386</v>
      </c>
      <c r="B3099" s="2" t="s">
        <v>10</v>
      </c>
      <c r="C3099" s="2">
        <v>12</v>
      </c>
      <c r="D3099" s="676" t="s">
        <v>274</v>
      </c>
      <c r="E3099" s="33">
        <v>2</v>
      </c>
      <c r="F3099" s="33"/>
      <c r="G3099" s="522"/>
      <c r="H3099" s="707"/>
      <c r="I3099" s="707">
        <f t="shared" si="96"/>
        <v>0</v>
      </c>
      <c r="J3099" s="707">
        <f t="shared" si="97"/>
        <v>0</v>
      </c>
      <c r="K3099" s="70" t="s">
        <v>51</v>
      </c>
    </row>
    <row r="3100" spans="1:11" ht="24" customHeight="1">
      <c r="A3100" s="33" t="s">
        <v>311</v>
      </c>
      <c r="B3100" s="33" t="s">
        <v>10</v>
      </c>
      <c r="C3100" s="33">
        <v>26</v>
      </c>
      <c r="D3100" s="676" t="s">
        <v>593</v>
      </c>
      <c r="E3100" s="33">
        <v>2</v>
      </c>
      <c r="F3100" s="33"/>
      <c r="G3100" s="522"/>
      <c r="H3100" s="707"/>
      <c r="I3100" s="707">
        <f t="shared" si="96"/>
        <v>0</v>
      </c>
      <c r="J3100" s="707">
        <f t="shared" si="97"/>
        <v>0</v>
      </c>
      <c r="K3100" s="70" t="s">
        <v>241</v>
      </c>
    </row>
    <row r="3101" spans="1:11" ht="24" customHeight="1">
      <c r="A3101" s="2" t="s">
        <v>311</v>
      </c>
      <c r="B3101" s="2" t="s">
        <v>10</v>
      </c>
      <c r="C3101" s="2">
        <v>52</v>
      </c>
      <c r="D3101" s="676" t="s">
        <v>888</v>
      </c>
      <c r="E3101" s="33">
        <v>5</v>
      </c>
      <c r="F3101" s="33"/>
      <c r="G3101" s="522"/>
      <c r="H3101" s="707"/>
      <c r="I3101" s="707">
        <f t="shared" si="96"/>
        <v>0</v>
      </c>
      <c r="J3101" s="707">
        <f t="shared" si="97"/>
        <v>0</v>
      </c>
      <c r="K3101" s="70" t="s">
        <v>241</v>
      </c>
    </row>
    <row r="3102" spans="1:11" ht="24" customHeight="1">
      <c r="A3102" s="2" t="s">
        <v>311</v>
      </c>
      <c r="B3102" s="2" t="s">
        <v>10</v>
      </c>
      <c r="C3102" s="2">
        <v>100</v>
      </c>
      <c r="D3102" s="676" t="s">
        <v>3548</v>
      </c>
      <c r="E3102" s="33">
        <v>5</v>
      </c>
      <c r="F3102" s="33"/>
      <c r="G3102" s="522"/>
      <c r="H3102" s="707"/>
      <c r="I3102" s="707">
        <f t="shared" si="96"/>
        <v>0</v>
      </c>
      <c r="J3102" s="707">
        <f t="shared" si="97"/>
        <v>0</v>
      </c>
      <c r="K3102" s="70" t="s">
        <v>241</v>
      </c>
    </row>
    <row r="3103" spans="1:11" ht="24" customHeight="1">
      <c r="A3103" s="2" t="s">
        <v>395</v>
      </c>
      <c r="B3103" s="2" t="s">
        <v>10</v>
      </c>
      <c r="C3103" s="2">
        <v>2</v>
      </c>
      <c r="D3103" s="676" t="s">
        <v>274</v>
      </c>
      <c r="E3103" s="33">
        <v>2</v>
      </c>
      <c r="F3103" s="33"/>
      <c r="G3103" s="522"/>
      <c r="H3103" s="707"/>
      <c r="I3103" s="707">
        <f t="shared" si="96"/>
        <v>0</v>
      </c>
      <c r="J3103" s="707">
        <f t="shared" si="97"/>
        <v>0</v>
      </c>
      <c r="K3103" s="70" t="s">
        <v>51</v>
      </c>
    </row>
    <row r="3104" spans="1:11" ht="24" customHeight="1">
      <c r="A3104" s="2" t="s">
        <v>202</v>
      </c>
      <c r="B3104" s="2" t="s">
        <v>10</v>
      </c>
      <c r="C3104" s="2">
        <v>36</v>
      </c>
      <c r="D3104" s="676" t="s">
        <v>188</v>
      </c>
      <c r="E3104" s="33">
        <v>4</v>
      </c>
      <c r="F3104" s="33"/>
      <c r="G3104" s="522"/>
      <c r="H3104" s="707">
        <v>8</v>
      </c>
      <c r="I3104" s="707">
        <f t="shared" si="96"/>
        <v>9.1999999999999993</v>
      </c>
      <c r="J3104" s="707">
        <f t="shared" si="97"/>
        <v>10.4</v>
      </c>
      <c r="K3104" s="70" t="s">
        <v>203</v>
      </c>
    </row>
    <row r="3105" spans="1:11" ht="24" customHeight="1">
      <c r="A3105" s="2" t="s">
        <v>384</v>
      </c>
      <c r="B3105" s="2" t="s">
        <v>14</v>
      </c>
      <c r="C3105" s="2">
        <v>2</v>
      </c>
      <c r="D3105" s="676" t="s">
        <v>274</v>
      </c>
      <c r="E3105" s="33">
        <v>2</v>
      </c>
      <c r="F3105" s="33"/>
      <c r="G3105" s="522"/>
      <c r="H3105" s="707"/>
      <c r="I3105" s="707">
        <f t="shared" si="96"/>
        <v>0</v>
      </c>
      <c r="J3105" s="707">
        <f t="shared" si="97"/>
        <v>0</v>
      </c>
      <c r="K3105" s="70" t="s">
        <v>51</v>
      </c>
    </row>
    <row r="3106" spans="1:11" ht="24" customHeight="1">
      <c r="A3106" s="2" t="s">
        <v>39</v>
      </c>
      <c r="B3106" s="2" t="s">
        <v>10</v>
      </c>
      <c r="C3106" s="2">
        <v>10</v>
      </c>
      <c r="D3106" s="676" t="s">
        <v>11</v>
      </c>
      <c r="E3106" s="33">
        <v>1</v>
      </c>
      <c r="F3106" s="33"/>
      <c r="G3106" s="522"/>
      <c r="H3106" s="707"/>
      <c r="I3106" s="707">
        <f t="shared" si="96"/>
        <v>0</v>
      </c>
      <c r="J3106" s="707">
        <f t="shared" si="97"/>
        <v>0</v>
      </c>
      <c r="K3106" s="70"/>
    </row>
    <row r="3107" spans="1:11" ht="24" customHeight="1">
      <c r="A3107" s="2" t="s">
        <v>3681</v>
      </c>
      <c r="B3107" s="2" t="s">
        <v>10</v>
      </c>
      <c r="C3107" s="2">
        <v>4</v>
      </c>
      <c r="D3107" s="676" t="s">
        <v>3671</v>
      </c>
      <c r="E3107" s="33">
        <v>2</v>
      </c>
      <c r="F3107" s="33"/>
      <c r="G3107" s="522"/>
      <c r="H3107" s="707"/>
      <c r="I3107" s="707">
        <f t="shared" si="96"/>
        <v>0</v>
      </c>
      <c r="J3107" s="707">
        <f t="shared" si="97"/>
        <v>0</v>
      </c>
      <c r="K3107" s="70"/>
    </row>
    <row r="3108" spans="1:11" ht="24" customHeight="1">
      <c r="A3108" s="2" t="s">
        <v>3681</v>
      </c>
      <c r="B3108" s="2" t="s">
        <v>10</v>
      </c>
      <c r="C3108" s="2">
        <v>4</v>
      </c>
      <c r="D3108" s="676" t="s">
        <v>3671</v>
      </c>
      <c r="E3108" s="33">
        <v>2</v>
      </c>
      <c r="F3108" s="33"/>
      <c r="G3108" s="522"/>
      <c r="H3108" s="707"/>
      <c r="I3108" s="707">
        <f t="shared" si="96"/>
        <v>0</v>
      </c>
      <c r="J3108" s="707">
        <f t="shared" si="97"/>
        <v>0</v>
      </c>
      <c r="K3108" s="70"/>
    </row>
    <row r="3109" spans="1:11" ht="24" customHeight="1">
      <c r="A3109" s="2" t="s">
        <v>3681</v>
      </c>
      <c r="B3109" s="2" t="s">
        <v>10</v>
      </c>
      <c r="C3109" s="2">
        <v>6</v>
      </c>
      <c r="D3109" s="676" t="s">
        <v>3671</v>
      </c>
      <c r="E3109" s="33">
        <v>2</v>
      </c>
      <c r="F3109" s="33"/>
      <c r="G3109" s="522"/>
      <c r="H3109" s="707"/>
      <c r="I3109" s="707">
        <f t="shared" si="96"/>
        <v>0</v>
      </c>
      <c r="J3109" s="707">
        <f t="shared" si="97"/>
        <v>0</v>
      </c>
      <c r="K3109" s="70"/>
    </row>
    <row r="3110" spans="1:11" ht="24" customHeight="1">
      <c r="A3110" s="59" t="s">
        <v>2683</v>
      </c>
      <c r="B3110" s="59" t="s">
        <v>10</v>
      </c>
      <c r="C3110" s="59">
        <v>27</v>
      </c>
      <c r="D3110" s="664" t="s">
        <v>2624</v>
      </c>
      <c r="E3110" s="354">
        <v>5</v>
      </c>
      <c r="F3110" s="354"/>
      <c r="G3110" s="688"/>
      <c r="H3110" s="707"/>
      <c r="I3110" s="707">
        <f t="shared" si="96"/>
        <v>0</v>
      </c>
      <c r="J3110" s="707">
        <f t="shared" si="97"/>
        <v>0</v>
      </c>
      <c r="K3110" s="70" t="s">
        <v>51</v>
      </c>
    </row>
    <row r="3111" spans="1:11" ht="24" customHeight="1">
      <c r="A3111" s="2" t="s">
        <v>3695</v>
      </c>
      <c r="B3111" s="2" t="s">
        <v>10</v>
      </c>
      <c r="C3111" s="2">
        <v>3</v>
      </c>
      <c r="D3111" s="676" t="s">
        <v>3671</v>
      </c>
      <c r="E3111" s="33">
        <v>2</v>
      </c>
      <c r="F3111" s="33"/>
      <c r="G3111" s="522"/>
      <c r="H3111" s="707"/>
      <c r="I3111" s="707">
        <f t="shared" si="96"/>
        <v>0</v>
      </c>
      <c r="J3111" s="707">
        <f t="shared" si="97"/>
        <v>0</v>
      </c>
      <c r="K3111" s="70"/>
    </row>
    <row r="3112" spans="1:11" ht="24" customHeight="1">
      <c r="A3112" s="2" t="s">
        <v>3564</v>
      </c>
      <c r="B3112" s="2" t="s">
        <v>10</v>
      </c>
      <c r="C3112" s="2">
        <v>10</v>
      </c>
      <c r="D3112" s="676" t="s">
        <v>3553</v>
      </c>
      <c r="E3112" s="33">
        <v>2</v>
      </c>
      <c r="F3112" s="33"/>
      <c r="G3112" s="522"/>
      <c r="H3112" s="707"/>
      <c r="I3112" s="707">
        <f t="shared" si="96"/>
        <v>0</v>
      </c>
      <c r="J3112" s="707">
        <f t="shared" si="97"/>
        <v>0</v>
      </c>
      <c r="K3112" s="70"/>
    </row>
    <row r="3113" spans="1:11" ht="24" customHeight="1">
      <c r="A3113" s="2" t="s">
        <v>204</v>
      </c>
      <c r="B3113" s="2" t="s">
        <v>10</v>
      </c>
      <c r="C3113" s="2">
        <v>90</v>
      </c>
      <c r="D3113" s="676" t="s">
        <v>188</v>
      </c>
      <c r="E3113" s="33">
        <v>4</v>
      </c>
      <c r="F3113" s="33"/>
      <c r="G3113" s="522"/>
      <c r="H3113" s="707">
        <v>2</v>
      </c>
      <c r="I3113" s="707">
        <f t="shared" si="96"/>
        <v>2.2999999999999998</v>
      </c>
      <c r="J3113" s="707">
        <f t="shared" si="97"/>
        <v>2.6</v>
      </c>
      <c r="K3113" s="70"/>
    </row>
    <row r="3114" spans="1:11" ht="24" customHeight="1">
      <c r="A3114" s="2" t="s">
        <v>3674</v>
      </c>
      <c r="B3114" s="2" t="s">
        <v>10</v>
      </c>
      <c r="C3114" s="2">
        <v>5</v>
      </c>
      <c r="D3114" s="676" t="s">
        <v>3671</v>
      </c>
      <c r="E3114" s="33">
        <v>2</v>
      </c>
      <c r="F3114" s="33"/>
      <c r="G3114" s="522"/>
      <c r="H3114" s="707"/>
      <c r="I3114" s="707">
        <f t="shared" si="96"/>
        <v>0</v>
      </c>
      <c r="J3114" s="707">
        <f t="shared" si="97"/>
        <v>0</v>
      </c>
      <c r="K3114" s="70"/>
    </row>
    <row r="3115" spans="1:11" ht="24" customHeight="1">
      <c r="A3115" s="2" t="s">
        <v>385</v>
      </c>
      <c r="B3115" s="2" t="s">
        <v>14</v>
      </c>
      <c r="C3115" s="2">
        <v>2</v>
      </c>
      <c r="D3115" s="676" t="s">
        <v>274</v>
      </c>
      <c r="E3115" s="33">
        <v>2</v>
      </c>
      <c r="F3115" s="33"/>
      <c r="G3115" s="522"/>
      <c r="H3115" s="707"/>
      <c r="I3115" s="707">
        <f t="shared" si="96"/>
        <v>0</v>
      </c>
      <c r="J3115" s="707">
        <f t="shared" si="97"/>
        <v>0</v>
      </c>
      <c r="K3115" s="70" t="s">
        <v>51</v>
      </c>
    </row>
    <row r="3116" spans="1:11" ht="24" customHeight="1">
      <c r="A3116" s="2" t="s">
        <v>3697</v>
      </c>
      <c r="B3116" s="2" t="s">
        <v>10</v>
      </c>
      <c r="C3116" s="2">
        <v>1</v>
      </c>
      <c r="D3116" s="676" t="s">
        <v>3671</v>
      </c>
      <c r="E3116" s="33">
        <v>2</v>
      </c>
      <c r="F3116" s="33"/>
      <c r="G3116" s="522"/>
      <c r="H3116" s="707"/>
      <c r="I3116" s="707">
        <f t="shared" si="96"/>
        <v>0</v>
      </c>
      <c r="J3116" s="707">
        <f t="shared" si="97"/>
        <v>0</v>
      </c>
      <c r="K3116" s="70"/>
    </row>
    <row r="3117" spans="1:11" ht="24" customHeight="1">
      <c r="A3117" s="11" t="s">
        <v>3459</v>
      </c>
      <c r="B3117" s="11" t="s">
        <v>14</v>
      </c>
      <c r="C3117" s="11">
        <v>80</v>
      </c>
      <c r="D3117" s="237" t="s">
        <v>3451</v>
      </c>
      <c r="E3117" s="15">
        <v>2</v>
      </c>
      <c r="F3117" s="15"/>
      <c r="G3117" s="684"/>
      <c r="H3117" s="707">
        <v>1</v>
      </c>
      <c r="I3117" s="707">
        <f t="shared" si="96"/>
        <v>1.1499999999999999</v>
      </c>
      <c r="J3117" s="707">
        <f t="shared" si="97"/>
        <v>1.3</v>
      </c>
      <c r="K3117" s="70"/>
    </row>
    <row r="3118" spans="1:11" ht="24" customHeight="1">
      <c r="A3118" s="2" t="s">
        <v>198</v>
      </c>
      <c r="B3118" s="2" t="s">
        <v>10</v>
      </c>
      <c r="C3118" s="2">
        <v>4</v>
      </c>
      <c r="D3118" s="2" t="s">
        <v>188</v>
      </c>
      <c r="E3118" s="33">
        <v>4</v>
      </c>
      <c r="F3118" s="33"/>
      <c r="G3118" s="522"/>
      <c r="H3118" s="707">
        <v>2</v>
      </c>
      <c r="I3118" s="707">
        <f t="shared" si="96"/>
        <v>2.2999999999999998</v>
      </c>
      <c r="J3118" s="707">
        <f t="shared" si="97"/>
        <v>2.6</v>
      </c>
      <c r="K3118" s="70" t="s">
        <v>199</v>
      </c>
    </row>
    <row r="3119" spans="1:11" ht="24" customHeight="1">
      <c r="A3119" s="2" t="s">
        <v>3679</v>
      </c>
      <c r="B3119" s="2" t="s">
        <v>81</v>
      </c>
      <c r="C3119" s="2">
        <v>28</v>
      </c>
      <c r="D3119" s="2" t="s">
        <v>3671</v>
      </c>
      <c r="E3119" s="33">
        <v>2</v>
      </c>
      <c r="F3119" s="33"/>
      <c r="G3119" s="522"/>
      <c r="H3119" s="707"/>
      <c r="I3119" s="707">
        <f t="shared" si="96"/>
        <v>0</v>
      </c>
      <c r="J3119" s="707">
        <f t="shared" si="97"/>
        <v>0</v>
      </c>
      <c r="K3119" s="70"/>
    </row>
    <row r="3120" spans="1:11" ht="24" customHeight="1">
      <c r="A3120" s="19" t="s">
        <v>3679</v>
      </c>
      <c r="B3120" s="19" t="s">
        <v>10</v>
      </c>
      <c r="C3120" s="2">
        <v>4</v>
      </c>
      <c r="D3120" s="19" t="s">
        <v>3671</v>
      </c>
      <c r="E3120" s="33">
        <v>2</v>
      </c>
      <c r="F3120" s="33"/>
      <c r="G3120" s="522"/>
      <c r="H3120" s="707"/>
      <c r="I3120" s="707">
        <f t="shared" si="96"/>
        <v>0</v>
      </c>
      <c r="J3120" s="707">
        <f t="shared" si="97"/>
        <v>0</v>
      </c>
      <c r="K3120" s="70"/>
    </row>
    <row r="3121" spans="1:11" ht="24" customHeight="1">
      <c r="A3121" s="19" t="s">
        <v>3590</v>
      </c>
      <c r="B3121" s="19" t="s">
        <v>10</v>
      </c>
      <c r="C3121" s="2">
        <v>30</v>
      </c>
      <c r="D3121" s="222" t="s">
        <v>3568</v>
      </c>
      <c r="E3121" s="33">
        <v>2</v>
      </c>
      <c r="F3121" s="33"/>
      <c r="G3121" s="522"/>
      <c r="H3121" s="707"/>
      <c r="I3121" s="707">
        <f t="shared" si="96"/>
        <v>0</v>
      </c>
      <c r="J3121" s="707">
        <f t="shared" si="97"/>
        <v>0</v>
      </c>
      <c r="K3121" s="312" t="s">
        <v>3576</v>
      </c>
    </row>
    <row r="3122" spans="1:11" ht="24" customHeight="1">
      <c r="A3122" s="19" t="s">
        <v>3590</v>
      </c>
      <c r="B3122" s="19" t="s">
        <v>10</v>
      </c>
      <c r="C3122" s="2">
        <v>1</v>
      </c>
      <c r="D3122" s="19" t="s">
        <v>3671</v>
      </c>
      <c r="E3122" s="33">
        <v>2</v>
      </c>
      <c r="F3122" s="33"/>
      <c r="G3122" s="522"/>
      <c r="H3122" s="707"/>
      <c r="I3122" s="707">
        <f t="shared" si="96"/>
        <v>0</v>
      </c>
      <c r="J3122" s="707">
        <f t="shared" si="97"/>
        <v>0</v>
      </c>
      <c r="K3122" s="70"/>
    </row>
    <row r="3123" spans="1:11" ht="24" customHeight="1">
      <c r="A3123" s="17" t="s">
        <v>7999</v>
      </c>
      <c r="B3123" s="17" t="s">
        <v>56</v>
      </c>
      <c r="C3123" s="17">
        <v>16</v>
      </c>
      <c r="D3123" s="131" t="s">
        <v>1723</v>
      </c>
      <c r="E3123" s="15">
        <v>1</v>
      </c>
      <c r="F3123" s="15"/>
      <c r="G3123" s="684"/>
      <c r="H3123" s="708"/>
      <c r="I3123" s="707">
        <f t="shared" si="96"/>
        <v>0</v>
      </c>
      <c r="J3123" s="708">
        <f t="shared" si="97"/>
        <v>0</v>
      </c>
      <c r="K3123" s="70"/>
    </row>
    <row r="3124" spans="1:11" ht="24" customHeight="1">
      <c r="A3124" s="222" t="s">
        <v>3072</v>
      </c>
      <c r="B3124" s="222" t="s">
        <v>10</v>
      </c>
      <c r="C3124" s="33">
        <v>8</v>
      </c>
      <c r="D3124" s="222" t="s">
        <v>3053</v>
      </c>
      <c r="E3124" s="33">
        <v>2</v>
      </c>
      <c r="F3124" s="33"/>
      <c r="G3124" s="522"/>
      <c r="H3124" s="707"/>
      <c r="I3124" s="707">
        <f t="shared" si="96"/>
        <v>0</v>
      </c>
      <c r="J3124" s="707">
        <f t="shared" si="97"/>
        <v>0</v>
      </c>
      <c r="K3124" s="70"/>
    </row>
    <row r="3125" spans="1:11" ht="24" customHeight="1">
      <c r="A3125" s="9" t="s">
        <v>3072</v>
      </c>
      <c r="B3125" s="8" t="s">
        <v>10</v>
      </c>
      <c r="C3125" s="11">
        <v>2</v>
      </c>
      <c r="D3125" s="222" t="s">
        <v>3053</v>
      </c>
      <c r="E3125" s="17">
        <v>2</v>
      </c>
      <c r="F3125" s="17"/>
      <c r="G3125" s="687"/>
      <c r="H3125" s="707"/>
      <c r="I3125" s="707">
        <f t="shared" si="96"/>
        <v>0</v>
      </c>
      <c r="J3125" s="707">
        <f t="shared" si="97"/>
        <v>0</v>
      </c>
      <c r="K3125" s="70"/>
    </row>
    <row r="3126" spans="1:11" ht="24" customHeight="1">
      <c r="A3126" s="222" t="s">
        <v>412</v>
      </c>
      <c r="B3126" s="222" t="s">
        <v>10</v>
      </c>
      <c r="C3126" s="33">
        <v>1</v>
      </c>
      <c r="D3126" s="19" t="s">
        <v>274</v>
      </c>
      <c r="E3126" s="33">
        <v>2</v>
      </c>
      <c r="F3126" s="33"/>
      <c r="G3126" s="522"/>
      <c r="H3126" s="707"/>
      <c r="I3126" s="707">
        <f t="shared" si="96"/>
        <v>0</v>
      </c>
      <c r="J3126" s="707">
        <f t="shared" si="97"/>
        <v>0</v>
      </c>
      <c r="K3126" s="70"/>
    </row>
    <row r="3127" spans="1:11" ht="24" customHeight="1">
      <c r="A3127" s="19" t="s">
        <v>582</v>
      </c>
      <c r="B3127" s="19" t="s">
        <v>10</v>
      </c>
      <c r="C3127" s="2">
        <v>1</v>
      </c>
      <c r="D3127" s="19" t="s">
        <v>536</v>
      </c>
      <c r="E3127" s="33">
        <v>5</v>
      </c>
      <c r="F3127" s="33"/>
      <c r="G3127" s="522"/>
      <c r="H3127" s="707"/>
      <c r="I3127" s="707">
        <f t="shared" si="96"/>
        <v>0</v>
      </c>
      <c r="J3127" s="707">
        <f t="shared" si="97"/>
        <v>0</v>
      </c>
      <c r="K3127" s="70"/>
    </row>
    <row r="3128" spans="1:11" ht="24" customHeight="1">
      <c r="A3128" s="19" t="s">
        <v>3610</v>
      </c>
      <c r="B3128" s="19" t="s">
        <v>10</v>
      </c>
      <c r="C3128" s="2">
        <v>4</v>
      </c>
      <c r="D3128" s="19" t="s">
        <v>3568</v>
      </c>
      <c r="E3128" s="33">
        <v>3</v>
      </c>
      <c r="F3128" s="33"/>
      <c r="G3128" s="522"/>
      <c r="H3128" s="707"/>
      <c r="I3128" s="707">
        <f t="shared" si="96"/>
        <v>0</v>
      </c>
      <c r="J3128" s="707">
        <f t="shared" si="97"/>
        <v>0</v>
      </c>
      <c r="K3128" s="70"/>
    </row>
    <row r="3129" spans="1:11" ht="24" customHeight="1">
      <c r="A3129" s="19" t="s">
        <v>3575</v>
      </c>
      <c r="B3129" s="19" t="s">
        <v>10</v>
      </c>
      <c r="C3129" s="2">
        <v>32</v>
      </c>
      <c r="D3129" s="222" t="s">
        <v>3568</v>
      </c>
      <c r="E3129" s="33">
        <v>2</v>
      </c>
      <c r="F3129" s="33"/>
      <c r="G3129" s="522"/>
      <c r="H3129" s="707"/>
      <c r="I3129" s="707">
        <f t="shared" si="96"/>
        <v>0</v>
      </c>
      <c r="J3129" s="707">
        <f t="shared" si="97"/>
        <v>0</v>
      </c>
      <c r="K3129" s="312" t="s">
        <v>3576</v>
      </c>
    </row>
    <row r="3130" spans="1:11" ht="24" customHeight="1">
      <c r="A3130" s="19" t="s">
        <v>3612</v>
      </c>
      <c r="B3130" s="19" t="s">
        <v>10</v>
      </c>
      <c r="C3130" s="2">
        <v>1</v>
      </c>
      <c r="D3130" s="19" t="s">
        <v>3568</v>
      </c>
      <c r="E3130" s="33">
        <v>3</v>
      </c>
      <c r="F3130" s="33"/>
      <c r="G3130" s="522"/>
      <c r="H3130" s="707"/>
      <c r="I3130" s="707">
        <f t="shared" si="96"/>
        <v>0</v>
      </c>
      <c r="J3130" s="707">
        <f t="shared" si="97"/>
        <v>0</v>
      </c>
      <c r="K3130" s="70"/>
    </row>
    <row r="3131" spans="1:11" ht="24" customHeight="1">
      <c r="A3131" s="19" t="s">
        <v>3612</v>
      </c>
      <c r="B3131" s="19" t="s">
        <v>10</v>
      </c>
      <c r="C3131" s="2">
        <v>16</v>
      </c>
      <c r="D3131" s="19" t="s">
        <v>3705</v>
      </c>
      <c r="E3131" s="2">
        <v>1</v>
      </c>
      <c r="F3131" s="2"/>
      <c r="G3131" s="634"/>
      <c r="H3131" s="707"/>
      <c r="I3131" s="707">
        <f t="shared" si="96"/>
        <v>0</v>
      </c>
      <c r="J3131" s="707">
        <f t="shared" si="97"/>
        <v>0</v>
      </c>
      <c r="K3131" s="55"/>
    </row>
    <row r="3132" spans="1:11" ht="24" customHeight="1">
      <c r="A3132" s="19" t="s">
        <v>3607</v>
      </c>
      <c r="B3132" s="19" t="s">
        <v>10</v>
      </c>
      <c r="C3132" s="2">
        <v>2</v>
      </c>
      <c r="D3132" s="19" t="s">
        <v>3568</v>
      </c>
      <c r="E3132" s="33">
        <v>3</v>
      </c>
      <c r="F3132" s="33"/>
      <c r="G3132" s="522"/>
      <c r="H3132" s="707"/>
      <c r="I3132" s="707">
        <f t="shared" si="96"/>
        <v>0</v>
      </c>
      <c r="J3132" s="707">
        <f t="shared" si="97"/>
        <v>0</v>
      </c>
      <c r="K3132" s="70"/>
    </row>
    <row r="3133" spans="1:11" ht="24" customHeight="1">
      <c r="A3133" s="19" t="s">
        <v>3607</v>
      </c>
      <c r="B3133" s="19" t="s">
        <v>10</v>
      </c>
      <c r="C3133" s="2">
        <v>1</v>
      </c>
      <c r="D3133" s="19" t="s">
        <v>3671</v>
      </c>
      <c r="E3133" s="33">
        <v>2</v>
      </c>
      <c r="F3133" s="33"/>
      <c r="G3133" s="522"/>
      <c r="H3133" s="707"/>
      <c r="I3133" s="707">
        <f t="shared" si="96"/>
        <v>0</v>
      </c>
      <c r="J3133" s="707">
        <f t="shared" si="97"/>
        <v>0</v>
      </c>
      <c r="K3133" s="70"/>
    </row>
    <row r="3134" spans="1:11" ht="24" customHeight="1">
      <c r="A3134" s="233" t="s">
        <v>2826</v>
      </c>
      <c r="B3134" s="233" t="s">
        <v>10</v>
      </c>
      <c r="C3134" s="3">
        <v>5</v>
      </c>
      <c r="D3134" s="236" t="s">
        <v>2802</v>
      </c>
      <c r="E3134" s="33">
        <v>2</v>
      </c>
      <c r="F3134" s="33"/>
      <c r="G3134" s="522"/>
      <c r="H3134" s="707"/>
      <c r="I3134" s="707">
        <f t="shared" si="96"/>
        <v>0</v>
      </c>
      <c r="J3134" s="707">
        <f t="shared" si="97"/>
        <v>0</v>
      </c>
      <c r="K3134" s="70" t="s">
        <v>51</v>
      </c>
    </row>
    <row r="3135" spans="1:11" ht="24" customHeight="1">
      <c r="A3135" s="19" t="s">
        <v>3585</v>
      </c>
      <c r="B3135" s="19" t="s">
        <v>10</v>
      </c>
      <c r="C3135" s="2">
        <v>60</v>
      </c>
      <c r="D3135" s="222" t="s">
        <v>3568</v>
      </c>
      <c r="E3135" s="33">
        <v>2</v>
      </c>
      <c r="F3135" s="33"/>
      <c r="G3135" s="522"/>
      <c r="H3135" s="707"/>
      <c r="I3135" s="707">
        <f t="shared" si="96"/>
        <v>0</v>
      </c>
      <c r="J3135" s="707">
        <f t="shared" si="97"/>
        <v>0</v>
      </c>
      <c r="K3135" s="312" t="s">
        <v>3576</v>
      </c>
    </row>
    <row r="3136" spans="1:11" ht="24" customHeight="1">
      <c r="A3136" s="222" t="s">
        <v>2222</v>
      </c>
      <c r="B3136" s="222" t="s">
        <v>10</v>
      </c>
      <c r="C3136" s="33">
        <v>44</v>
      </c>
      <c r="D3136" s="222" t="s">
        <v>2191</v>
      </c>
      <c r="E3136" s="33">
        <v>4</v>
      </c>
      <c r="F3136" s="33"/>
      <c r="G3136" s="522"/>
      <c r="H3136" s="707"/>
      <c r="I3136" s="707">
        <f t="shared" si="96"/>
        <v>0</v>
      </c>
      <c r="J3136" s="707">
        <f t="shared" si="97"/>
        <v>0</v>
      </c>
      <c r="K3136" s="70" t="s">
        <v>1970</v>
      </c>
    </row>
    <row r="3137" spans="1:11" ht="24" customHeight="1">
      <c r="A3137" s="19" t="s">
        <v>1826</v>
      </c>
      <c r="B3137" s="19" t="s">
        <v>50</v>
      </c>
      <c r="C3137" s="2">
        <v>8</v>
      </c>
      <c r="D3137" s="19" t="s">
        <v>1785</v>
      </c>
      <c r="E3137" s="33">
        <v>2</v>
      </c>
      <c r="F3137" s="33"/>
      <c r="G3137" s="522"/>
      <c r="H3137" s="707"/>
      <c r="I3137" s="707">
        <f t="shared" si="96"/>
        <v>0</v>
      </c>
      <c r="J3137" s="707">
        <f t="shared" si="97"/>
        <v>0</v>
      </c>
      <c r="K3137" s="70"/>
    </row>
    <row r="3138" spans="1:11" ht="24" customHeight="1">
      <c r="A3138" s="19" t="s">
        <v>1852</v>
      </c>
      <c r="B3138" s="19" t="s">
        <v>347</v>
      </c>
      <c r="C3138" s="2">
        <v>101</v>
      </c>
      <c r="D3138" s="19" t="s">
        <v>1785</v>
      </c>
      <c r="E3138" s="33">
        <v>2</v>
      </c>
      <c r="F3138" s="33"/>
      <c r="G3138" s="522"/>
      <c r="H3138" s="707">
        <v>3</v>
      </c>
      <c r="I3138" s="707">
        <f t="shared" si="96"/>
        <v>3.4499999999999997</v>
      </c>
      <c r="J3138" s="707">
        <f t="shared" si="97"/>
        <v>3.9000000000000004</v>
      </c>
      <c r="K3138" s="70"/>
    </row>
    <row r="3139" spans="1:11" ht="24" customHeight="1">
      <c r="A3139" s="222" t="s">
        <v>2744</v>
      </c>
      <c r="B3139" s="222" t="s">
        <v>41</v>
      </c>
      <c r="C3139" s="33">
        <v>66</v>
      </c>
      <c r="D3139" s="222" t="s">
        <v>2716</v>
      </c>
      <c r="E3139" s="354">
        <v>3</v>
      </c>
      <c r="F3139" s="354"/>
      <c r="G3139" s="688"/>
      <c r="H3139" s="708"/>
      <c r="I3139" s="707">
        <f t="shared" ref="I3139:I3202" si="98">H3139 * 1.15</f>
        <v>0</v>
      </c>
      <c r="J3139" s="708">
        <f t="shared" ref="J3139:J3202" si="99">H3139 * 1.3</f>
        <v>0</v>
      </c>
      <c r="K3139" s="70" t="s">
        <v>2727</v>
      </c>
    </row>
    <row r="3140" spans="1:11" ht="14.4">
      <c r="A3140" s="222" t="s">
        <v>3393</v>
      </c>
      <c r="B3140" s="222" t="s">
        <v>41</v>
      </c>
      <c r="C3140" s="33">
        <v>45</v>
      </c>
      <c r="D3140" s="222" t="s">
        <v>3348</v>
      </c>
      <c r="E3140" s="33">
        <v>4</v>
      </c>
      <c r="F3140" s="33"/>
      <c r="G3140" s="522"/>
      <c r="H3140" s="707"/>
      <c r="I3140" s="707">
        <f t="shared" si="98"/>
        <v>0</v>
      </c>
      <c r="J3140" s="707">
        <f t="shared" si="99"/>
        <v>0</v>
      </c>
      <c r="K3140" s="70"/>
    </row>
    <row r="3141" spans="1:11" ht="14.4">
      <c r="A3141" s="222" t="s">
        <v>623</v>
      </c>
      <c r="B3141" s="222" t="s">
        <v>41</v>
      </c>
      <c r="C3141" s="33">
        <v>8</v>
      </c>
      <c r="D3141" s="19" t="s">
        <v>593</v>
      </c>
      <c r="E3141" s="33">
        <v>1</v>
      </c>
      <c r="F3141" s="33"/>
      <c r="G3141" s="522"/>
      <c r="H3141" s="707"/>
      <c r="I3141" s="707">
        <f t="shared" si="98"/>
        <v>0</v>
      </c>
      <c r="J3141" s="707">
        <f t="shared" si="99"/>
        <v>0</v>
      </c>
      <c r="K3141" s="70"/>
    </row>
    <row r="3142" spans="1:11" ht="14.4">
      <c r="A3142" s="222" t="s">
        <v>1229</v>
      </c>
      <c r="B3142" s="222" t="s">
        <v>41</v>
      </c>
      <c r="C3142" s="33">
        <v>100</v>
      </c>
      <c r="D3142" s="222" t="s">
        <v>1201</v>
      </c>
      <c r="E3142" s="33">
        <v>3</v>
      </c>
      <c r="F3142" s="33"/>
      <c r="G3142" s="522"/>
      <c r="H3142" s="707"/>
      <c r="I3142" s="707">
        <f t="shared" si="98"/>
        <v>0</v>
      </c>
      <c r="J3142" s="707">
        <f t="shared" si="99"/>
        <v>0</v>
      </c>
      <c r="K3142" s="70"/>
    </row>
    <row r="3143" spans="1:11" ht="14.4">
      <c r="A3143" s="222" t="s">
        <v>3430</v>
      </c>
      <c r="B3143" s="222" t="s">
        <v>41</v>
      </c>
      <c r="C3143" s="33">
        <v>80</v>
      </c>
      <c r="D3143" s="679" t="s">
        <v>3348</v>
      </c>
      <c r="E3143" s="33">
        <v>5</v>
      </c>
      <c r="F3143" s="33"/>
      <c r="G3143" s="522"/>
      <c r="H3143" s="707"/>
      <c r="I3143" s="707">
        <f t="shared" si="98"/>
        <v>0</v>
      </c>
      <c r="J3143" s="707">
        <f t="shared" si="99"/>
        <v>0</v>
      </c>
      <c r="K3143" s="70"/>
    </row>
    <row r="3144" spans="1:11" ht="14.4">
      <c r="A3144" s="11" t="s">
        <v>3175</v>
      </c>
      <c r="B3144" s="34" t="s">
        <v>41</v>
      </c>
      <c r="C3144" s="11">
        <v>154</v>
      </c>
      <c r="D3144" s="222" t="s">
        <v>3053</v>
      </c>
      <c r="E3144" s="33">
        <v>3</v>
      </c>
      <c r="F3144" s="33"/>
      <c r="G3144" s="522"/>
      <c r="H3144" s="707"/>
      <c r="I3144" s="707">
        <f t="shared" si="98"/>
        <v>0</v>
      </c>
      <c r="J3144" s="707">
        <f t="shared" si="99"/>
        <v>0</v>
      </c>
      <c r="K3144" s="70"/>
    </row>
    <row r="3145" spans="1:11" ht="14.4">
      <c r="A3145" s="11" t="s">
        <v>3123</v>
      </c>
      <c r="B3145" s="34" t="s">
        <v>41</v>
      </c>
      <c r="C3145" s="11">
        <v>100</v>
      </c>
      <c r="D3145" s="222" t="s">
        <v>3053</v>
      </c>
      <c r="E3145" s="33">
        <v>3</v>
      </c>
      <c r="F3145" s="33"/>
      <c r="G3145" s="522"/>
      <c r="H3145" s="707"/>
      <c r="I3145" s="707">
        <f t="shared" si="98"/>
        <v>0</v>
      </c>
      <c r="J3145" s="707">
        <f t="shared" si="99"/>
        <v>0</v>
      </c>
      <c r="K3145" s="70"/>
    </row>
    <row r="3146" spans="1:11" ht="14.4">
      <c r="A3146" s="33" t="s">
        <v>2351</v>
      </c>
      <c r="B3146" s="33" t="s">
        <v>41</v>
      </c>
      <c r="C3146" s="33">
        <v>49</v>
      </c>
      <c r="D3146" s="33" t="s">
        <v>2276</v>
      </c>
      <c r="E3146" s="33">
        <v>1</v>
      </c>
      <c r="F3146" s="33"/>
      <c r="G3146" s="522"/>
      <c r="H3146" s="707"/>
      <c r="I3146" s="707">
        <f t="shared" si="98"/>
        <v>0</v>
      </c>
      <c r="J3146" s="707">
        <f t="shared" si="99"/>
        <v>0</v>
      </c>
      <c r="K3146" s="70"/>
    </row>
    <row r="3147" spans="1:11" ht="14.4">
      <c r="A3147" s="222" t="s">
        <v>2548</v>
      </c>
      <c r="B3147" s="222" t="s">
        <v>41</v>
      </c>
      <c r="C3147" s="33">
        <v>92</v>
      </c>
      <c r="D3147" s="222" t="s">
        <v>2540</v>
      </c>
      <c r="E3147" s="33">
        <v>1</v>
      </c>
      <c r="F3147" s="33"/>
      <c r="G3147" s="522"/>
      <c r="H3147" s="707"/>
      <c r="I3147" s="707">
        <f t="shared" si="98"/>
        <v>0</v>
      </c>
      <c r="J3147" s="707">
        <f t="shared" si="99"/>
        <v>0</v>
      </c>
      <c r="K3147" s="70"/>
    </row>
    <row r="3148" spans="1:11" ht="14.4">
      <c r="A3148" s="7" t="s">
        <v>2548</v>
      </c>
      <c r="B3148" s="9" t="s">
        <v>10</v>
      </c>
      <c r="C3148" s="11">
        <v>165</v>
      </c>
      <c r="D3148" s="14" t="s">
        <v>2802</v>
      </c>
      <c r="E3148" s="15">
        <v>3</v>
      </c>
      <c r="F3148" s="15"/>
      <c r="G3148" s="684"/>
      <c r="H3148" s="707"/>
      <c r="I3148" s="707">
        <f t="shared" si="98"/>
        <v>0</v>
      </c>
      <c r="J3148" s="707">
        <f t="shared" si="99"/>
        <v>0</v>
      </c>
      <c r="K3148" s="70"/>
    </row>
    <row r="3149" spans="1:11" ht="24" customHeight="1">
      <c r="A3149" s="431" t="s">
        <v>2523</v>
      </c>
      <c r="B3149" s="431" t="s">
        <v>41</v>
      </c>
      <c r="C3149" s="74">
        <v>158</v>
      </c>
      <c r="D3149" s="222" t="s">
        <v>2504</v>
      </c>
      <c r="E3149" s="33">
        <v>5</v>
      </c>
      <c r="F3149" s="33"/>
      <c r="G3149" s="522"/>
      <c r="H3149" s="707"/>
      <c r="I3149" s="707">
        <f t="shared" si="98"/>
        <v>0</v>
      </c>
      <c r="J3149" s="707">
        <f t="shared" si="99"/>
        <v>0</v>
      </c>
      <c r="K3149" s="70"/>
    </row>
    <row r="3150" spans="1:11" ht="24" customHeight="1">
      <c r="A3150" s="431" t="s">
        <v>1119</v>
      </c>
      <c r="B3150" s="431" t="s">
        <v>41</v>
      </c>
      <c r="C3150" s="74">
        <v>8</v>
      </c>
      <c r="D3150" s="222" t="s">
        <v>992</v>
      </c>
      <c r="E3150" s="33">
        <v>5</v>
      </c>
      <c r="F3150" s="33"/>
      <c r="G3150" s="522"/>
      <c r="H3150" s="707"/>
      <c r="I3150" s="707">
        <f t="shared" si="98"/>
        <v>0</v>
      </c>
      <c r="J3150" s="707">
        <f t="shared" si="99"/>
        <v>0</v>
      </c>
      <c r="K3150" s="70"/>
    </row>
    <row r="3151" spans="1:11" ht="24" customHeight="1">
      <c r="A3151" s="16" t="s">
        <v>2864</v>
      </c>
      <c r="B3151" s="16" t="s">
        <v>19</v>
      </c>
      <c r="C3151" s="17">
        <v>10</v>
      </c>
      <c r="D3151" s="14" t="s">
        <v>2802</v>
      </c>
      <c r="E3151" s="15">
        <v>3</v>
      </c>
      <c r="F3151" s="15"/>
      <c r="G3151" s="684"/>
      <c r="H3151" s="707"/>
      <c r="I3151" s="707">
        <f t="shared" si="98"/>
        <v>0</v>
      </c>
      <c r="J3151" s="707">
        <f t="shared" si="99"/>
        <v>0</v>
      </c>
      <c r="K3151" s="70"/>
    </row>
    <row r="3152" spans="1:11" ht="24" customHeight="1">
      <c r="A3152" s="33" t="s">
        <v>161</v>
      </c>
      <c r="B3152" s="33" t="s">
        <v>19</v>
      </c>
      <c r="C3152" s="33">
        <v>92</v>
      </c>
      <c r="D3152" s="19" t="s">
        <v>11</v>
      </c>
      <c r="E3152" s="33">
        <v>3</v>
      </c>
      <c r="F3152" s="33"/>
      <c r="G3152" s="522"/>
      <c r="H3152" s="707">
        <v>2</v>
      </c>
      <c r="I3152" s="707">
        <f t="shared" si="98"/>
        <v>2.2999999999999998</v>
      </c>
      <c r="J3152" s="707">
        <f t="shared" si="99"/>
        <v>2.6</v>
      </c>
      <c r="K3152" s="70"/>
    </row>
    <row r="3153" spans="1:11" ht="24" customHeight="1">
      <c r="A3153" s="17" t="s">
        <v>2865</v>
      </c>
      <c r="B3153" s="17" t="s">
        <v>19</v>
      </c>
      <c r="C3153" s="17">
        <v>11</v>
      </c>
      <c r="D3153" s="14" t="s">
        <v>2802</v>
      </c>
      <c r="E3153" s="15">
        <v>3</v>
      </c>
      <c r="F3153" s="15"/>
      <c r="G3153" s="684"/>
      <c r="H3153" s="707"/>
      <c r="I3153" s="707">
        <f t="shared" si="98"/>
        <v>0</v>
      </c>
      <c r="J3153" s="707">
        <f t="shared" si="99"/>
        <v>0</v>
      </c>
      <c r="K3153" s="70"/>
    </row>
    <row r="3154" spans="1:11" ht="24" customHeight="1">
      <c r="A3154" s="33" t="s">
        <v>459</v>
      </c>
      <c r="B3154" s="33" t="s">
        <v>19</v>
      </c>
      <c r="C3154" s="33">
        <v>44</v>
      </c>
      <c r="D3154" s="19" t="s">
        <v>274</v>
      </c>
      <c r="E3154" s="33">
        <v>3</v>
      </c>
      <c r="F3154" s="33"/>
      <c r="G3154" s="522"/>
      <c r="H3154" s="707"/>
      <c r="I3154" s="707">
        <f t="shared" si="98"/>
        <v>0</v>
      </c>
      <c r="J3154" s="707">
        <f t="shared" si="99"/>
        <v>0</v>
      </c>
      <c r="K3154" s="70"/>
    </row>
    <row r="3155" spans="1:11" ht="24" customHeight="1">
      <c r="A3155" s="33" t="s">
        <v>157</v>
      </c>
      <c r="B3155" s="33" t="s">
        <v>19</v>
      </c>
      <c r="C3155" s="33">
        <v>175</v>
      </c>
      <c r="D3155" s="19" t="s">
        <v>11</v>
      </c>
      <c r="E3155" s="33">
        <v>3</v>
      </c>
      <c r="F3155" s="33"/>
      <c r="G3155" s="522"/>
      <c r="H3155" s="707">
        <v>0.5</v>
      </c>
      <c r="I3155" s="707">
        <f t="shared" si="98"/>
        <v>0.57499999999999996</v>
      </c>
      <c r="J3155" s="707">
        <f t="shared" si="99"/>
        <v>0.65</v>
      </c>
      <c r="K3155" s="70"/>
    </row>
    <row r="3156" spans="1:11" ht="24" customHeight="1">
      <c r="A3156" s="33" t="s">
        <v>157</v>
      </c>
      <c r="B3156" s="33" t="s">
        <v>19</v>
      </c>
      <c r="C3156" s="33">
        <v>8</v>
      </c>
      <c r="D3156" s="33" t="s">
        <v>2276</v>
      </c>
      <c r="E3156" s="33">
        <v>1</v>
      </c>
      <c r="F3156" s="33"/>
      <c r="G3156" s="522"/>
      <c r="H3156" s="707">
        <v>0.5</v>
      </c>
      <c r="I3156" s="707">
        <f t="shared" si="98"/>
        <v>0.57499999999999996</v>
      </c>
      <c r="J3156" s="707">
        <f t="shared" si="99"/>
        <v>0.65</v>
      </c>
      <c r="K3156" s="70"/>
    </row>
    <row r="3157" spans="1:11" ht="24" customHeight="1">
      <c r="A3157" s="59" t="s">
        <v>157</v>
      </c>
      <c r="B3157" s="59" t="s">
        <v>19</v>
      </c>
      <c r="C3157" s="59">
        <v>992</v>
      </c>
      <c r="D3157" s="664" t="s">
        <v>2624</v>
      </c>
      <c r="E3157" s="354">
        <v>5</v>
      </c>
      <c r="F3157" s="354"/>
      <c r="G3157" s="688"/>
      <c r="H3157" s="707">
        <v>0.5</v>
      </c>
      <c r="I3157" s="707">
        <f t="shared" si="98"/>
        <v>0.57499999999999996</v>
      </c>
      <c r="J3157" s="707">
        <f t="shared" si="99"/>
        <v>0.65</v>
      </c>
      <c r="K3157" s="70"/>
    </row>
    <row r="3158" spans="1:11" ht="24" customHeight="1">
      <c r="A3158" s="9" t="s">
        <v>157</v>
      </c>
      <c r="B3158" s="9" t="s">
        <v>19</v>
      </c>
      <c r="C3158" s="11">
        <v>12</v>
      </c>
      <c r="D3158" s="14" t="s">
        <v>3451</v>
      </c>
      <c r="E3158" s="15">
        <v>3</v>
      </c>
      <c r="F3158" s="15"/>
      <c r="G3158" s="684"/>
      <c r="H3158" s="707"/>
      <c r="I3158" s="707">
        <f t="shared" si="98"/>
        <v>0</v>
      </c>
      <c r="J3158" s="707">
        <f t="shared" si="99"/>
        <v>0</v>
      </c>
      <c r="K3158" s="70"/>
    </row>
    <row r="3159" spans="1:11" ht="24" customHeight="1">
      <c r="A3159" s="222" t="s">
        <v>154</v>
      </c>
      <c r="B3159" s="222" t="s">
        <v>19</v>
      </c>
      <c r="C3159" s="33">
        <v>88</v>
      </c>
      <c r="D3159" s="19" t="s">
        <v>11</v>
      </c>
      <c r="E3159" s="33">
        <v>3</v>
      </c>
      <c r="F3159" s="33"/>
      <c r="G3159" s="522"/>
      <c r="H3159" s="707"/>
      <c r="I3159" s="707">
        <f t="shared" si="98"/>
        <v>0</v>
      </c>
      <c r="J3159" s="707">
        <f t="shared" si="99"/>
        <v>0</v>
      </c>
      <c r="K3159" s="70"/>
    </row>
    <row r="3160" spans="1:11" ht="24" customHeight="1">
      <c r="A3160" s="431" t="s">
        <v>1488</v>
      </c>
      <c r="B3160" s="431" t="s">
        <v>56</v>
      </c>
      <c r="C3160" s="74">
        <v>109</v>
      </c>
      <c r="D3160" s="222" t="s">
        <v>1372</v>
      </c>
      <c r="E3160" s="33">
        <v>5</v>
      </c>
      <c r="F3160" s="33"/>
      <c r="G3160" s="522"/>
      <c r="H3160" s="707"/>
      <c r="I3160" s="707">
        <f t="shared" si="98"/>
        <v>0</v>
      </c>
      <c r="J3160" s="707">
        <f t="shared" si="99"/>
        <v>0</v>
      </c>
      <c r="K3160" s="70"/>
    </row>
    <row r="3161" spans="1:11" ht="24" customHeight="1">
      <c r="A3161" s="9" t="s">
        <v>2844</v>
      </c>
      <c r="B3161" s="9" t="s">
        <v>10</v>
      </c>
      <c r="C3161" s="11">
        <v>9</v>
      </c>
      <c r="D3161" s="14" t="s">
        <v>2802</v>
      </c>
      <c r="E3161" s="15">
        <v>3</v>
      </c>
      <c r="F3161" s="15"/>
      <c r="G3161" s="684"/>
      <c r="H3161" s="707">
        <v>1</v>
      </c>
      <c r="I3161" s="707">
        <f t="shared" si="98"/>
        <v>1.1499999999999999</v>
      </c>
      <c r="J3161" s="707">
        <f t="shared" si="99"/>
        <v>1.3</v>
      </c>
      <c r="K3161" s="70"/>
    </row>
    <row r="3162" spans="1:11" ht="24" customHeight="1">
      <c r="A3162" s="222" t="s">
        <v>1260</v>
      </c>
      <c r="B3162" s="222" t="s">
        <v>10</v>
      </c>
      <c r="C3162" s="33">
        <v>2</v>
      </c>
      <c r="D3162" s="222" t="s">
        <v>2276</v>
      </c>
      <c r="E3162" s="33">
        <v>1</v>
      </c>
      <c r="F3162" s="33"/>
      <c r="G3162" s="522"/>
      <c r="H3162" s="707">
        <v>1</v>
      </c>
      <c r="I3162" s="707">
        <f t="shared" si="98"/>
        <v>1.1499999999999999</v>
      </c>
      <c r="J3162" s="707">
        <f t="shared" si="99"/>
        <v>1.3</v>
      </c>
      <c r="K3162" s="70" t="s">
        <v>1970</v>
      </c>
    </row>
    <row r="3163" spans="1:11" ht="24" customHeight="1">
      <c r="A3163" s="222" t="s">
        <v>1260</v>
      </c>
      <c r="B3163" s="222" t="s">
        <v>10</v>
      </c>
      <c r="C3163" s="33">
        <v>11</v>
      </c>
      <c r="D3163" s="222" t="s">
        <v>2363</v>
      </c>
      <c r="E3163" s="33">
        <v>3</v>
      </c>
      <c r="F3163" s="33"/>
      <c r="G3163" s="522"/>
      <c r="H3163" s="707">
        <v>1</v>
      </c>
      <c r="I3163" s="707">
        <f t="shared" si="98"/>
        <v>1.1499999999999999</v>
      </c>
      <c r="J3163" s="707">
        <f t="shared" si="99"/>
        <v>1.3</v>
      </c>
      <c r="K3163" s="70" t="s">
        <v>51</v>
      </c>
    </row>
    <row r="3164" spans="1:11" ht="24" customHeight="1">
      <c r="A3164" s="222" t="s">
        <v>1260</v>
      </c>
      <c r="B3164" s="222" t="s">
        <v>172</v>
      </c>
      <c r="C3164" s="33">
        <v>9</v>
      </c>
      <c r="D3164" s="222" t="s">
        <v>1201</v>
      </c>
      <c r="E3164" s="33">
        <v>4</v>
      </c>
      <c r="F3164" s="33"/>
      <c r="G3164" s="522"/>
      <c r="H3164" s="707">
        <v>1</v>
      </c>
      <c r="I3164" s="707">
        <f t="shared" si="98"/>
        <v>1.1499999999999999</v>
      </c>
      <c r="J3164" s="707">
        <f t="shared" si="99"/>
        <v>1.3</v>
      </c>
      <c r="K3164" s="70"/>
    </row>
    <row r="3165" spans="1:11" ht="24" customHeight="1">
      <c r="A3165" s="19" t="s">
        <v>649</v>
      </c>
      <c r="B3165" s="19" t="s">
        <v>21</v>
      </c>
      <c r="C3165" s="2">
        <v>80</v>
      </c>
      <c r="D3165" s="19" t="s">
        <v>593</v>
      </c>
      <c r="E3165" s="33">
        <v>1</v>
      </c>
      <c r="F3165" s="33"/>
      <c r="G3165" s="522"/>
      <c r="H3165" s="707">
        <v>1</v>
      </c>
      <c r="I3165" s="707">
        <f t="shared" si="98"/>
        <v>1.1499999999999999</v>
      </c>
      <c r="J3165" s="707">
        <f t="shared" si="99"/>
        <v>1.3</v>
      </c>
      <c r="K3165" s="70"/>
    </row>
    <row r="3166" spans="1:11" ht="24" customHeight="1">
      <c r="A3166" s="19" t="s">
        <v>3691</v>
      </c>
      <c r="B3166" s="19" t="s">
        <v>10</v>
      </c>
      <c r="C3166" s="2">
        <v>1</v>
      </c>
      <c r="D3166" s="19" t="s">
        <v>3671</v>
      </c>
      <c r="E3166" s="33">
        <v>2</v>
      </c>
      <c r="F3166" s="33"/>
      <c r="G3166" s="522"/>
      <c r="H3166" s="707"/>
      <c r="I3166" s="707">
        <f t="shared" si="98"/>
        <v>0</v>
      </c>
      <c r="J3166" s="707">
        <f t="shared" si="99"/>
        <v>0</v>
      </c>
      <c r="K3166" s="70"/>
    </row>
    <row r="3167" spans="1:11" ht="24" customHeight="1">
      <c r="A3167" s="19" t="s">
        <v>844</v>
      </c>
      <c r="B3167" s="19" t="s">
        <v>845</v>
      </c>
      <c r="C3167" s="2">
        <v>96</v>
      </c>
      <c r="D3167" s="19" t="s">
        <v>593</v>
      </c>
      <c r="E3167" s="33">
        <v>3</v>
      </c>
      <c r="F3167" s="33"/>
      <c r="G3167" s="522"/>
      <c r="H3167" s="707"/>
      <c r="I3167" s="707">
        <f t="shared" si="98"/>
        <v>0</v>
      </c>
      <c r="J3167" s="707">
        <f t="shared" si="99"/>
        <v>0</v>
      </c>
      <c r="K3167" s="70"/>
    </row>
    <row r="3168" spans="1:11" ht="24" customHeight="1">
      <c r="A3168" s="19" t="s">
        <v>791</v>
      </c>
      <c r="B3168" s="19" t="s">
        <v>41</v>
      </c>
      <c r="C3168" s="2">
        <v>9</v>
      </c>
      <c r="D3168" s="19" t="s">
        <v>593</v>
      </c>
      <c r="E3168" s="33">
        <v>3</v>
      </c>
      <c r="F3168" s="33"/>
      <c r="G3168" s="522"/>
      <c r="H3168" s="707">
        <v>2.2999999999999998</v>
      </c>
      <c r="I3168" s="707">
        <f t="shared" si="98"/>
        <v>2.6449999999999996</v>
      </c>
      <c r="J3168" s="707">
        <f t="shared" si="99"/>
        <v>2.9899999999999998</v>
      </c>
      <c r="K3168" s="70"/>
    </row>
    <row r="3169" spans="1:11" ht="24" customHeight="1">
      <c r="A3169" s="431" t="s">
        <v>2482</v>
      </c>
      <c r="B3169" s="431" t="s">
        <v>41</v>
      </c>
      <c r="C3169" s="74">
        <v>5</v>
      </c>
      <c r="D3169" s="222" t="s">
        <v>2363</v>
      </c>
      <c r="E3169" s="33">
        <v>5</v>
      </c>
      <c r="F3169" s="33"/>
      <c r="G3169" s="522"/>
      <c r="H3169" s="707"/>
      <c r="I3169" s="707">
        <f t="shared" si="98"/>
        <v>0</v>
      </c>
      <c r="J3169" s="707">
        <f t="shared" si="99"/>
        <v>0</v>
      </c>
      <c r="K3169" s="70"/>
    </row>
    <row r="3170" spans="1:11" ht="24" customHeight="1">
      <c r="A3170" s="19" t="s">
        <v>774</v>
      </c>
      <c r="B3170" s="19" t="s">
        <v>41</v>
      </c>
      <c r="C3170" s="2">
        <v>8</v>
      </c>
      <c r="D3170" s="19" t="s">
        <v>593</v>
      </c>
      <c r="E3170" s="33">
        <v>3</v>
      </c>
      <c r="F3170" s="33"/>
      <c r="G3170" s="522"/>
      <c r="H3170" s="707"/>
      <c r="I3170" s="707">
        <f t="shared" si="98"/>
        <v>0</v>
      </c>
      <c r="J3170" s="707">
        <f t="shared" si="99"/>
        <v>0</v>
      </c>
      <c r="K3170" s="70"/>
    </row>
    <row r="3171" spans="1:11" ht="24" customHeight="1">
      <c r="A3171" s="222" t="s">
        <v>2733</v>
      </c>
      <c r="B3171" s="222" t="s">
        <v>41</v>
      </c>
      <c r="C3171" s="33">
        <v>1427</v>
      </c>
      <c r="D3171" s="222" t="s">
        <v>2716</v>
      </c>
      <c r="E3171" s="354">
        <v>3</v>
      </c>
      <c r="F3171" s="354"/>
      <c r="G3171" s="688"/>
      <c r="H3171" s="708"/>
      <c r="I3171" s="707">
        <f t="shared" si="98"/>
        <v>0</v>
      </c>
      <c r="J3171" s="708">
        <f t="shared" si="99"/>
        <v>0</v>
      </c>
      <c r="K3171" s="70" t="s">
        <v>2727</v>
      </c>
    </row>
    <row r="3172" spans="1:11" ht="24" customHeight="1">
      <c r="A3172" s="222" t="s">
        <v>2036</v>
      </c>
      <c r="B3172" s="222" t="s">
        <v>41</v>
      </c>
      <c r="C3172" s="33">
        <v>250</v>
      </c>
      <c r="D3172" s="222" t="s">
        <v>2026</v>
      </c>
      <c r="E3172" s="33">
        <v>3</v>
      </c>
      <c r="F3172" s="33"/>
      <c r="G3172" s="522"/>
      <c r="H3172" s="707"/>
      <c r="I3172" s="707">
        <f t="shared" si="98"/>
        <v>0</v>
      </c>
      <c r="J3172" s="707">
        <f t="shared" si="99"/>
        <v>0</v>
      </c>
      <c r="K3172" s="70"/>
    </row>
    <row r="3173" spans="1:11" ht="24" customHeight="1">
      <c r="A3173" s="33" t="s">
        <v>2032</v>
      </c>
      <c r="B3173" s="33" t="s">
        <v>41</v>
      </c>
      <c r="C3173" s="33">
        <v>94</v>
      </c>
      <c r="D3173" s="33" t="s">
        <v>2026</v>
      </c>
      <c r="E3173" s="33">
        <v>3</v>
      </c>
      <c r="F3173" s="33"/>
      <c r="G3173" s="522"/>
      <c r="H3173" s="707">
        <v>10</v>
      </c>
      <c r="I3173" s="707">
        <f t="shared" si="98"/>
        <v>11.5</v>
      </c>
      <c r="J3173" s="707">
        <f t="shared" si="99"/>
        <v>13</v>
      </c>
      <c r="K3173" s="70"/>
    </row>
    <row r="3174" spans="1:11" ht="24" customHeight="1">
      <c r="A3174" s="33" t="s">
        <v>1851</v>
      </c>
      <c r="B3174" s="33" t="s">
        <v>10</v>
      </c>
      <c r="C3174" s="33">
        <v>7</v>
      </c>
      <c r="D3174" s="2" t="s">
        <v>1785</v>
      </c>
      <c r="E3174" s="33">
        <v>2</v>
      </c>
      <c r="F3174" s="33"/>
      <c r="G3174" s="522"/>
      <c r="H3174" s="707"/>
      <c r="I3174" s="707">
        <f t="shared" si="98"/>
        <v>0</v>
      </c>
      <c r="J3174" s="707">
        <f t="shared" si="99"/>
        <v>0</v>
      </c>
      <c r="K3174" s="70" t="s">
        <v>51</v>
      </c>
    </row>
    <row r="3175" spans="1:11" ht="24" customHeight="1">
      <c r="A3175" s="431" t="s">
        <v>1121</v>
      </c>
      <c r="B3175" s="431" t="s">
        <v>96</v>
      </c>
      <c r="C3175" s="74">
        <v>4</v>
      </c>
      <c r="D3175" s="222" t="s">
        <v>992</v>
      </c>
      <c r="E3175" s="33">
        <v>5</v>
      </c>
      <c r="F3175" s="33"/>
      <c r="G3175" s="522"/>
      <c r="H3175" s="707"/>
      <c r="I3175" s="707">
        <f t="shared" si="98"/>
        <v>0</v>
      </c>
      <c r="J3175" s="707">
        <f t="shared" si="99"/>
        <v>0</v>
      </c>
      <c r="K3175" s="70"/>
    </row>
    <row r="3176" spans="1:11" ht="24" customHeight="1">
      <c r="A3176" s="222" t="s">
        <v>1121</v>
      </c>
      <c r="B3176" s="222" t="s">
        <v>96</v>
      </c>
      <c r="C3176" s="33">
        <v>1</v>
      </c>
      <c r="D3176" s="222" t="s">
        <v>1938</v>
      </c>
      <c r="E3176" s="33">
        <v>2</v>
      </c>
      <c r="F3176" s="33"/>
      <c r="G3176" s="522"/>
      <c r="H3176" s="707"/>
      <c r="I3176" s="707">
        <f t="shared" si="98"/>
        <v>0</v>
      </c>
      <c r="J3176" s="707">
        <f t="shared" si="99"/>
        <v>0</v>
      </c>
      <c r="K3176" s="70"/>
    </row>
    <row r="3177" spans="1:11" ht="24" customHeight="1">
      <c r="A3177" s="222" t="s">
        <v>95</v>
      </c>
      <c r="B3177" s="222" t="s">
        <v>96</v>
      </c>
      <c r="C3177" s="33">
        <v>2</v>
      </c>
      <c r="D3177" s="19" t="s">
        <v>11</v>
      </c>
      <c r="E3177" s="33">
        <v>1</v>
      </c>
      <c r="F3177" s="33"/>
      <c r="G3177" s="522"/>
      <c r="H3177" s="707"/>
      <c r="I3177" s="707">
        <f t="shared" si="98"/>
        <v>0</v>
      </c>
      <c r="J3177" s="707">
        <f t="shared" si="99"/>
        <v>0</v>
      </c>
      <c r="K3177" s="70"/>
    </row>
    <row r="3178" spans="1:11" ht="24" customHeight="1">
      <c r="A3178" s="2" t="s">
        <v>95</v>
      </c>
      <c r="B3178" s="2" t="s">
        <v>96</v>
      </c>
      <c r="C3178" s="2">
        <v>21</v>
      </c>
      <c r="D3178" s="19" t="s">
        <v>274</v>
      </c>
      <c r="E3178" s="33">
        <v>1</v>
      </c>
      <c r="F3178" s="33"/>
      <c r="G3178" s="522"/>
      <c r="H3178" s="707"/>
      <c r="I3178" s="707">
        <f t="shared" si="98"/>
        <v>0</v>
      </c>
      <c r="J3178" s="707">
        <f t="shared" si="99"/>
        <v>0</v>
      </c>
      <c r="K3178" s="70"/>
    </row>
    <row r="3179" spans="1:11" ht="24" customHeight="1">
      <c r="A3179" s="2" t="s">
        <v>95</v>
      </c>
      <c r="B3179" s="2" t="s">
        <v>10</v>
      </c>
      <c r="C3179" s="2">
        <v>10</v>
      </c>
      <c r="D3179" s="2" t="s">
        <v>3548</v>
      </c>
      <c r="E3179" s="33">
        <v>5</v>
      </c>
      <c r="F3179" s="33"/>
      <c r="G3179" s="522"/>
      <c r="H3179" s="707"/>
      <c r="I3179" s="707">
        <f t="shared" si="98"/>
        <v>0</v>
      </c>
      <c r="J3179" s="707">
        <f t="shared" si="99"/>
        <v>0</v>
      </c>
      <c r="K3179" s="70"/>
    </row>
    <row r="3180" spans="1:11" ht="24" customHeight="1">
      <c r="A3180" s="19" t="s">
        <v>3692</v>
      </c>
      <c r="B3180" s="19" t="s">
        <v>10</v>
      </c>
      <c r="C3180" s="2">
        <v>5</v>
      </c>
      <c r="D3180" s="19" t="s">
        <v>3671</v>
      </c>
      <c r="E3180" s="33">
        <v>2</v>
      </c>
      <c r="F3180" s="33"/>
      <c r="G3180" s="522"/>
      <c r="H3180" s="707"/>
      <c r="I3180" s="707">
        <f t="shared" si="98"/>
        <v>0</v>
      </c>
      <c r="J3180" s="707">
        <f t="shared" si="99"/>
        <v>0</v>
      </c>
      <c r="K3180" s="70"/>
    </row>
    <row r="3181" spans="1:11" ht="24" customHeight="1">
      <c r="A3181" s="19" t="s">
        <v>3688</v>
      </c>
      <c r="B3181" s="19" t="s">
        <v>10</v>
      </c>
      <c r="C3181" s="2">
        <v>3</v>
      </c>
      <c r="D3181" s="19" t="s">
        <v>3671</v>
      </c>
      <c r="E3181" s="33">
        <v>2</v>
      </c>
      <c r="F3181" s="33"/>
      <c r="G3181" s="522"/>
      <c r="H3181" s="707"/>
      <c r="I3181" s="707">
        <f t="shared" si="98"/>
        <v>0</v>
      </c>
      <c r="J3181" s="707">
        <f t="shared" si="99"/>
        <v>0</v>
      </c>
      <c r="K3181" s="70"/>
    </row>
    <row r="3182" spans="1:11" ht="24" customHeight="1">
      <c r="A3182" s="19" t="s">
        <v>3687</v>
      </c>
      <c r="B3182" s="19" t="s">
        <v>10</v>
      </c>
      <c r="C3182" s="2">
        <v>2</v>
      </c>
      <c r="D3182" s="19" t="s">
        <v>3671</v>
      </c>
      <c r="E3182" s="33">
        <v>2</v>
      </c>
      <c r="F3182" s="33"/>
      <c r="G3182" s="522"/>
      <c r="H3182" s="707"/>
      <c r="I3182" s="707">
        <f t="shared" si="98"/>
        <v>0</v>
      </c>
      <c r="J3182" s="707">
        <f t="shared" si="99"/>
        <v>0</v>
      </c>
      <c r="K3182" s="70"/>
    </row>
    <row r="3183" spans="1:11" ht="24" customHeight="1">
      <c r="A3183" s="33" t="s">
        <v>2631</v>
      </c>
      <c r="B3183" s="33" t="s">
        <v>10</v>
      </c>
      <c r="C3183" s="33">
        <v>2</v>
      </c>
      <c r="D3183" s="222" t="s">
        <v>2624</v>
      </c>
      <c r="E3183" s="33">
        <v>3</v>
      </c>
      <c r="F3183" s="33"/>
      <c r="G3183" s="522"/>
      <c r="H3183" s="707"/>
      <c r="I3183" s="707">
        <f t="shared" si="98"/>
        <v>0</v>
      </c>
      <c r="J3183" s="707">
        <f t="shared" si="99"/>
        <v>0</v>
      </c>
      <c r="K3183" s="70"/>
    </row>
    <row r="3184" spans="1:11" ht="24" customHeight="1">
      <c r="A3184" s="2" t="s">
        <v>3722</v>
      </c>
      <c r="B3184" s="2" t="s">
        <v>81</v>
      </c>
      <c r="C3184" s="2">
        <v>50</v>
      </c>
      <c r="D3184" s="19" t="s">
        <v>3705</v>
      </c>
      <c r="E3184" s="33">
        <v>2</v>
      </c>
      <c r="F3184" s="33"/>
      <c r="G3184" s="522"/>
      <c r="H3184" s="707"/>
      <c r="I3184" s="707">
        <f t="shared" si="98"/>
        <v>0</v>
      </c>
      <c r="J3184" s="707">
        <f t="shared" si="99"/>
        <v>0</v>
      </c>
      <c r="K3184" s="55"/>
    </row>
    <row r="3185" spans="1:11" ht="24" customHeight="1">
      <c r="A3185" s="33" t="s">
        <v>2352</v>
      </c>
      <c r="B3185" s="33" t="s">
        <v>10</v>
      </c>
      <c r="C3185" s="33">
        <v>93</v>
      </c>
      <c r="D3185" s="222" t="s">
        <v>2276</v>
      </c>
      <c r="E3185" s="33">
        <v>1</v>
      </c>
      <c r="F3185" s="33"/>
      <c r="G3185" s="522"/>
      <c r="H3185" s="707"/>
      <c r="I3185" s="707">
        <f t="shared" si="98"/>
        <v>0</v>
      </c>
      <c r="J3185" s="707">
        <f t="shared" si="99"/>
        <v>0</v>
      </c>
      <c r="K3185" s="70"/>
    </row>
    <row r="3186" spans="1:11" ht="24" customHeight="1">
      <c r="A3186" s="33" t="s">
        <v>2352</v>
      </c>
      <c r="B3186" s="33" t="s">
        <v>10</v>
      </c>
      <c r="C3186" s="33">
        <v>1</v>
      </c>
      <c r="D3186" s="222" t="s">
        <v>2624</v>
      </c>
      <c r="E3186" s="33">
        <v>4</v>
      </c>
      <c r="F3186" s="33"/>
      <c r="G3186" s="522"/>
      <c r="H3186" s="707"/>
      <c r="I3186" s="707">
        <f t="shared" si="98"/>
        <v>0</v>
      </c>
      <c r="J3186" s="707">
        <f t="shared" si="99"/>
        <v>0</v>
      </c>
      <c r="K3186" s="70"/>
    </row>
    <row r="3187" spans="1:11" ht="24" customHeight="1">
      <c r="A3187" s="33" t="s">
        <v>2352</v>
      </c>
      <c r="B3187" s="33" t="s">
        <v>10</v>
      </c>
      <c r="C3187" s="33">
        <v>2</v>
      </c>
      <c r="D3187" s="222" t="s">
        <v>3279</v>
      </c>
      <c r="E3187" s="33">
        <v>4</v>
      </c>
      <c r="F3187" s="33"/>
      <c r="G3187" s="522"/>
      <c r="H3187" s="707"/>
      <c r="I3187" s="707">
        <f t="shared" si="98"/>
        <v>0</v>
      </c>
      <c r="J3187" s="707">
        <f t="shared" si="99"/>
        <v>0</v>
      </c>
      <c r="K3187" s="70"/>
    </row>
    <row r="3188" spans="1:11" ht="24" customHeight="1">
      <c r="A3188" s="33" t="s">
        <v>2346</v>
      </c>
      <c r="B3188" s="33" t="s">
        <v>27</v>
      </c>
      <c r="C3188" s="33">
        <v>6</v>
      </c>
      <c r="D3188" s="222" t="s">
        <v>2276</v>
      </c>
      <c r="E3188" s="33">
        <v>1</v>
      </c>
      <c r="F3188" s="33"/>
      <c r="G3188" s="522"/>
      <c r="H3188" s="707">
        <v>10</v>
      </c>
      <c r="I3188" s="707">
        <f t="shared" si="98"/>
        <v>11.5</v>
      </c>
      <c r="J3188" s="707">
        <f t="shared" si="99"/>
        <v>13</v>
      </c>
      <c r="K3188" s="70"/>
    </row>
    <row r="3189" spans="1:11" ht="24" customHeight="1">
      <c r="A3189" s="2" t="s">
        <v>436</v>
      </c>
      <c r="B3189" s="2" t="s">
        <v>27</v>
      </c>
      <c r="C3189" s="2">
        <v>1</v>
      </c>
      <c r="D3189" s="2" t="s">
        <v>274</v>
      </c>
      <c r="E3189" s="33">
        <v>3</v>
      </c>
      <c r="F3189" s="33"/>
      <c r="G3189" s="522"/>
      <c r="H3189" s="707"/>
      <c r="I3189" s="707">
        <f t="shared" si="98"/>
        <v>0</v>
      </c>
      <c r="J3189" s="707">
        <f t="shared" si="99"/>
        <v>0</v>
      </c>
      <c r="K3189" s="70"/>
    </row>
    <row r="3190" spans="1:11" ht="24" customHeight="1">
      <c r="A3190" s="74" t="s">
        <v>1672</v>
      </c>
      <c r="B3190" s="74" t="s">
        <v>485</v>
      </c>
      <c r="C3190" s="74">
        <v>1</v>
      </c>
      <c r="D3190" s="33" t="s">
        <v>1548</v>
      </c>
      <c r="E3190" s="33">
        <v>5</v>
      </c>
      <c r="F3190" s="33"/>
      <c r="G3190" s="522"/>
      <c r="H3190" s="707"/>
      <c r="I3190" s="707">
        <f t="shared" si="98"/>
        <v>0</v>
      </c>
      <c r="J3190" s="707">
        <f t="shared" si="99"/>
        <v>0</v>
      </c>
      <c r="K3190" s="70"/>
    </row>
    <row r="3191" spans="1:11" ht="24" customHeight="1">
      <c r="A3191" s="74" t="s">
        <v>2433</v>
      </c>
      <c r="B3191" s="74" t="s">
        <v>27</v>
      </c>
      <c r="C3191" s="74">
        <v>4</v>
      </c>
      <c r="D3191" s="33" t="s">
        <v>2363</v>
      </c>
      <c r="E3191" s="33">
        <v>5</v>
      </c>
      <c r="F3191" s="33"/>
      <c r="G3191" s="522"/>
      <c r="H3191" s="707">
        <v>4.5</v>
      </c>
      <c r="I3191" s="707">
        <f t="shared" si="98"/>
        <v>5.1749999999999998</v>
      </c>
      <c r="J3191" s="707">
        <f t="shared" si="99"/>
        <v>5.8500000000000005</v>
      </c>
      <c r="K3191" s="70"/>
    </row>
    <row r="3192" spans="1:11" ht="24" customHeight="1">
      <c r="A3192" s="2" t="s">
        <v>1871</v>
      </c>
      <c r="B3192" s="2" t="s">
        <v>110</v>
      </c>
      <c r="C3192" s="2">
        <v>1</v>
      </c>
      <c r="D3192" s="2" t="s">
        <v>1785</v>
      </c>
      <c r="E3192" s="33">
        <v>3</v>
      </c>
      <c r="F3192" s="33"/>
      <c r="G3192" s="522"/>
      <c r="H3192" s="707">
        <v>150</v>
      </c>
      <c r="I3192" s="707">
        <f t="shared" si="98"/>
        <v>172.5</v>
      </c>
      <c r="J3192" s="707">
        <f t="shared" si="99"/>
        <v>195</v>
      </c>
      <c r="K3192" s="70"/>
    </row>
    <row r="3193" spans="1:11" ht="24" customHeight="1">
      <c r="A3193" s="2" t="s">
        <v>1868</v>
      </c>
      <c r="B3193" s="2" t="s">
        <v>110</v>
      </c>
      <c r="C3193" s="2">
        <v>1</v>
      </c>
      <c r="D3193" s="2" t="s">
        <v>1785</v>
      </c>
      <c r="E3193" s="33">
        <v>3</v>
      </c>
      <c r="F3193" s="33"/>
      <c r="G3193" s="522"/>
      <c r="H3193" s="707">
        <v>50</v>
      </c>
      <c r="I3193" s="707">
        <f t="shared" si="98"/>
        <v>57.499999999999993</v>
      </c>
      <c r="J3193" s="707">
        <f t="shared" si="99"/>
        <v>65</v>
      </c>
      <c r="K3193" s="70"/>
    </row>
    <row r="3194" spans="1:11" ht="24" customHeight="1">
      <c r="A3194" s="7" t="s">
        <v>1739</v>
      </c>
      <c r="B3194" s="9" t="s">
        <v>10</v>
      </c>
      <c r="C3194" s="11">
        <v>90</v>
      </c>
      <c r="D3194" s="131" t="s">
        <v>1723</v>
      </c>
      <c r="E3194" s="15">
        <v>1</v>
      </c>
      <c r="F3194" s="15"/>
      <c r="G3194" s="684"/>
      <c r="H3194" s="707">
        <v>3</v>
      </c>
      <c r="I3194" s="707">
        <f t="shared" si="98"/>
        <v>3.4499999999999997</v>
      </c>
      <c r="J3194" s="707">
        <f t="shared" si="99"/>
        <v>3.9000000000000004</v>
      </c>
      <c r="K3194" s="70"/>
    </row>
    <row r="3195" spans="1:11" ht="24" customHeight="1">
      <c r="A3195" s="222" t="s">
        <v>468</v>
      </c>
      <c r="B3195" s="222" t="s">
        <v>469</v>
      </c>
      <c r="C3195" s="33">
        <v>38</v>
      </c>
      <c r="D3195" s="2" t="s">
        <v>274</v>
      </c>
      <c r="E3195" s="33">
        <v>3</v>
      </c>
      <c r="F3195" s="33"/>
      <c r="G3195" s="522"/>
      <c r="H3195" s="707"/>
      <c r="I3195" s="707">
        <f t="shared" si="98"/>
        <v>0</v>
      </c>
      <c r="J3195" s="707">
        <f t="shared" si="99"/>
        <v>0</v>
      </c>
      <c r="K3195" s="70"/>
    </row>
    <row r="3196" spans="1:11" ht="27" customHeight="1">
      <c r="A3196" s="16" t="s">
        <v>468</v>
      </c>
      <c r="B3196" s="16" t="s">
        <v>23</v>
      </c>
      <c r="C3196" s="17">
        <v>16</v>
      </c>
      <c r="D3196" s="131" t="s">
        <v>2882</v>
      </c>
      <c r="E3196" s="15">
        <v>2</v>
      </c>
      <c r="F3196" s="15"/>
      <c r="G3196" s="684"/>
      <c r="H3196" s="707"/>
      <c r="I3196" s="707">
        <f t="shared" si="98"/>
        <v>0</v>
      </c>
      <c r="J3196" s="707">
        <f t="shared" si="99"/>
        <v>0</v>
      </c>
      <c r="K3196" s="70"/>
    </row>
    <row r="3197" spans="1:11" ht="24" customHeight="1">
      <c r="A3197" s="431" t="s">
        <v>2520</v>
      </c>
      <c r="B3197" s="431" t="s">
        <v>2367</v>
      </c>
      <c r="C3197" s="74">
        <v>50</v>
      </c>
      <c r="D3197" s="33" t="s">
        <v>2504</v>
      </c>
      <c r="E3197" s="33">
        <v>5</v>
      </c>
      <c r="F3197" s="33"/>
      <c r="G3197" s="522"/>
      <c r="H3197" s="707">
        <v>1</v>
      </c>
      <c r="I3197" s="707">
        <f t="shared" si="98"/>
        <v>1.1499999999999999</v>
      </c>
      <c r="J3197" s="707">
        <f t="shared" si="99"/>
        <v>1.3</v>
      </c>
      <c r="K3197" s="70"/>
    </row>
    <row r="3198" spans="1:11" ht="24" customHeight="1">
      <c r="A3198" s="9" t="s">
        <v>1763</v>
      </c>
      <c r="B3198" s="9" t="s">
        <v>16</v>
      </c>
      <c r="C3198" s="11">
        <v>62</v>
      </c>
      <c r="D3198" s="131" t="s">
        <v>1723</v>
      </c>
      <c r="E3198" s="15">
        <v>2</v>
      </c>
      <c r="F3198" s="15"/>
      <c r="G3198" s="684"/>
      <c r="H3198" s="707"/>
      <c r="I3198" s="707">
        <f t="shared" si="98"/>
        <v>0</v>
      </c>
      <c r="J3198" s="707">
        <f t="shared" si="99"/>
        <v>0</v>
      </c>
      <c r="K3198" s="70"/>
    </row>
    <row r="3199" spans="1:11" ht="24" customHeight="1">
      <c r="A3199" s="33" t="s">
        <v>1763</v>
      </c>
      <c r="B3199" s="33" t="s">
        <v>23</v>
      </c>
      <c r="C3199" s="33">
        <v>21</v>
      </c>
      <c r="D3199" s="33" t="s">
        <v>2191</v>
      </c>
      <c r="E3199" s="33">
        <v>5</v>
      </c>
      <c r="F3199" s="33"/>
      <c r="G3199" s="522"/>
      <c r="H3199" s="707"/>
      <c r="I3199" s="707">
        <f t="shared" si="98"/>
        <v>0</v>
      </c>
      <c r="J3199" s="707">
        <f t="shared" si="99"/>
        <v>0</v>
      </c>
      <c r="K3199" s="70"/>
    </row>
    <row r="3200" spans="1:11" ht="24" customHeight="1">
      <c r="A3200" s="17" t="s">
        <v>1763</v>
      </c>
      <c r="B3200" s="17" t="s">
        <v>23</v>
      </c>
      <c r="C3200" s="17">
        <v>16</v>
      </c>
      <c r="D3200" s="131" t="s">
        <v>2882</v>
      </c>
      <c r="E3200" s="15">
        <v>2</v>
      </c>
      <c r="F3200" s="15"/>
      <c r="G3200" s="684"/>
      <c r="H3200" s="707"/>
      <c r="I3200" s="707">
        <f t="shared" si="98"/>
        <v>0</v>
      </c>
      <c r="J3200" s="707">
        <f t="shared" si="99"/>
        <v>0</v>
      </c>
      <c r="K3200" s="70"/>
    </row>
    <row r="3201" spans="1:11" ht="24" customHeight="1">
      <c r="A3201" s="74" t="s">
        <v>1113</v>
      </c>
      <c r="B3201" s="74" t="s">
        <v>19</v>
      </c>
      <c r="C3201" s="74">
        <v>51</v>
      </c>
      <c r="D3201" s="33" t="s">
        <v>992</v>
      </c>
      <c r="E3201" s="33">
        <v>5</v>
      </c>
      <c r="F3201" s="33"/>
      <c r="G3201" s="522"/>
      <c r="H3201" s="707">
        <v>1</v>
      </c>
      <c r="I3201" s="707">
        <f t="shared" si="98"/>
        <v>1.1499999999999999</v>
      </c>
      <c r="J3201" s="707">
        <f t="shared" si="99"/>
        <v>1.3</v>
      </c>
      <c r="K3201" s="70"/>
    </row>
    <row r="3202" spans="1:11" ht="24" customHeight="1">
      <c r="A3202" s="2" t="s">
        <v>372</v>
      </c>
      <c r="B3202" s="2" t="s">
        <v>19</v>
      </c>
      <c r="C3202" s="2">
        <v>252</v>
      </c>
      <c r="D3202" s="2" t="s">
        <v>274</v>
      </c>
      <c r="E3202" s="33">
        <v>2</v>
      </c>
      <c r="F3202" s="33"/>
      <c r="G3202" s="522"/>
      <c r="H3202" s="707">
        <v>3</v>
      </c>
      <c r="I3202" s="707">
        <f t="shared" si="98"/>
        <v>3.4499999999999997</v>
      </c>
      <c r="J3202" s="707">
        <f t="shared" si="99"/>
        <v>3.9000000000000004</v>
      </c>
      <c r="K3202" s="70"/>
    </row>
    <row r="3203" spans="1:11" ht="24" customHeight="1">
      <c r="A3203" s="33" t="s">
        <v>1239</v>
      </c>
      <c r="B3203" s="33" t="s">
        <v>19</v>
      </c>
      <c r="C3203" s="33">
        <v>95</v>
      </c>
      <c r="D3203" s="33" t="s">
        <v>1201</v>
      </c>
      <c r="E3203" s="33">
        <v>4</v>
      </c>
      <c r="F3203" s="33"/>
      <c r="G3203" s="522"/>
      <c r="H3203" s="707"/>
      <c r="I3203" s="707">
        <f t="shared" ref="I3203:I3266" si="100">H3203 * 1.15</f>
        <v>0</v>
      </c>
      <c r="J3203" s="707">
        <f t="shared" ref="J3203:J3266" si="101">H3203 * 1.3</f>
        <v>0</v>
      </c>
      <c r="K3203" s="70"/>
    </row>
    <row r="3204" spans="1:11" ht="24" customHeight="1">
      <c r="A3204" s="2" t="s">
        <v>328</v>
      </c>
      <c r="B3204" s="2" t="s">
        <v>10</v>
      </c>
      <c r="C3204" s="2">
        <v>55</v>
      </c>
      <c r="D3204" s="2" t="s">
        <v>274</v>
      </c>
      <c r="E3204" s="33">
        <v>1</v>
      </c>
      <c r="F3204" s="33"/>
      <c r="G3204" s="522"/>
      <c r="H3204" s="707"/>
      <c r="I3204" s="707">
        <f t="shared" si="100"/>
        <v>0</v>
      </c>
      <c r="J3204" s="707">
        <f t="shared" si="101"/>
        <v>0</v>
      </c>
      <c r="K3204" s="70"/>
    </row>
    <row r="3205" spans="1:11" ht="24" customHeight="1">
      <c r="A3205" s="65" t="s">
        <v>328</v>
      </c>
      <c r="B3205" s="68" t="s">
        <v>10</v>
      </c>
      <c r="C3205" s="65">
        <v>2</v>
      </c>
      <c r="D3205" s="2" t="s">
        <v>536</v>
      </c>
      <c r="E3205" s="33">
        <v>5</v>
      </c>
      <c r="F3205" s="33"/>
      <c r="G3205" s="522"/>
      <c r="H3205" s="707"/>
      <c r="I3205" s="707">
        <f t="shared" si="100"/>
        <v>0</v>
      </c>
      <c r="J3205" s="707">
        <f t="shared" si="101"/>
        <v>0</v>
      </c>
      <c r="K3205" s="70"/>
    </row>
    <row r="3206" spans="1:11" ht="24" customHeight="1">
      <c r="A3206" s="33" t="s">
        <v>328</v>
      </c>
      <c r="B3206" s="33" t="s">
        <v>10</v>
      </c>
      <c r="C3206" s="33">
        <v>61</v>
      </c>
      <c r="D3206" s="33" t="s">
        <v>992</v>
      </c>
      <c r="E3206" s="33">
        <v>3</v>
      </c>
      <c r="F3206" s="33"/>
      <c r="G3206" s="522"/>
      <c r="H3206" s="707"/>
      <c r="I3206" s="707">
        <f t="shared" si="100"/>
        <v>0</v>
      </c>
      <c r="J3206" s="707">
        <f t="shared" si="101"/>
        <v>0</v>
      </c>
      <c r="K3206" s="70"/>
    </row>
    <row r="3207" spans="1:11" ht="24" customHeight="1">
      <c r="A3207" s="33" t="s">
        <v>328</v>
      </c>
      <c r="B3207" s="33" t="s">
        <v>81</v>
      </c>
      <c r="C3207" s="33">
        <v>10</v>
      </c>
      <c r="D3207" s="65" t="s">
        <v>3348</v>
      </c>
      <c r="E3207" s="33">
        <v>5</v>
      </c>
      <c r="F3207" s="33"/>
      <c r="G3207" s="522"/>
      <c r="H3207" s="707"/>
      <c r="I3207" s="707">
        <f t="shared" si="100"/>
        <v>0</v>
      </c>
      <c r="J3207" s="707">
        <f t="shared" si="101"/>
        <v>0</v>
      </c>
      <c r="K3207" s="70"/>
    </row>
    <row r="3208" spans="1:11" ht="24" customHeight="1">
      <c r="A3208" s="11" t="s">
        <v>328</v>
      </c>
      <c r="B3208" s="11" t="s">
        <v>14</v>
      </c>
      <c r="C3208" s="11">
        <v>3</v>
      </c>
      <c r="D3208" s="131" t="s">
        <v>3539</v>
      </c>
      <c r="E3208" s="15">
        <v>4</v>
      </c>
      <c r="F3208" s="15"/>
      <c r="G3208" s="684"/>
      <c r="H3208" s="707"/>
      <c r="I3208" s="707">
        <f t="shared" si="100"/>
        <v>0</v>
      </c>
      <c r="J3208" s="707">
        <f t="shared" si="101"/>
        <v>0</v>
      </c>
      <c r="K3208" s="70"/>
    </row>
    <row r="3209" spans="1:11" ht="24" customHeight="1">
      <c r="A3209" s="33" t="s">
        <v>1155</v>
      </c>
      <c r="B3209" s="33" t="s">
        <v>10</v>
      </c>
      <c r="C3209" s="33">
        <v>18</v>
      </c>
      <c r="D3209" s="33" t="s">
        <v>1141</v>
      </c>
      <c r="E3209" s="33">
        <v>1</v>
      </c>
      <c r="F3209" s="33"/>
      <c r="G3209" s="522"/>
      <c r="H3209" s="707">
        <v>3</v>
      </c>
      <c r="I3209" s="707">
        <f t="shared" si="100"/>
        <v>3.4499999999999997</v>
      </c>
      <c r="J3209" s="707">
        <f t="shared" si="101"/>
        <v>3.9000000000000004</v>
      </c>
      <c r="K3209" s="70" t="s">
        <v>51</v>
      </c>
    </row>
    <row r="3210" spans="1:11" ht="24" customHeight="1">
      <c r="A3210" s="33" t="s">
        <v>603</v>
      </c>
      <c r="B3210" s="33" t="s">
        <v>2402</v>
      </c>
      <c r="C3210" s="33">
        <v>2</v>
      </c>
      <c r="D3210" s="33" t="s">
        <v>2624</v>
      </c>
      <c r="E3210" s="354">
        <v>5</v>
      </c>
      <c r="F3210" s="354"/>
      <c r="G3210" s="688"/>
      <c r="H3210" s="707"/>
      <c r="I3210" s="707">
        <f t="shared" si="100"/>
        <v>0</v>
      </c>
      <c r="J3210" s="707">
        <f t="shared" si="101"/>
        <v>0</v>
      </c>
      <c r="K3210" s="390" t="s">
        <v>2714</v>
      </c>
    </row>
    <row r="3211" spans="1:11" ht="24" customHeight="1">
      <c r="A3211" s="2" t="s">
        <v>603</v>
      </c>
      <c r="B3211" s="2" t="s">
        <v>14</v>
      </c>
      <c r="C3211" s="2">
        <v>4</v>
      </c>
      <c r="D3211" s="2" t="s">
        <v>593</v>
      </c>
      <c r="E3211" s="33">
        <v>1</v>
      </c>
      <c r="F3211" s="33"/>
      <c r="G3211" s="522"/>
      <c r="H3211" s="707">
        <v>2</v>
      </c>
      <c r="I3211" s="707">
        <f t="shared" si="100"/>
        <v>2.2999999999999998</v>
      </c>
      <c r="J3211" s="707">
        <f t="shared" si="101"/>
        <v>2.6</v>
      </c>
      <c r="K3211" s="70"/>
    </row>
    <row r="3212" spans="1:11" ht="24" customHeight="1">
      <c r="A3212" s="33" t="s">
        <v>1543</v>
      </c>
      <c r="B3212" s="33" t="s">
        <v>10</v>
      </c>
      <c r="C3212" s="33">
        <v>13</v>
      </c>
      <c r="D3212" s="33" t="s">
        <v>1494</v>
      </c>
      <c r="E3212" s="33">
        <v>2</v>
      </c>
      <c r="F3212" s="33"/>
      <c r="G3212" s="522"/>
      <c r="H3212" s="707">
        <v>1</v>
      </c>
      <c r="I3212" s="707">
        <f t="shared" si="100"/>
        <v>1.1499999999999999</v>
      </c>
      <c r="J3212" s="707">
        <f t="shared" si="101"/>
        <v>1.3</v>
      </c>
      <c r="K3212" s="70"/>
    </row>
    <row r="3213" spans="1:11" ht="24" customHeight="1">
      <c r="A3213" s="33" t="s">
        <v>1543</v>
      </c>
      <c r="B3213" s="33" t="s">
        <v>10</v>
      </c>
      <c r="C3213" s="33">
        <v>12</v>
      </c>
      <c r="D3213" s="33" t="s">
        <v>1548</v>
      </c>
      <c r="E3213" s="33">
        <v>3</v>
      </c>
      <c r="F3213" s="33"/>
      <c r="G3213" s="522"/>
      <c r="H3213" s="707">
        <v>1</v>
      </c>
      <c r="I3213" s="707">
        <f t="shared" si="100"/>
        <v>1.1499999999999999</v>
      </c>
      <c r="J3213" s="707">
        <f t="shared" si="101"/>
        <v>1.3</v>
      </c>
      <c r="K3213" s="70"/>
    </row>
    <row r="3214" spans="1:11" ht="24" customHeight="1">
      <c r="A3214" s="33" t="s">
        <v>1543</v>
      </c>
      <c r="B3214" s="33" t="s">
        <v>10</v>
      </c>
      <c r="C3214" s="33">
        <v>200</v>
      </c>
      <c r="D3214" s="33" t="s">
        <v>1938</v>
      </c>
      <c r="E3214" s="33">
        <v>1</v>
      </c>
      <c r="F3214" s="33"/>
      <c r="G3214" s="522"/>
      <c r="H3214" s="707">
        <v>1</v>
      </c>
      <c r="I3214" s="707">
        <f t="shared" si="100"/>
        <v>1.1499999999999999</v>
      </c>
      <c r="J3214" s="707">
        <f t="shared" si="101"/>
        <v>1.3</v>
      </c>
      <c r="K3214" s="70"/>
    </row>
    <row r="3215" spans="1:11" ht="24" customHeight="1">
      <c r="A3215" s="3" t="s">
        <v>1543</v>
      </c>
      <c r="B3215" s="3" t="s">
        <v>10</v>
      </c>
      <c r="C3215" s="3">
        <v>36</v>
      </c>
      <c r="D3215" s="15" t="s">
        <v>2918</v>
      </c>
      <c r="E3215" s="15">
        <v>1</v>
      </c>
      <c r="F3215" s="15"/>
      <c r="G3215" s="684"/>
      <c r="H3215" s="707">
        <v>1</v>
      </c>
      <c r="I3215" s="707">
        <f t="shared" si="100"/>
        <v>1.1499999999999999</v>
      </c>
      <c r="J3215" s="707">
        <f t="shared" si="101"/>
        <v>1.3</v>
      </c>
      <c r="K3215" s="70"/>
    </row>
    <row r="3216" spans="1:11" ht="24" customHeight="1">
      <c r="A3216" s="33" t="s">
        <v>1601</v>
      </c>
      <c r="B3216" s="33" t="s">
        <v>10</v>
      </c>
      <c r="C3216" s="33">
        <v>10</v>
      </c>
      <c r="D3216" s="33" t="s">
        <v>1548</v>
      </c>
      <c r="E3216" s="33">
        <v>3</v>
      </c>
      <c r="F3216" s="33"/>
      <c r="G3216" s="522"/>
      <c r="H3216" s="707">
        <v>3</v>
      </c>
      <c r="I3216" s="707">
        <f t="shared" si="100"/>
        <v>3.4499999999999997</v>
      </c>
      <c r="J3216" s="707">
        <f t="shared" si="101"/>
        <v>3.9000000000000004</v>
      </c>
      <c r="K3216" s="70"/>
    </row>
    <row r="3217" spans="1:11" ht="24" customHeight="1">
      <c r="A3217" s="33" t="s">
        <v>1601</v>
      </c>
      <c r="B3217" s="33" t="s">
        <v>10</v>
      </c>
      <c r="C3217" s="33">
        <v>99</v>
      </c>
      <c r="D3217" s="33" t="s">
        <v>2191</v>
      </c>
      <c r="E3217" s="33">
        <v>3</v>
      </c>
      <c r="F3217" s="33"/>
      <c r="G3217" s="522"/>
      <c r="H3217" s="707">
        <v>3</v>
      </c>
      <c r="I3217" s="707">
        <f t="shared" si="100"/>
        <v>3.4499999999999997</v>
      </c>
      <c r="J3217" s="707">
        <f t="shared" si="101"/>
        <v>3.9000000000000004</v>
      </c>
      <c r="K3217" s="70"/>
    </row>
    <row r="3218" spans="1:11" ht="24" customHeight="1">
      <c r="A3218" s="33" t="s">
        <v>1601</v>
      </c>
      <c r="B3218" s="33" t="s">
        <v>10</v>
      </c>
      <c r="C3218" s="33">
        <v>40</v>
      </c>
      <c r="D3218" s="33" t="s">
        <v>2276</v>
      </c>
      <c r="E3218" s="33">
        <v>1</v>
      </c>
      <c r="F3218" s="33"/>
      <c r="G3218" s="522"/>
      <c r="H3218" s="707">
        <v>3</v>
      </c>
      <c r="I3218" s="707">
        <f t="shared" si="100"/>
        <v>3.4499999999999997</v>
      </c>
      <c r="J3218" s="707">
        <f t="shared" si="101"/>
        <v>3.9000000000000004</v>
      </c>
      <c r="K3218" s="70"/>
    </row>
    <row r="3219" spans="1:11" ht="24" customHeight="1">
      <c r="A3219" s="33" t="s">
        <v>1601</v>
      </c>
      <c r="B3219" s="33" t="s">
        <v>10</v>
      </c>
      <c r="C3219" s="33">
        <v>60</v>
      </c>
      <c r="D3219" s="33" t="s">
        <v>3348</v>
      </c>
      <c r="E3219" s="33">
        <v>4</v>
      </c>
      <c r="F3219" s="33"/>
      <c r="G3219" s="522"/>
      <c r="H3219" s="707">
        <v>3</v>
      </c>
      <c r="I3219" s="707">
        <f t="shared" si="100"/>
        <v>3.4499999999999997</v>
      </c>
      <c r="J3219" s="707">
        <f t="shared" si="101"/>
        <v>3.9000000000000004</v>
      </c>
      <c r="K3219" s="70"/>
    </row>
    <row r="3220" spans="1:11" ht="24" customHeight="1">
      <c r="A3220" s="33" t="s">
        <v>1993</v>
      </c>
      <c r="B3220" s="33" t="s">
        <v>10</v>
      </c>
      <c r="C3220" s="33">
        <v>3</v>
      </c>
      <c r="D3220" s="33" t="s">
        <v>1938</v>
      </c>
      <c r="E3220" s="33">
        <v>2</v>
      </c>
      <c r="F3220" s="33"/>
      <c r="G3220" s="522"/>
      <c r="H3220" s="707"/>
      <c r="I3220" s="707">
        <f t="shared" si="100"/>
        <v>0</v>
      </c>
      <c r="J3220" s="707">
        <f t="shared" si="101"/>
        <v>0</v>
      </c>
      <c r="K3220" s="70"/>
    </row>
    <row r="3221" spans="1:11" ht="24" customHeight="1">
      <c r="A3221" s="33" t="s">
        <v>1993</v>
      </c>
      <c r="B3221" s="33" t="s">
        <v>10</v>
      </c>
      <c r="C3221" s="33">
        <v>10</v>
      </c>
      <c r="D3221" s="33" t="s">
        <v>2624</v>
      </c>
      <c r="E3221" s="33">
        <v>4</v>
      </c>
      <c r="F3221" s="33"/>
      <c r="G3221" s="522"/>
      <c r="H3221" s="707"/>
      <c r="I3221" s="707">
        <f t="shared" si="100"/>
        <v>0</v>
      </c>
      <c r="J3221" s="707">
        <f t="shared" si="101"/>
        <v>0</v>
      </c>
      <c r="K3221" s="70"/>
    </row>
    <row r="3222" spans="1:11" ht="24" customHeight="1">
      <c r="A3222" s="33" t="s">
        <v>1280</v>
      </c>
      <c r="B3222" s="33" t="s">
        <v>10</v>
      </c>
      <c r="C3222" s="33">
        <v>14</v>
      </c>
      <c r="D3222" s="33" t="s">
        <v>1201</v>
      </c>
      <c r="E3222" s="33">
        <v>4</v>
      </c>
      <c r="F3222" s="33"/>
      <c r="G3222" s="522"/>
      <c r="H3222" s="707"/>
      <c r="I3222" s="707">
        <f t="shared" si="100"/>
        <v>0</v>
      </c>
      <c r="J3222" s="707">
        <f t="shared" si="101"/>
        <v>0</v>
      </c>
      <c r="K3222" s="70"/>
    </row>
    <row r="3223" spans="1:11" ht="24" customHeight="1">
      <c r="A3223" s="33" t="s">
        <v>1280</v>
      </c>
      <c r="B3223" s="33" t="s">
        <v>10</v>
      </c>
      <c r="C3223" s="33">
        <v>1</v>
      </c>
      <c r="D3223" s="33" t="s">
        <v>2624</v>
      </c>
      <c r="E3223" s="33">
        <v>4</v>
      </c>
      <c r="F3223" s="33"/>
      <c r="G3223" s="522"/>
      <c r="H3223" s="707"/>
      <c r="I3223" s="707">
        <f t="shared" si="100"/>
        <v>0</v>
      </c>
      <c r="J3223" s="707">
        <f t="shared" si="101"/>
        <v>0</v>
      </c>
      <c r="K3223" s="70"/>
    </row>
    <row r="3224" spans="1:11" ht="24" customHeight="1">
      <c r="A3224" s="3" t="s">
        <v>1280</v>
      </c>
      <c r="B3224" s="3" t="s">
        <v>10</v>
      </c>
      <c r="C3224" s="3">
        <v>4</v>
      </c>
      <c r="D3224" s="15" t="s">
        <v>2918</v>
      </c>
      <c r="E3224" s="15">
        <v>1</v>
      </c>
      <c r="F3224" s="15"/>
      <c r="G3224" s="684"/>
      <c r="H3224" s="707"/>
      <c r="I3224" s="707">
        <f t="shared" si="100"/>
        <v>0</v>
      </c>
      <c r="J3224" s="707">
        <f t="shared" si="101"/>
        <v>0</v>
      </c>
      <c r="K3224" s="70"/>
    </row>
    <row r="3225" spans="1:11" ht="24" customHeight="1">
      <c r="A3225" s="33" t="s">
        <v>1280</v>
      </c>
      <c r="B3225" s="33" t="s">
        <v>10</v>
      </c>
      <c r="C3225" s="33">
        <v>3</v>
      </c>
      <c r="D3225" s="71" t="s">
        <v>2947</v>
      </c>
      <c r="E3225" s="33">
        <v>4</v>
      </c>
      <c r="F3225" s="33"/>
      <c r="G3225" s="522"/>
      <c r="H3225" s="707"/>
      <c r="I3225" s="707">
        <f t="shared" si="100"/>
        <v>0</v>
      </c>
      <c r="J3225" s="707">
        <f t="shared" si="101"/>
        <v>0</v>
      </c>
      <c r="K3225" s="70"/>
    </row>
    <row r="3226" spans="1:11" ht="24" customHeight="1">
      <c r="A3226" s="33" t="s">
        <v>1280</v>
      </c>
      <c r="B3226" s="33" t="s">
        <v>10</v>
      </c>
      <c r="C3226" s="33">
        <v>10</v>
      </c>
      <c r="D3226" s="33" t="s">
        <v>3348</v>
      </c>
      <c r="E3226" s="33">
        <v>4</v>
      </c>
      <c r="F3226" s="33"/>
      <c r="G3226" s="522"/>
      <c r="H3226" s="707"/>
      <c r="I3226" s="707">
        <f t="shared" si="100"/>
        <v>0</v>
      </c>
      <c r="J3226" s="707">
        <f t="shared" si="101"/>
        <v>0</v>
      </c>
      <c r="K3226" s="70"/>
    </row>
    <row r="3227" spans="1:11" ht="24" customHeight="1">
      <c r="A3227" s="2" t="s">
        <v>3685</v>
      </c>
      <c r="B3227" s="2" t="s">
        <v>10</v>
      </c>
      <c r="C3227" s="2">
        <v>1</v>
      </c>
      <c r="D3227" s="2" t="s">
        <v>3671</v>
      </c>
      <c r="E3227" s="33">
        <v>2</v>
      </c>
      <c r="F3227" s="33"/>
      <c r="G3227" s="522"/>
      <c r="H3227" s="707"/>
      <c r="I3227" s="707">
        <f t="shared" si="100"/>
        <v>0</v>
      </c>
      <c r="J3227" s="707">
        <f t="shared" si="101"/>
        <v>0</v>
      </c>
      <c r="K3227" s="70"/>
    </row>
    <row r="3228" spans="1:11" ht="24" customHeight="1">
      <c r="A3228" s="33" t="s">
        <v>2335</v>
      </c>
      <c r="B3228" s="33" t="s">
        <v>10</v>
      </c>
      <c r="C3228" s="33">
        <v>12</v>
      </c>
      <c r="D3228" s="33" t="s">
        <v>2276</v>
      </c>
      <c r="E3228" s="33">
        <v>1</v>
      </c>
      <c r="F3228" s="33"/>
      <c r="G3228" s="522"/>
      <c r="H3228" s="707">
        <v>1</v>
      </c>
      <c r="I3228" s="707">
        <f t="shared" si="100"/>
        <v>1.1499999999999999</v>
      </c>
      <c r="J3228" s="707">
        <f t="shared" si="101"/>
        <v>1.3</v>
      </c>
      <c r="K3228" s="70"/>
    </row>
    <row r="3229" spans="1:11" ht="24" customHeight="1">
      <c r="A3229" s="33" t="s">
        <v>2635</v>
      </c>
      <c r="B3229" s="33" t="s">
        <v>10</v>
      </c>
      <c r="C3229" s="33">
        <v>5</v>
      </c>
      <c r="D3229" s="33" t="s">
        <v>2624</v>
      </c>
      <c r="E3229" s="33">
        <v>4</v>
      </c>
      <c r="F3229" s="33"/>
      <c r="G3229" s="522"/>
      <c r="H3229" s="707"/>
      <c r="I3229" s="707">
        <f t="shared" si="100"/>
        <v>0</v>
      </c>
      <c r="J3229" s="707">
        <f t="shared" si="101"/>
        <v>0</v>
      </c>
      <c r="K3229" s="70"/>
    </row>
    <row r="3230" spans="1:11" ht="24" customHeight="1">
      <c r="A3230" s="11" t="s">
        <v>3471</v>
      </c>
      <c r="B3230" s="11" t="s">
        <v>10</v>
      </c>
      <c r="C3230" s="11">
        <v>6</v>
      </c>
      <c r="D3230" s="131" t="s">
        <v>3451</v>
      </c>
      <c r="E3230" s="15">
        <v>3</v>
      </c>
      <c r="F3230" s="15"/>
      <c r="G3230" s="684"/>
      <c r="H3230" s="707">
        <v>20</v>
      </c>
      <c r="I3230" s="707">
        <f t="shared" si="100"/>
        <v>23</v>
      </c>
      <c r="J3230" s="707">
        <f t="shared" si="101"/>
        <v>26</v>
      </c>
      <c r="K3230" s="70"/>
    </row>
    <row r="3231" spans="1:11" ht="24" customHeight="1">
      <c r="A3231" s="2" t="s">
        <v>3591</v>
      </c>
      <c r="B3231" s="2" t="s">
        <v>10</v>
      </c>
      <c r="C3231" s="2">
        <v>15</v>
      </c>
      <c r="D3231" s="33" t="s">
        <v>3568</v>
      </c>
      <c r="E3231" s="33">
        <v>2</v>
      </c>
      <c r="F3231" s="33"/>
      <c r="G3231" s="522"/>
      <c r="H3231" s="707"/>
      <c r="I3231" s="707">
        <f t="shared" si="100"/>
        <v>0</v>
      </c>
      <c r="J3231" s="707">
        <f t="shared" si="101"/>
        <v>0</v>
      </c>
      <c r="K3231" s="459" t="s">
        <v>3576</v>
      </c>
    </row>
    <row r="3232" spans="1:11" ht="24" customHeight="1">
      <c r="A3232" s="33" t="s">
        <v>1969</v>
      </c>
      <c r="B3232" s="33" t="s">
        <v>10</v>
      </c>
      <c r="C3232" s="33">
        <v>47</v>
      </c>
      <c r="D3232" s="33" t="s">
        <v>1938</v>
      </c>
      <c r="E3232" s="33">
        <v>1</v>
      </c>
      <c r="F3232" s="33"/>
      <c r="G3232" s="522"/>
      <c r="H3232" s="707">
        <v>1</v>
      </c>
      <c r="I3232" s="707">
        <f t="shared" si="100"/>
        <v>1.1499999999999999</v>
      </c>
      <c r="J3232" s="707">
        <f t="shared" si="101"/>
        <v>1.3</v>
      </c>
      <c r="K3232" s="70" t="s">
        <v>51</v>
      </c>
    </row>
    <row r="3233" spans="1:11" ht="24" customHeight="1">
      <c r="A3233" s="2" t="s">
        <v>324</v>
      </c>
      <c r="B3233" s="2" t="s">
        <v>27</v>
      </c>
      <c r="C3233" s="2">
        <v>12</v>
      </c>
      <c r="D3233" s="2" t="s">
        <v>274</v>
      </c>
      <c r="E3233" s="33">
        <v>1</v>
      </c>
      <c r="F3233" s="33"/>
      <c r="G3233" s="522"/>
      <c r="H3233" s="707"/>
      <c r="I3233" s="707">
        <f t="shared" si="100"/>
        <v>0</v>
      </c>
      <c r="J3233" s="707">
        <f t="shared" si="101"/>
        <v>0</v>
      </c>
      <c r="K3233" s="70"/>
    </row>
    <row r="3234" spans="1:11" ht="24" customHeight="1">
      <c r="A3234" s="59" t="s">
        <v>2691</v>
      </c>
      <c r="B3234" s="59" t="s">
        <v>41</v>
      </c>
      <c r="C3234" s="59">
        <v>7</v>
      </c>
      <c r="D3234" s="33" t="s">
        <v>2624</v>
      </c>
      <c r="E3234" s="354">
        <v>5</v>
      </c>
      <c r="F3234" s="354"/>
      <c r="G3234" s="688"/>
      <c r="H3234" s="707"/>
      <c r="I3234" s="707">
        <f t="shared" si="100"/>
        <v>0</v>
      </c>
      <c r="J3234" s="707">
        <f t="shared" si="101"/>
        <v>0</v>
      </c>
      <c r="K3234" s="70"/>
    </row>
    <row r="3235" spans="1:11" ht="24" customHeight="1">
      <c r="A3235" s="2" t="s">
        <v>3659</v>
      </c>
      <c r="B3235" s="2" t="s">
        <v>10</v>
      </c>
      <c r="C3235" s="2">
        <v>18</v>
      </c>
      <c r="D3235" s="2" t="s">
        <v>3636</v>
      </c>
      <c r="E3235" s="33">
        <v>2</v>
      </c>
      <c r="F3235" s="33"/>
      <c r="G3235" s="522"/>
      <c r="H3235" s="707"/>
      <c r="I3235" s="707">
        <f t="shared" si="100"/>
        <v>0</v>
      </c>
      <c r="J3235" s="707">
        <f t="shared" si="101"/>
        <v>0</v>
      </c>
      <c r="K3235" s="55"/>
    </row>
    <row r="3236" spans="1:11" ht="24" customHeight="1">
      <c r="A3236" s="33" t="s">
        <v>3302</v>
      </c>
      <c r="B3236" s="33" t="s">
        <v>27</v>
      </c>
      <c r="C3236" s="33">
        <v>6</v>
      </c>
      <c r="D3236" s="33" t="s">
        <v>3279</v>
      </c>
      <c r="E3236" s="33">
        <v>3</v>
      </c>
      <c r="F3236" s="33"/>
      <c r="G3236" s="522"/>
      <c r="H3236" s="707">
        <v>20</v>
      </c>
      <c r="I3236" s="707">
        <f t="shared" si="100"/>
        <v>23</v>
      </c>
      <c r="J3236" s="707">
        <f t="shared" si="101"/>
        <v>26</v>
      </c>
      <c r="K3236" s="70"/>
    </row>
    <row r="3237" spans="1:11" ht="24" customHeight="1">
      <c r="A3237" s="74" t="s">
        <v>2515</v>
      </c>
      <c r="B3237" s="74" t="s">
        <v>27</v>
      </c>
      <c r="C3237" s="74">
        <v>10</v>
      </c>
      <c r="D3237" s="33" t="s">
        <v>2504</v>
      </c>
      <c r="E3237" s="33">
        <v>5</v>
      </c>
      <c r="F3237" s="33"/>
      <c r="G3237" s="522"/>
      <c r="H3237" s="707"/>
      <c r="I3237" s="707">
        <f t="shared" si="100"/>
        <v>0</v>
      </c>
      <c r="J3237" s="707">
        <f t="shared" si="101"/>
        <v>0</v>
      </c>
      <c r="K3237" s="70"/>
    </row>
    <row r="3238" spans="1:11" ht="24" customHeight="1">
      <c r="A3238" s="2" t="s">
        <v>732</v>
      </c>
      <c r="B3238" s="2" t="s">
        <v>43</v>
      </c>
      <c r="C3238" s="2">
        <v>9</v>
      </c>
      <c r="D3238" s="2" t="s">
        <v>593</v>
      </c>
      <c r="E3238" s="33">
        <v>3</v>
      </c>
      <c r="F3238" s="33"/>
      <c r="G3238" s="522"/>
      <c r="H3238" s="707"/>
      <c r="I3238" s="707">
        <f t="shared" si="100"/>
        <v>0</v>
      </c>
      <c r="J3238" s="707">
        <f t="shared" si="101"/>
        <v>0</v>
      </c>
      <c r="K3238" s="70"/>
    </row>
    <row r="3239" spans="1:11" ht="24" customHeight="1">
      <c r="A3239" s="2" t="s">
        <v>719</v>
      </c>
      <c r="B3239" s="2" t="s">
        <v>43</v>
      </c>
      <c r="C3239" s="2">
        <v>3</v>
      </c>
      <c r="D3239" s="2" t="s">
        <v>593</v>
      </c>
      <c r="E3239" s="33">
        <v>3</v>
      </c>
      <c r="F3239" s="33"/>
      <c r="G3239" s="522"/>
      <c r="H3239" s="707"/>
      <c r="I3239" s="707">
        <f t="shared" si="100"/>
        <v>0</v>
      </c>
      <c r="J3239" s="707">
        <f t="shared" si="101"/>
        <v>0</v>
      </c>
      <c r="K3239" s="70"/>
    </row>
    <row r="3240" spans="1:11" ht="24" customHeight="1">
      <c r="A3240" s="2" t="s">
        <v>654</v>
      </c>
      <c r="B3240" s="2" t="s">
        <v>96</v>
      </c>
      <c r="C3240" s="2">
        <v>8</v>
      </c>
      <c r="D3240" s="2" t="s">
        <v>593</v>
      </c>
      <c r="E3240" s="33">
        <v>1</v>
      </c>
      <c r="F3240" s="33"/>
      <c r="G3240" s="522"/>
      <c r="H3240" s="707"/>
      <c r="I3240" s="707">
        <f t="shared" si="100"/>
        <v>0</v>
      </c>
      <c r="J3240" s="707">
        <f t="shared" si="101"/>
        <v>0</v>
      </c>
      <c r="K3240" s="70"/>
    </row>
    <row r="3241" spans="1:11" ht="24" customHeight="1">
      <c r="A3241" s="2" t="s">
        <v>3647</v>
      </c>
      <c r="B3241" s="2" t="s">
        <v>96</v>
      </c>
      <c r="C3241" s="2">
        <v>2</v>
      </c>
      <c r="D3241" s="2" t="s">
        <v>3636</v>
      </c>
      <c r="E3241" s="33">
        <v>2</v>
      </c>
      <c r="F3241" s="33"/>
      <c r="G3241" s="522"/>
      <c r="H3241" s="707"/>
      <c r="I3241" s="707">
        <f t="shared" si="100"/>
        <v>0</v>
      </c>
      <c r="J3241" s="707">
        <f t="shared" si="101"/>
        <v>0</v>
      </c>
      <c r="K3241" s="55"/>
    </row>
    <row r="3242" spans="1:11" ht="24" customHeight="1">
      <c r="A3242" s="59" t="s">
        <v>2684</v>
      </c>
      <c r="B3242" s="59" t="s">
        <v>313</v>
      </c>
      <c r="C3242" s="59">
        <v>7</v>
      </c>
      <c r="D3242" s="33" t="s">
        <v>2624</v>
      </c>
      <c r="E3242" s="354">
        <v>5</v>
      </c>
      <c r="F3242" s="354"/>
      <c r="G3242" s="688"/>
      <c r="H3242" s="707"/>
      <c r="I3242" s="707">
        <f t="shared" si="100"/>
        <v>0</v>
      </c>
      <c r="J3242" s="707">
        <f t="shared" si="101"/>
        <v>0</v>
      </c>
      <c r="K3242" s="70"/>
    </row>
    <row r="3243" spans="1:11" ht="24" customHeight="1">
      <c r="A3243" s="2" t="s">
        <v>2684</v>
      </c>
      <c r="B3243" s="33" t="s">
        <v>10</v>
      </c>
      <c r="C3243" s="2">
        <v>4</v>
      </c>
      <c r="D3243" s="2" t="s">
        <v>3553</v>
      </c>
      <c r="E3243" s="33">
        <v>2</v>
      </c>
      <c r="F3243" s="33"/>
      <c r="G3243" s="522"/>
      <c r="H3243" s="707"/>
      <c r="I3243" s="707">
        <f t="shared" si="100"/>
        <v>0</v>
      </c>
      <c r="J3243" s="707">
        <f t="shared" si="101"/>
        <v>0</v>
      </c>
      <c r="K3243" s="55"/>
    </row>
    <row r="3244" spans="1:11" ht="24" customHeight="1">
      <c r="A3244" s="2" t="s">
        <v>312</v>
      </c>
      <c r="B3244" s="2" t="s">
        <v>313</v>
      </c>
      <c r="C3244" s="2">
        <v>4</v>
      </c>
      <c r="D3244" s="2" t="s">
        <v>274</v>
      </c>
      <c r="E3244" s="33">
        <v>1</v>
      </c>
      <c r="F3244" s="33"/>
      <c r="G3244" s="522"/>
      <c r="H3244" s="707">
        <v>60</v>
      </c>
      <c r="I3244" s="707">
        <f t="shared" si="100"/>
        <v>69</v>
      </c>
      <c r="J3244" s="707">
        <f t="shared" si="101"/>
        <v>78</v>
      </c>
      <c r="K3244" s="70"/>
    </row>
    <row r="3245" spans="1:11" ht="14.4">
      <c r="A3245" s="33" t="s">
        <v>312</v>
      </c>
      <c r="B3245" s="2" t="s">
        <v>10</v>
      </c>
      <c r="C3245" s="33">
        <v>10</v>
      </c>
      <c r="D3245" s="2" t="s">
        <v>3553</v>
      </c>
      <c r="E3245" s="33">
        <v>1</v>
      </c>
      <c r="F3245" s="33"/>
      <c r="G3245" s="522"/>
      <c r="H3245" s="707"/>
      <c r="I3245" s="707">
        <f t="shared" si="100"/>
        <v>0</v>
      </c>
      <c r="J3245" s="707">
        <f t="shared" si="101"/>
        <v>0</v>
      </c>
      <c r="K3245" s="70"/>
    </row>
    <row r="3246" spans="1:11" ht="24" customHeight="1">
      <c r="A3246" s="33" t="s">
        <v>1584</v>
      </c>
      <c r="B3246" s="33" t="s">
        <v>81</v>
      </c>
      <c r="C3246" s="33">
        <v>6</v>
      </c>
      <c r="D3246" s="33" t="s">
        <v>1548</v>
      </c>
      <c r="E3246" s="33">
        <v>3</v>
      </c>
      <c r="F3246" s="33"/>
      <c r="G3246" s="522"/>
      <c r="H3246" s="707"/>
      <c r="I3246" s="707">
        <f t="shared" si="100"/>
        <v>0</v>
      </c>
      <c r="J3246" s="707">
        <f t="shared" si="101"/>
        <v>0</v>
      </c>
      <c r="K3246" s="70"/>
    </row>
    <row r="3247" spans="1:11" ht="24" customHeight="1">
      <c r="A3247" s="11" t="s">
        <v>1729</v>
      </c>
      <c r="B3247" s="11" t="s">
        <v>10</v>
      </c>
      <c r="C3247" s="11">
        <v>38</v>
      </c>
      <c r="D3247" s="131" t="s">
        <v>1723</v>
      </c>
      <c r="E3247" s="15">
        <v>1</v>
      </c>
      <c r="F3247" s="15"/>
      <c r="G3247" s="684"/>
      <c r="H3247" s="707"/>
      <c r="I3247" s="707">
        <f t="shared" si="100"/>
        <v>0</v>
      </c>
      <c r="J3247" s="707">
        <f t="shared" si="101"/>
        <v>0</v>
      </c>
      <c r="K3247" s="70"/>
    </row>
    <row r="3248" spans="1:11" ht="24" customHeight="1">
      <c r="A3248" s="17" t="s">
        <v>1729</v>
      </c>
      <c r="B3248" s="17" t="s">
        <v>10</v>
      </c>
      <c r="C3248" s="17">
        <v>16</v>
      </c>
      <c r="D3248" s="131" t="s">
        <v>2882</v>
      </c>
      <c r="E3248" s="15">
        <v>2</v>
      </c>
      <c r="F3248" s="15"/>
      <c r="G3248" s="684"/>
      <c r="H3248" s="707"/>
      <c r="I3248" s="707">
        <f t="shared" si="100"/>
        <v>0</v>
      </c>
      <c r="J3248" s="707">
        <f t="shared" si="101"/>
        <v>0</v>
      </c>
      <c r="K3248" s="70"/>
    </row>
    <row r="3249" spans="1:11" ht="24" customHeight="1">
      <c r="A3249" s="59" t="s">
        <v>2703</v>
      </c>
      <c r="B3249" s="59" t="s">
        <v>10</v>
      </c>
      <c r="C3249" s="59">
        <v>5</v>
      </c>
      <c r="D3249" s="33" t="s">
        <v>2624</v>
      </c>
      <c r="E3249" s="354">
        <v>5</v>
      </c>
      <c r="F3249" s="354"/>
      <c r="G3249" s="688"/>
      <c r="H3249" s="707">
        <v>2</v>
      </c>
      <c r="I3249" s="707">
        <f t="shared" si="100"/>
        <v>2.2999999999999998</v>
      </c>
      <c r="J3249" s="707">
        <f t="shared" si="101"/>
        <v>2.6</v>
      </c>
      <c r="K3249" s="70"/>
    </row>
    <row r="3250" spans="1:11" ht="24" customHeight="1">
      <c r="A3250" s="11" t="s">
        <v>2703</v>
      </c>
      <c r="B3250" s="11" t="s">
        <v>10</v>
      </c>
      <c r="C3250" s="11">
        <v>6</v>
      </c>
      <c r="D3250" s="131" t="s">
        <v>2882</v>
      </c>
      <c r="E3250" s="15">
        <v>1</v>
      </c>
      <c r="F3250" s="15"/>
      <c r="G3250" s="684"/>
      <c r="H3250" s="707">
        <v>2</v>
      </c>
      <c r="I3250" s="707">
        <f t="shared" si="100"/>
        <v>2.2999999999999998</v>
      </c>
      <c r="J3250" s="707">
        <f t="shared" si="101"/>
        <v>2.6</v>
      </c>
      <c r="K3250" s="70"/>
    </row>
    <row r="3251" spans="1:11" ht="24" customHeight="1">
      <c r="A3251" s="17" t="s">
        <v>2703</v>
      </c>
      <c r="B3251" s="17" t="s">
        <v>10</v>
      </c>
      <c r="C3251" s="17">
        <v>48</v>
      </c>
      <c r="D3251" s="131" t="s">
        <v>2882</v>
      </c>
      <c r="E3251" s="15">
        <v>2</v>
      </c>
      <c r="F3251" s="15"/>
      <c r="G3251" s="684"/>
      <c r="H3251" s="707">
        <v>2</v>
      </c>
      <c r="I3251" s="707">
        <f t="shared" si="100"/>
        <v>2.2999999999999998</v>
      </c>
      <c r="J3251" s="707">
        <f t="shared" si="101"/>
        <v>2.6</v>
      </c>
      <c r="K3251" s="70"/>
    </row>
    <row r="3252" spans="1:11" ht="24" customHeight="1">
      <c r="A3252" s="2" t="s">
        <v>2703</v>
      </c>
      <c r="B3252" s="2" t="s">
        <v>10</v>
      </c>
      <c r="C3252" s="2">
        <v>50</v>
      </c>
      <c r="D3252" s="2" t="s">
        <v>3553</v>
      </c>
      <c r="E3252" s="33">
        <v>1</v>
      </c>
      <c r="F3252" s="33"/>
      <c r="G3252" s="522"/>
      <c r="H3252" s="707"/>
      <c r="I3252" s="707">
        <f t="shared" si="100"/>
        <v>0</v>
      </c>
      <c r="J3252" s="707">
        <f t="shared" si="101"/>
        <v>0</v>
      </c>
      <c r="K3252" s="70"/>
    </row>
    <row r="3253" spans="1:11" ht="24" customHeight="1">
      <c r="A3253" s="74" t="s">
        <v>177</v>
      </c>
      <c r="B3253" s="74" t="s">
        <v>50</v>
      </c>
      <c r="C3253" s="74">
        <v>11</v>
      </c>
      <c r="D3253" s="33" t="s">
        <v>2191</v>
      </c>
      <c r="E3253" s="33">
        <v>5</v>
      </c>
      <c r="F3253" s="33"/>
      <c r="G3253" s="522"/>
      <c r="H3253" s="707">
        <v>2</v>
      </c>
      <c r="I3253" s="707">
        <f t="shared" si="100"/>
        <v>2.2999999999999998</v>
      </c>
      <c r="J3253" s="707">
        <f t="shared" si="101"/>
        <v>2.6</v>
      </c>
      <c r="K3253" s="70" t="s">
        <v>51</v>
      </c>
    </row>
    <row r="3254" spans="1:11" ht="24" customHeight="1">
      <c r="A3254" s="2" t="s">
        <v>177</v>
      </c>
      <c r="B3254" s="2" t="s">
        <v>10</v>
      </c>
      <c r="C3254" s="2">
        <v>15</v>
      </c>
      <c r="D3254" s="2" t="s">
        <v>11</v>
      </c>
      <c r="E3254" s="33">
        <v>3</v>
      </c>
      <c r="F3254" s="33"/>
      <c r="G3254" s="522"/>
      <c r="H3254" s="707">
        <v>2</v>
      </c>
      <c r="I3254" s="707">
        <f t="shared" si="100"/>
        <v>2.2999999999999998</v>
      </c>
      <c r="J3254" s="707">
        <f t="shared" si="101"/>
        <v>2.6</v>
      </c>
      <c r="K3254" s="70"/>
    </row>
    <row r="3255" spans="1:11" ht="24" customHeight="1">
      <c r="A3255" s="2" t="s">
        <v>177</v>
      </c>
      <c r="B3255" s="11" t="s">
        <v>10</v>
      </c>
      <c r="C3255" s="11">
        <v>3</v>
      </c>
      <c r="D3255" s="131" t="s">
        <v>1723</v>
      </c>
      <c r="E3255" s="15">
        <v>1</v>
      </c>
      <c r="F3255" s="15"/>
      <c r="G3255" s="684"/>
      <c r="H3255" s="707">
        <v>2</v>
      </c>
      <c r="I3255" s="707">
        <f t="shared" si="100"/>
        <v>2.2999999999999998</v>
      </c>
      <c r="J3255" s="707">
        <f t="shared" si="101"/>
        <v>2.6</v>
      </c>
      <c r="K3255" s="70"/>
    </row>
    <row r="3256" spans="1:11" ht="24" customHeight="1">
      <c r="A3256" s="2" t="s">
        <v>177</v>
      </c>
      <c r="B3256" s="17" t="s">
        <v>10</v>
      </c>
      <c r="C3256" s="17">
        <v>16</v>
      </c>
      <c r="D3256" s="131" t="s">
        <v>2882</v>
      </c>
      <c r="E3256" s="15">
        <v>2</v>
      </c>
      <c r="F3256" s="15"/>
      <c r="G3256" s="684"/>
      <c r="H3256" s="707">
        <v>2</v>
      </c>
      <c r="I3256" s="707">
        <f t="shared" si="100"/>
        <v>2.2999999999999998</v>
      </c>
      <c r="J3256" s="707">
        <f t="shared" si="101"/>
        <v>2.6</v>
      </c>
      <c r="K3256" s="70"/>
    </row>
    <row r="3257" spans="1:11" ht="24" customHeight="1">
      <c r="A3257" s="2" t="s">
        <v>177</v>
      </c>
      <c r="B3257" s="2" t="s">
        <v>10</v>
      </c>
      <c r="C3257" s="2">
        <v>50</v>
      </c>
      <c r="D3257" s="2" t="s">
        <v>3548</v>
      </c>
      <c r="E3257" s="33">
        <v>5</v>
      </c>
      <c r="F3257" s="33"/>
      <c r="G3257" s="522"/>
      <c r="H3257" s="707">
        <v>2</v>
      </c>
      <c r="I3257" s="707">
        <f t="shared" si="100"/>
        <v>2.2999999999999998</v>
      </c>
      <c r="J3257" s="707">
        <f t="shared" si="101"/>
        <v>2.6</v>
      </c>
      <c r="K3257" s="70"/>
    </row>
    <row r="3258" spans="1:11" ht="24" customHeight="1">
      <c r="A3258" s="11" t="s">
        <v>1730</v>
      </c>
      <c r="B3258" s="11" t="s">
        <v>10</v>
      </c>
      <c r="C3258" s="11">
        <v>34</v>
      </c>
      <c r="D3258" s="131" t="s">
        <v>1723</v>
      </c>
      <c r="E3258" s="15">
        <v>1</v>
      </c>
      <c r="F3258" s="15"/>
      <c r="G3258" s="684"/>
      <c r="H3258" s="707"/>
      <c r="I3258" s="707">
        <f t="shared" si="100"/>
        <v>0</v>
      </c>
      <c r="J3258" s="707">
        <f t="shared" si="101"/>
        <v>0</v>
      </c>
      <c r="K3258" s="70" t="s">
        <v>51</v>
      </c>
    </row>
    <row r="3259" spans="1:11" ht="24" customHeight="1">
      <c r="A3259" s="17" t="s">
        <v>1730</v>
      </c>
      <c r="B3259" s="17" t="s">
        <v>10</v>
      </c>
      <c r="C3259" s="17">
        <v>16</v>
      </c>
      <c r="D3259" s="131" t="s">
        <v>2882</v>
      </c>
      <c r="E3259" s="15">
        <v>2</v>
      </c>
      <c r="F3259" s="15"/>
      <c r="G3259" s="684"/>
      <c r="H3259" s="707"/>
      <c r="I3259" s="707">
        <f t="shared" si="100"/>
        <v>0</v>
      </c>
      <c r="J3259" s="707">
        <f t="shared" si="101"/>
        <v>0</v>
      </c>
      <c r="K3259" s="70"/>
    </row>
    <row r="3260" spans="1:11" ht="24" customHeight="1">
      <c r="A3260" s="2" t="s">
        <v>330</v>
      </c>
      <c r="B3260" s="2" t="s">
        <v>10</v>
      </c>
      <c r="C3260" s="2">
        <v>71</v>
      </c>
      <c r="D3260" s="2" t="s">
        <v>274</v>
      </c>
      <c r="E3260" s="33">
        <v>1</v>
      </c>
      <c r="F3260" s="33"/>
      <c r="G3260" s="522"/>
      <c r="H3260" s="707">
        <v>2</v>
      </c>
      <c r="I3260" s="707">
        <f t="shared" si="100"/>
        <v>2.2999999999999998</v>
      </c>
      <c r="J3260" s="707">
        <f t="shared" si="101"/>
        <v>2.6</v>
      </c>
      <c r="K3260" s="70" t="s">
        <v>51</v>
      </c>
    </row>
    <row r="3261" spans="1:11" ht="24" customHeight="1">
      <c r="A3261" s="2" t="s">
        <v>330</v>
      </c>
      <c r="B3261" s="2" t="s">
        <v>50</v>
      </c>
      <c r="C3261" s="2">
        <v>9</v>
      </c>
      <c r="D3261" s="2" t="s">
        <v>274</v>
      </c>
      <c r="E3261" s="33">
        <v>3</v>
      </c>
      <c r="F3261" s="33"/>
      <c r="G3261" s="522"/>
      <c r="H3261" s="707">
        <v>2</v>
      </c>
      <c r="I3261" s="707">
        <f t="shared" si="100"/>
        <v>2.2999999999999998</v>
      </c>
      <c r="J3261" s="707">
        <f t="shared" si="101"/>
        <v>2.6</v>
      </c>
      <c r="K3261" s="70"/>
    </row>
    <row r="3262" spans="1:11" ht="24" customHeight="1">
      <c r="A3262" s="2" t="s">
        <v>330</v>
      </c>
      <c r="B3262" s="33" t="s">
        <v>10</v>
      </c>
      <c r="C3262" s="2">
        <v>50</v>
      </c>
      <c r="D3262" s="2" t="s">
        <v>3553</v>
      </c>
      <c r="E3262" s="33">
        <v>2</v>
      </c>
      <c r="F3262" s="33"/>
      <c r="G3262" s="522"/>
      <c r="H3262" s="707">
        <v>2</v>
      </c>
      <c r="I3262" s="707">
        <f t="shared" si="100"/>
        <v>2.2999999999999998</v>
      </c>
      <c r="J3262" s="707">
        <f t="shared" si="101"/>
        <v>2.6</v>
      </c>
      <c r="K3262" s="70"/>
    </row>
    <row r="3263" spans="1:11" ht="24" customHeight="1">
      <c r="A3263" s="11" t="s">
        <v>1728</v>
      </c>
      <c r="B3263" s="11" t="s">
        <v>10</v>
      </c>
      <c r="C3263" s="11">
        <v>14</v>
      </c>
      <c r="D3263" s="131" t="s">
        <v>1723</v>
      </c>
      <c r="E3263" s="15">
        <v>1</v>
      </c>
      <c r="F3263" s="15"/>
      <c r="G3263" s="684"/>
      <c r="H3263" s="707"/>
      <c r="I3263" s="707">
        <f t="shared" si="100"/>
        <v>0</v>
      </c>
      <c r="J3263" s="707">
        <f t="shared" si="101"/>
        <v>0</v>
      </c>
      <c r="K3263" s="70"/>
    </row>
    <row r="3264" spans="1:11" ht="24" customHeight="1">
      <c r="A3264" s="11" t="s">
        <v>1762</v>
      </c>
      <c r="B3264" s="11" t="s">
        <v>10</v>
      </c>
      <c r="C3264" s="11">
        <v>34</v>
      </c>
      <c r="D3264" s="131" t="s">
        <v>1723</v>
      </c>
      <c r="E3264" s="15">
        <v>2</v>
      </c>
      <c r="F3264" s="15"/>
      <c r="G3264" s="684"/>
      <c r="H3264" s="707">
        <v>5</v>
      </c>
      <c r="I3264" s="707">
        <f t="shared" si="100"/>
        <v>5.75</v>
      </c>
      <c r="J3264" s="707">
        <f t="shared" si="101"/>
        <v>6.5</v>
      </c>
      <c r="K3264" s="70"/>
    </row>
    <row r="3265" spans="1:11" ht="24" customHeight="1">
      <c r="A3265" s="17" t="s">
        <v>1762</v>
      </c>
      <c r="B3265" s="17" t="s">
        <v>10</v>
      </c>
      <c r="C3265" s="17">
        <v>16</v>
      </c>
      <c r="D3265" s="131" t="s">
        <v>2882</v>
      </c>
      <c r="E3265" s="15">
        <v>2</v>
      </c>
      <c r="F3265" s="15"/>
      <c r="G3265" s="684"/>
      <c r="H3265" s="707"/>
      <c r="I3265" s="707">
        <f t="shared" si="100"/>
        <v>0</v>
      </c>
      <c r="J3265" s="707">
        <f t="shared" si="101"/>
        <v>0</v>
      </c>
      <c r="K3265" s="70"/>
    </row>
    <row r="3266" spans="1:11" ht="24" customHeight="1">
      <c r="A3266" s="33" t="s">
        <v>2377</v>
      </c>
      <c r="B3266" s="33" t="s">
        <v>10</v>
      </c>
      <c r="C3266" s="33">
        <v>3</v>
      </c>
      <c r="D3266" s="33" t="s">
        <v>2363</v>
      </c>
      <c r="E3266" s="33">
        <v>3</v>
      </c>
      <c r="F3266" s="33"/>
      <c r="G3266" s="522"/>
      <c r="H3266" s="707">
        <v>2.5</v>
      </c>
      <c r="I3266" s="707">
        <f t="shared" si="100"/>
        <v>2.875</v>
      </c>
      <c r="J3266" s="707">
        <f t="shared" si="101"/>
        <v>3.25</v>
      </c>
      <c r="K3266" s="70"/>
    </row>
    <row r="3267" spans="1:11" ht="24" customHeight="1">
      <c r="A3267" s="33" t="s">
        <v>893</v>
      </c>
      <c r="B3267" s="33" t="s">
        <v>10</v>
      </c>
      <c r="C3267" s="33">
        <v>20</v>
      </c>
      <c r="D3267" s="2" t="s">
        <v>888</v>
      </c>
      <c r="E3267" s="33">
        <v>5</v>
      </c>
      <c r="F3267" s="33"/>
      <c r="G3267" s="522"/>
      <c r="H3267" s="707"/>
      <c r="I3267" s="707">
        <f t="shared" ref="I3267:I3330" si="102">H3267 * 1.15</f>
        <v>0</v>
      </c>
      <c r="J3267" s="707">
        <f t="shared" ref="J3267:J3330" si="103">H3267 * 1.3</f>
        <v>0</v>
      </c>
      <c r="K3267" s="55"/>
    </row>
    <row r="3268" spans="1:11" ht="24" customHeight="1">
      <c r="A3268" s="2" t="s">
        <v>893</v>
      </c>
      <c r="B3268" s="2" t="s">
        <v>10</v>
      </c>
      <c r="C3268" s="2">
        <v>40</v>
      </c>
      <c r="D3268" s="2" t="s">
        <v>3548</v>
      </c>
      <c r="E3268" s="33">
        <v>5</v>
      </c>
      <c r="F3268" s="33"/>
      <c r="G3268" s="522"/>
      <c r="H3268" s="707"/>
      <c r="I3268" s="707">
        <f t="shared" si="102"/>
        <v>0</v>
      </c>
      <c r="J3268" s="707">
        <f t="shared" si="103"/>
        <v>0</v>
      </c>
      <c r="K3268" s="70"/>
    </row>
    <row r="3269" spans="1:11" ht="24" customHeight="1">
      <c r="A3269" s="11" t="s">
        <v>1735</v>
      </c>
      <c r="B3269" s="11" t="s">
        <v>10</v>
      </c>
      <c r="C3269" s="11">
        <v>34</v>
      </c>
      <c r="D3269" s="131" t="s">
        <v>1723</v>
      </c>
      <c r="E3269" s="15">
        <v>1</v>
      </c>
      <c r="F3269" s="15"/>
      <c r="G3269" s="684"/>
      <c r="H3269" s="707"/>
      <c r="I3269" s="707">
        <f t="shared" si="102"/>
        <v>0</v>
      </c>
      <c r="J3269" s="707">
        <f t="shared" si="103"/>
        <v>0</v>
      </c>
      <c r="K3269" s="70"/>
    </row>
    <row r="3270" spans="1:11" ht="24" customHeight="1">
      <c r="A3270" s="17" t="s">
        <v>1735</v>
      </c>
      <c r="B3270" s="17" t="s">
        <v>10</v>
      </c>
      <c r="C3270" s="17">
        <v>16</v>
      </c>
      <c r="D3270" s="131" t="s">
        <v>2882</v>
      </c>
      <c r="E3270" s="15">
        <v>2</v>
      </c>
      <c r="F3270" s="15"/>
      <c r="G3270" s="684"/>
      <c r="H3270" s="707"/>
      <c r="I3270" s="707">
        <f t="shared" si="102"/>
        <v>0</v>
      </c>
      <c r="J3270" s="707">
        <f t="shared" si="103"/>
        <v>0</v>
      </c>
      <c r="K3270" s="70"/>
    </row>
    <row r="3271" spans="1:11" ht="24" customHeight="1">
      <c r="A3271" s="11" t="s">
        <v>1745</v>
      </c>
      <c r="B3271" s="11" t="s">
        <v>10</v>
      </c>
      <c r="C3271" s="11">
        <v>34</v>
      </c>
      <c r="D3271" s="131" t="s">
        <v>1723</v>
      </c>
      <c r="E3271" s="15">
        <v>1</v>
      </c>
      <c r="F3271" s="15"/>
      <c r="G3271" s="684"/>
      <c r="H3271" s="707"/>
      <c r="I3271" s="707">
        <f t="shared" si="102"/>
        <v>0</v>
      </c>
      <c r="J3271" s="707">
        <f t="shared" si="103"/>
        <v>0</v>
      </c>
      <c r="K3271" s="70"/>
    </row>
    <row r="3272" spans="1:11" ht="24" customHeight="1">
      <c r="A3272" s="17" t="s">
        <v>1745</v>
      </c>
      <c r="B3272" s="17" t="s">
        <v>10</v>
      </c>
      <c r="C3272" s="17">
        <v>16</v>
      </c>
      <c r="D3272" s="131" t="s">
        <v>2882</v>
      </c>
      <c r="E3272" s="15">
        <v>2</v>
      </c>
      <c r="F3272" s="15"/>
      <c r="G3272" s="684"/>
      <c r="H3272" s="707"/>
      <c r="I3272" s="707">
        <f t="shared" si="102"/>
        <v>0</v>
      </c>
      <c r="J3272" s="707">
        <f t="shared" si="103"/>
        <v>0</v>
      </c>
      <c r="K3272" s="70"/>
    </row>
    <row r="3273" spans="1:11" ht="24" customHeight="1">
      <c r="A3273" s="10" t="s">
        <v>1737</v>
      </c>
      <c r="B3273" s="11" t="s">
        <v>10</v>
      </c>
      <c r="C3273" s="11">
        <v>9</v>
      </c>
      <c r="D3273" s="131" t="s">
        <v>1723</v>
      </c>
      <c r="E3273" s="15">
        <v>1</v>
      </c>
      <c r="F3273" s="15"/>
      <c r="G3273" s="684"/>
      <c r="H3273" s="707"/>
      <c r="I3273" s="707">
        <f t="shared" si="102"/>
        <v>0</v>
      </c>
      <c r="J3273" s="707">
        <f t="shared" si="103"/>
        <v>0</v>
      </c>
      <c r="K3273" s="70"/>
    </row>
    <row r="3274" spans="1:11" ht="24" customHeight="1">
      <c r="A3274" s="17" t="s">
        <v>1737</v>
      </c>
      <c r="B3274" s="17" t="s">
        <v>10</v>
      </c>
      <c r="C3274" s="17">
        <v>16</v>
      </c>
      <c r="D3274" s="131" t="s">
        <v>2882</v>
      </c>
      <c r="E3274" s="15">
        <v>2</v>
      </c>
      <c r="F3274" s="15"/>
      <c r="G3274" s="684"/>
      <c r="H3274" s="707"/>
      <c r="I3274" s="707">
        <f t="shared" si="102"/>
        <v>0</v>
      </c>
      <c r="J3274" s="707">
        <f t="shared" si="103"/>
        <v>0</v>
      </c>
      <c r="K3274" s="70"/>
    </row>
    <row r="3275" spans="1:11" ht="24" customHeight="1">
      <c r="A3275" s="74" t="s">
        <v>1733</v>
      </c>
      <c r="B3275" s="74" t="s">
        <v>10</v>
      </c>
      <c r="C3275" s="74">
        <v>21</v>
      </c>
      <c r="D3275" s="33" t="s">
        <v>2191</v>
      </c>
      <c r="E3275" s="33">
        <v>5</v>
      </c>
      <c r="F3275" s="33"/>
      <c r="G3275" s="522"/>
      <c r="H3275" s="707">
        <v>3</v>
      </c>
      <c r="I3275" s="707">
        <f t="shared" si="102"/>
        <v>3.4499999999999997</v>
      </c>
      <c r="J3275" s="707">
        <f t="shared" si="103"/>
        <v>3.9000000000000004</v>
      </c>
      <c r="K3275" s="70" t="s">
        <v>51</v>
      </c>
    </row>
    <row r="3276" spans="1:11" ht="24" customHeight="1">
      <c r="A3276" s="11" t="s">
        <v>1733</v>
      </c>
      <c r="B3276" s="11" t="s">
        <v>10</v>
      </c>
      <c r="C3276" s="11">
        <v>15</v>
      </c>
      <c r="D3276" s="131" t="s">
        <v>1723</v>
      </c>
      <c r="E3276" s="15">
        <v>1</v>
      </c>
      <c r="F3276" s="15"/>
      <c r="G3276" s="684"/>
      <c r="H3276" s="707">
        <v>3</v>
      </c>
      <c r="I3276" s="707">
        <f t="shared" si="102"/>
        <v>3.4499999999999997</v>
      </c>
      <c r="J3276" s="707">
        <f t="shared" si="103"/>
        <v>3.9000000000000004</v>
      </c>
      <c r="K3276" s="70" t="s">
        <v>1734</v>
      </c>
    </row>
    <row r="3277" spans="1:11" ht="24" customHeight="1">
      <c r="A3277" s="17" t="s">
        <v>1733</v>
      </c>
      <c r="B3277" s="17" t="s">
        <v>10</v>
      </c>
      <c r="C3277" s="17">
        <v>32</v>
      </c>
      <c r="D3277" s="131" t="s">
        <v>2882</v>
      </c>
      <c r="E3277" s="15">
        <v>2</v>
      </c>
      <c r="F3277" s="15"/>
      <c r="G3277" s="684"/>
      <c r="H3277" s="707"/>
      <c r="I3277" s="707">
        <f t="shared" si="102"/>
        <v>0</v>
      </c>
      <c r="J3277" s="707">
        <f t="shared" si="103"/>
        <v>0</v>
      </c>
      <c r="K3277" s="70"/>
    </row>
    <row r="3278" spans="1:11" ht="24" customHeight="1">
      <c r="A3278" s="11" t="s">
        <v>3498</v>
      </c>
      <c r="B3278" s="11" t="s">
        <v>10</v>
      </c>
      <c r="C3278" s="11">
        <v>6</v>
      </c>
      <c r="D3278" s="131" t="s">
        <v>3451</v>
      </c>
      <c r="E3278" s="15">
        <v>3</v>
      </c>
      <c r="F3278" s="15"/>
      <c r="G3278" s="684"/>
      <c r="H3278" s="707">
        <v>10</v>
      </c>
      <c r="I3278" s="707">
        <f t="shared" si="102"/>
        <v>11.5</v>
      </c>
      <c r="J3278" s="707">
        <f t="shared" si="103"/>
        <v>13</v>
      </c>
      <c r="K3278" s="70"/>
    </row>
    <row r="3279" spans="1:11" ht="14.4">
      <c r="A3279" s="11" t="s">
        <v>1759</v>
      </c>
      <c r="B3279" s="11" t="s">
        <v>10</v>
      </c>
      <c r="C3279" s="11">
        <v>23</v>
      </c>
      <c r="D3279" s="131" t="s">
        <v>1723</v>
      </c>
      <c r="E3279" s="15">
        <v>2</v>
      </c>
      <c r="F3279" s="15"/>
      <c r="G3279" s="684"/>
      <c r="H3279" s="707"/>
      <c r="I3279" s="707">
        <f t="shared" si="102"/>
        <v>0</v>
      </c>
      <c r="J3279" s="707">
        <f t="shared" si="103"/>
        <v>0</v>
      </c>
      <c r="K3279" s="70"/>
    </row>
    <row r="3280" spans="1:11" ht="14.4">
      <c r="A3280" s="17" t="s">
        <v>616</v>
      </c>
      <c r="B3280" s="17" t="s">
        <v>56</v>
      </c>
      <c r="C3280" s="17">
        <v>4</v>
      </c>
      <c r="D3280" s="131" t="s">
        <v>2882</v>
      </c>
      <c r="E3280" s="15">
        <v>2</v>
      </c>
      <c r="F3280" s="15"/>
      <c r="G3280" s="684"/>
      <c r="H3280" s="707"/>
      <c r="I3280" s="707">
        <f t="shared" si="102"/>
        <v>0</v>
      </c>
      <c r="J3280" s="707">
        <f t="shared" si="103"/>
        <v>0</v>
      </c>
      <c r="K3280" s="70" t="s">
        <v>12</v>
      </c>
    </row>
    <row r="3281" spans="1:11" ht="14.4">
      <c r="A3281" s="2" t="s">
        <v>616</v>
      </c>
      <c r="B3281" s="2" t="s">
        <v>10</v>
      </c>
      <c r="C3281" s="2">
        <v>10</v>
      </c>
      <c r="D3281" s="2" t="s">
        <v>3548</v>
      </c>
      <c r="E3281" s="33">
        <v>5</v>
      </c>
      <c r="F3281" s="33"/>
      <c r="G3281" s="522"/>
      <c r="H3281" s="707"/>
      <c r="I3281" s="707">
        <f t="shared" si="102"/>
        <v>0</v>
      </c>
      <c r="J3281" s="707">
        <f t="shared" si="103"/>
        <v>0</v>
      </c>
      <c r="K3281" s="70"/>
    </row>
    <row r="3282" spans="1:11" ht="14.4">
      <c r="A3282" s="33" t="s">
        <v>616</v>
      </c>
      <c r="B3282" s="2" t="s">
        <v>10</v>
      </c>
      <c r="C3282" s="33">
        <v>10</v>
      </c>
      <c r="D3282" s="2" t="s">
        <v>3553</v>
      </c>
      <c r="E3282" s="33">
        <v>1</v>
      </c>
      <c r="F3282" s="33"/>
      <c r="G3282" s="522"/>
      <c r="H3282" s="707"/>
      <c r="I3282" s="707">
        <f t="shared" si="102"/>
        <v>0</v>
      </c>
      <c r="J3282" s="707">
        <f t="shared" si="103"/>
        <v>0</v>
      </c>
      <c r="K3282" s="70"/>
    </row>
    <row r="3283" spans="1:11" ht="14.4">
      <c r="A3283" s="2" t="s">
        <v>655</v>
      </c>
      <c r="B3283" s="2" t="s">
        <v>56</v>
      </c>
      <c r="C3283" s="2">
        <v>7</v>
      </c>
      <c r="D3283" s="2" t="s">
        <v>593</v>
      </c>
      <c r="E3283" s="33">
        <v>1</v>
      </c>
      <c r="F3283" s="33"/>
      <c r="G3283" s="522"/>
      <c r="H3283" s="707"/>
      <c r="I3283" s="707">
        <f t="shared" si="102"/>
        <v>0</v>
      </c>
      <c r="J3283" s="707">
        <f t="shared" si="103"/>
        <v>0</v>
      </c>
      <c r="K3283" s="70"/>
    </row>
    <row r="3284" spans="1:11" ht="15.6">
      <c r="A3284" s="74" t="s">
        <v>2508</v>
      </c>
      <c r="B3284" s="74" t="s">
        <v>56</v>
      </c>
      <c r="C3284" s="74">
        <v>40</v>
      </c>
      <c r="D3284" s="33" t="s">
        <v>2504</v>
      </c>
      <c r="E3284" s="33">
        <v>5</v>
      </c>
      <c r="F3284" s="33"/>
      <c r="G3284" s="522"/>
      <c r="H3284" s="707">
        <v>1</v>
      </c>
      <c r="I3284" s="707">
        <f t="shared" si="102"/>
        <v>1.1499999999999999</v>
      </c>
      <c r="J3284" s="707">
        <f t="shared" si="103"/>
        <v>1.3</v>
      </c>
      <c r="K3284" s="70"/>
    </row>
    <row r="3285" spans="1:11" ht="14.4">
      <c r="A3285" s="33" t="s">
        <v>1516</v>
      </c>
      <c r="B3285" s="33" t="s">
        <v>27</v>
      </c>
      <c r="C3285" s="33">
        <v>10</v>
      </c>
      <c r="D3285" s="33" t="s">
        <v>1494</v>
      </c>
      <c r="E3285" s="33">
        <v>1</v>
      </c>
      <c r="F3285" s="33"/>
      <c r="G3285" s="522"/>
      <c r="H3285" s="707"/>
      <c r="I3285" s="707">
        <f t="shared" si="102"/>
        <v>0</v>
      </c>
      <c r="J3285" s="707">
        <f t="shared" si="103"/>
        <v>0</v>
      </c>
      <c r="K3285" s="70"/>
    </row>
    <row r="3286" spans="1:11" ht="14.4">
      <c r="A3286" s="33" t="s">
        <v>2041</v>
      </c>
      <c r="B3286" s="33" t="s">
        <v>27</v>
      </c>
      <c r="C3286" s="33">
        <v>10</v>
      </c>
      <c r="D3286" s="33" t="s">
        <v>2026</v>
      </c>
      <c r="E3286" s="33">
        <v>3</v>
      </c>
      <c r="F3286" s="33"/>
      <c r="G3286" s="522"/>
      <c r="H3286" s="707"/>
      <c r="I3286" s="707">
        <f t="shared" si="102"/>
        <v>0</v>
      </c>
      <c r="J3286" s="707">
        <f t="shared" si="103"/>
        <v>0</v>
      </c>
      <c r="K3286" s="70"/>
    </row>
    <row r="3287" spans="1:11" ht="14.4">
      <c r="A3287" s="33" t="s">
        <v>2512</v>
      </c>
      <c r="B3287" s="33" t="s">
        <v>2513</v>
      </c>
      <c r="C3287" s="33">
        <v>1</v>
      </c>
      <c r="D3287" s="33" t="s">
        <v>2504</v>
      </c>
      <c r="E3287" s="33">
        <v>5</v>
      </c>
      <c r="F3287" s="33"/>
      <c r="G3287" s="522"/>
      <c r="H3287" s="707"/>
      <c r="I3287" s="707">
        <f t="shared" si="102"/>
        <v>0</v>
      </c>
      <c r="J3287" s="707">
        <f t="shared" si="103"/>
        <v>0</v>
      </c>
      <c r="K3287" s="70"/>
    </row>
    <row r="3288" spans="1:11" ht="14.4">
      <c r="A3288" s="2" t="s">
        <v>3643</v>
      </c>
      <c r="B3288" s="2" t="s">
        <v>558</v>
      </c>
      <c r="C3288" s="2">
        <v>25</v>
      </c>
      <c r="D3288" s="2" t="s">
        <v>3636</v>
      </c>
      <c r="E3288" s="33">
        <v>2</v>
      </c>
      <c r="F3288" s="33"/>
      <c r="G3288" s="522"/>
      <c r="H3288" s="707"/>
      <c r="I3288" s="707">
        <f t="shared" si="102"/>
        <v>0</v>
      </c>
      <c r="J3288" s="707">
        <f t="shared" si="103"/>
        <v>0</v>
      </c>
      <c r="K3288" s="55"/>
    </row>
    <row r="3289" spans="1:11" ht="14.4">
      <c r="A3289" s="11" t="s">
        <v>3148</v>
      </c>
      <c r="B3289" s="34" t="s">
        <v>267</v>
      </c>
      <c r="C3289" s="11">
        <v>95</v>
      </c>
      <c r="D3289" s="33" t="s">
        <v>3053</v>
      </c>
      <c r="E3289" s="33">
        <v>3</v>
      </c>
      <c r="F3289" s="33"/>
      <c r="G3289" s="522"/>
      <c r="H3289" s="707"/>
      <c r="I3289" s="707">
        <f t="shared" si="102"/>
        <v>0</v>
      </c>
      <c r="J3289" s="707">
        <f t="shared" si="103"/>
        <v>0</v>
      </c>
      <c r="K3289" s="70"/>
    </row>
    <row r="3290" spans="1:11" ht="14.4">
      <c r="A3290" s="33" t="s">
        <v>1324</v>
      </c>
      <c r="B3290" s="33" t="s">
        <v>267</v>
      </c>
      <c r="C3290" s="33">
        <v>23</v>
      </c>
      <c r="D3290" s="33" t="s">
        <v>1325</v>
      </c>
      <c r="E3290" s="33">
        <v>1</v>
      </c>
      <c r="F3290" s="33"/>
      <c r="G3290" s="522"/>
      <c r="H3290" s="707"/>
      <c r="I3290" s="707">
        <f t="shared" si="102"/>
        <v>0</v>
      </c>
      <c r="J3290" s="707">
        <f t="shared" si="103"/>
        <v>0</v>
      </c>
      <c r="K3290" s="70"/>
    </row>
    <row r="3291" spans="1:11" ht="14.4">
      <c r="A3291" s="11" t="s">
        <v>3124</v>
      </c>
      <c r="B3291" s="34" t="s">
        <v>267</v>
      </c>
      <c r="C3291" s="11">
        <v>10</v>
      </c>
      <c r="D3291" s="33" t="s">
        <v>3053</v>
      </c>
      <c r="E3291" s="33">
        <v>3</v>
      </c>
      <c r="F3291" s="33"/>
      <c r="G3291" s="522"/>
      <c r="H3291" s="707"/>
      <c r="I3291" s="707">
        <f t="shared" si="102"/>
        <v>0</v>
      </c>
      <c r="J3291" s="707">
        <f t="shared" si="103"/>
        <v>0</v>
      </c>
      <c r="K3291" s="70"/>
    </row>
    <row r="3292" spans="1:11" ht="14.4">
      <c r="A3292" s="33" t="s">
        <v>1944</v>
      </c>
      <c r="B3292" s="33" t="s">
        <v>406</v>
      </c>
      <c r="C3292" s="33">
        <v>7</v>
      </c>
      <c r="D3292" s="33" t="s">
        <v>1938</v>
      </c>
      <c r="E3292" s="33">
        <v>1</v>
      </c>
      <c r="F3292" s="33"/>
      <c r="G3292" s="522"/>
      <c r="H3292" s="707"/>
      <c r="I3292" s="707">
        <f t="shared" si="102"/>
        <v>0</v>
      </c>
      <c r="J3292" s="707">
        <f t="shared" si="103"/>
        <v>0</v>
      </c>
      <c r="K3292" s="70"/>
    </row>
    <row r="3293" spans="1:11" ht="14.4">
      <c r="A3293" s="33" t="s">
        <v>1945</v>
      </c>
      <c r="B3293" s="33" t="s">
        <v>406</v>
      </c>
      <c r="C3293" s="33">
        <v>14</v>
      </c>
      <c r="D3293" s="33" t="s">
        <v>1938</v>
      </c>
      <c r="E3293" s="33">
        <v>1</v>
      </c>
      <c r="F3293" s="33"/>
      <c r="G3293" s="522"/>
      <c r="H3293" s="707"/>
      <c r="I3293" s="707">
        <f t="shared" si="102"/>
        <v>0</v>
      </c>
      <c r="J3293" s="707">
        <f t="shared" si="103"/>
        <v>0</v>
      </c>
      <c r="K3293" s="70"/>
    </row>
    <row r="3294" spans="1:11" ht="14.4">
      <c r="A3294" s="3" t="s">
        <v>2821</v>
      </c>
      <c r="B3294" s="3" t="s">
        <v>41</v>
      </c>
      <c r="C3294" s="3">
        <v>80</v>
      </c>
      <c r="D3294" s="58" t="s">
        <v>2802</v>
      </c>
      <c r="E3294" s="33">
        <v>2</v>
      </c>
      <c r="F3294" s="33"/>
      <c r="G3294" s="522"/>
      <c r="H3294" s="707"/>
      <c r="I3294" s="707">
        <f t="shared" si="102"/>
        <v>0</v>
      </c>
      <c r="J3294" s="707">
        <f t="shared" si="103"/>
        <v>0</v>
      </c>
      <c r="K3294" s="70"/>
    </row>
    <row r="3295" spans="1:11" ht="14.4">
      <c r="A3295" s="33" t="s">
        <v>2370</v>
      </c>
      <c r="B3295" s="33" t="s">
        <v>41</v>
      </c>
      <c r="C3295" s="33">
        <v>120</v>
      </c>
      <c r="D3295" s="33" t="s">
        <v>2363</v>
      </c>
      <c r="E3295" s="33">
        <v>3</v>
      </c>
      <c r="F3295" s="33"/>
      <c r="G3295" s="522"/>
      <c r="H3295" s="707">
        <v>0.5</v>
      </c>
      <c r="I3295" s="707">
        <f t="shared" si="102"/>
        <v>0.57499999999999996</v>
      </c>
      <c r="J3295" s="707">
        <f t="shared" si="103"/>
        <v>0.65</v>
      </c>
      <c r="K3295" s="70"/>
    </row>
    <row r="3296" spans="1:11" ht="14.4">
      <c r="A3296" s="33" t="s">
        <v>2544</v>
      </c>
      <c r="B3296" s="33" t="s">
        <v>41</v>
      </c>
      <c r="C3296" s="33">
        <v>49</v>
      </c>
      <c r="D3296" s="33" t="s">
        <v>2540</v>
      </c>
      <c r="E3296" s="33">
        <v>1</v>
      </c>
      <c r="F3296" s="33"/>
      <c r="G3296" s="522"/>
      <c r="H3296" s="707">
        <v>1</v>
      </c>
      <c r="I3296" s="707">
        <f t="shared" si="102"/>
        <v>1.1499999999999999</v>
      </c>
      <c r="J3296" s="707">
        <f t="shared" si="103"/>
        <v>1.3</v>
      </c>
      <c r="K3296" s="70"/>
    </row>
    <row r="3297" spans="1:11" ht="14.4">
      <c r="A3297" s="2" t="s">
        <v>767</v>
      </c>
      <c r="B3297" s="2" t="s">
        <v>41</v>
      </c>
      <c r="C3297" s="2">
        <v>6</v>
      </c>
      <c r="D3297" s="2" t="s">
        <v>593</v>
      </c>
      <c r="E3297" s="33">
        <v>3</v>
      </c>
      <c r="F3297" s="33"/>
      <c r="G3297" s="522"/>
      <c r="H3297" s="707"/>
      <c r="I3297" s="707">
        <f t="shared" si="102"/>
        <v>0</v>
      </c>
      <c r="J3297" s="707">
        <f t="shared" si="103"/>
        <v>0</v>
      </c>
      <c r="K3297" s="70"/>
    </row>
    <row r="3298" spans="1:11" ht="14.4">
      <c r="A3298" s="33" t="s">
        <v>1175</v>
      </c>
      <c r="B3298" s="33" t="s">
        <v>41</v>
      </c>
      <c r="C3298" s="33">
        <v>25</v>
      </c>
      <c r="D3298" s="33" t="s">
        <v>1141</v>
      </c>
      <c r="E3298" s="33">
        <v>2</v>
      </c>
      <c r="F3298" s="33"/>
      <c r="G3298" s="522"/>
      <c r="H3298" s="707"/>
      <c r="I3298" s="707">
        <f t="shared" si="102"/>
        <v>0</v>
      </c>
      <c r="J3298" s="707">
        <f t="shared" si="103"/>
        <v>0</v>
      </c>
      <c r="K3298" s="70"/>
    </row>
    <row r="3299" spans="1:11" ht="14.4">
      <c r="A3299" s="11" t="s">
        <v>2843</v>
      </c>
      <c r="B3299" s="11" t="s">
        <v>41</v>
      </c>
      <c r="C3299" s="11">
        <v>102</v>
      </c>
      <c r="D3299" s="131" t="s">
        <v>2802</v>
      </c>
      <c r="E3299" s="15">
        <v>3</v>
      </c>
      <c r="F3299" s="15"/>
      <c r="G3299" s="684"/>
      <c r="H3299" s="707">
        <v>1</v>
      </c>
      <c r="I3299" s="707">
        <f t="shared" si="102"/>
        <v>1.1499999999999999</v>
      </c>
      <c r="J3299" s="707">
        <f t="shared" si="103"/>
        <v>1.3</v>
      </c>
      <c r="K3299" s="70"/>
    </row>
    <row r="3300" spans="1:11" ht="24" customHeight="1">
      <c r="A3300" s="33" t="s">
        <v>2843</v>
      </c>
      <c r="B3300" s="33" t="s">
        <v>41</v>
      </c>
      <c r="C3300" s="33">
        <v>200</v>
      </c>
      <c r="D3300" s="33" t="s">
        <v>3348</v>
      </c>
      <c r="E3300" s="33">
        <v>4</v>
      </c>
      <c r="F3300" s="33"/>
      <c r="G3300" s="522"/>
      <c r="H3300" s="707">
        <v>1</v>
      </c>
      <c r="I3300" s="707">
        <f t="shared" si="102"/>
        <v>1.1499999999999999</v>
      </c>
      <c r="J3300" s="707">
        <f t="shared" si="103"/>
        <v>1.3</v>
      </c>
      <c r="K3300" s="70"/>
    </row>
    <row r="3301" spans="1:11" ht="24" customHeight="1">
      <c r="A3301" s="33" t="s">
        <v>1587</v>
      </c>
      <c r="B3301" s="33" t="s">
        <v>25</v>
      </c>
      <c r="C3301" s="33">
        <v>1</v>
      </c>
      <c r="D3301" s="33" t="s">
        <v>1548</v>
      </c>
      <c r="E3301" s="33">
        <v>3</v>
      </c>
      <c r="F3301" s="33"/>
      <c r="G3301" s="522"/>
      <c r="H3301" s="707"/>
      <c r="I3301" s="707">
        <f t="shared" si="102"/>
        <v>0</v>
      </c>
      <c r="J3301" s="707">
        <f t="shared" si="103"/>
        <v>0</v>
      </c>
      <c r="K3301" s="70"/>
    </row>
    <row r="3302" spans="1:11" ht="24" customHeight="1">
      <c r="A3302" s="59" t="s">
        <v>2693</v>
      </c>
      <c r="B3302" s="59" t="s">
        <v>25</v>
      </c>
      <c r="C3302" s="59">
        <v>483</v>
      </c>
      <c r="D3302" s="33" t="s">
        <v>2624</v>
      </c>
      <c r="E3302" s="354">
        <v>5</v>
      </c>
      <c r="F3302" s="354"/>
      <c r="G3302" s="688"/>
      <c r="H3302" s="707">
        <v>1</v>
      </c>
      <c r="I3302" s="707">
        <f t="shared" si="102"/>
        <v>1.1499999999999999</v>
      </c>
      <c r="J3302" s="707">
        <f t="shared" si="103"/>
        <v>1.3</v>
      </c>
      <c r="K3302" s="70"/>
    </row>
    <row r="3303" spans="1:11" ht="24" customHeight="1">
      <c r="A3303" s="33" t="s">
        <v>1588</v>
      </c>
      <c r="B3303" s="33" t="s">
        <v>25</v>
      </c>
      <c r="C3303" s="33">
        <v>1</v>
      </c>
      <c r="D3303" s="33" t="s">
        <v>1548</v>
      </c>
      <c r="E3303" s="33">
        <v>3</v>
      </c>
      <c r="F3303" s="33"/>
      <c r="G3303" s="522"/>
      <c r="H3303" s="707"/>
      <c r="I3303" s="707">
        <f t="shared" si="102"/>
        <v>0</v>
      </c>
      <c r="J3303" s="707">
        <f t="shared" si="103"/>
        <v>0</v>
      </c>
      <c r="K3303" s="70"/>
    </row>
    <row r="3304" spans="1:11" ht="24" customHeight="1">
      <c r="A3304" s="11" t="s">
        <v>3158</v>
      </c>
      <c r="B3304" s="34" t="s">
        <v>41</v>
      </c>
      <c r="C3304" s="11">
        <v>113</v>
      </c>
      <c r="D3304" s="33" t="s">
        <v>3053</v>
      </c>
      <c r="E3304" s="33">
        <v>3</v>
      </c>
      <c r="F3304" s="33"/>
      <c r="G3304" s="522"/>
      <c r="H3304" s="707">
        <v>3</v>
      </c>
      <c r="I3304" s="707">
        <f t="shared" si="102"/>
        <v>3.4499999999999997</v>
      </c>
      <c r="J3304" s="707">
        <f t="shared" si="103"/>
        <v>3.9000000000000004</v>
      </c>
      <c r="K3304" s="70"/>
    </row>
    <row r="3305" spans="1:11" ht="24" customHeight="1">
      <c r="A3305" s="11" t="s">
        <v>3474</v>
      </c>
      <c r="B3305" s="11" t="s">
        <v>41</v>
      </c>
      <c r="C3305" s="11">
        <v>100</v>
      </c>
      <c r="D3305" s="131" t="s">
        <v>3451</v>
      </c>
      <c r="E3305" s="15">
        <v>3</v>
      </c>
      <c r="F3305" s="15"/>
      <c r="G3305" s="684"/>
      <c r="H3305" s="707"/>
      <c r="I3305" s="707">
        <f t="shared" si="102"/>
        <v>0</v>
      </c>
      <c r="J3305" s="707">
        <f t="shared" si="103"/>
        <v>0</v>
      </c>
      <c r="K3305" s="70"/>
    </row>
    <row r="3306" spans="1:11" ht="24" customHeight="1">
      <c r="A3306" s="11" t="s">
        <v>3487</v>
      </c>
      <c r="B3306" s="11" t="s">
        <v>41</v>
      </c>
      <c r="C3306" s="11">
        <v>100</v>
      </c>
      <c r="D3306" s="131" t="s">
        <v>3451</v>
      </c>
      <c r="E3306" s="15">
        <v>3</v>
      </c>
      <c r="F3306" s="15"/>
      <c r="G3306" s="684"/>
      <c r="H3306" s="707"/>
      <c r="I3306" s="707">
        <f t="shared" si="102"/>
        <v>0</v>
      </c>
      <c r="J3306" s="707">
        <f t="shared" si="103"/>
        <v>0</v>
      </c>
      <c r="K3306" s="70"/>
    </row>
    <row r="3307" spans="1:11" ht="24" customHeight="1">
      <c r="A3307" s="11" t="s">
        <v>3154</v>
      </c>
      <c r="B3307" s="34" t="s">
        <v>41</v>
      </c>
      <c r="C3307" s="11">
        <v>99</v>
      </c>
      <c r="D3307" s="33" t="s">
        <v>3053</v>
      </c>
      <c r="E3307" s="33">
        <v>3</v>
      </c>
      <c r="F3307" s="33"/>
      <c r="G3307" s="522"/>
      <c r="H3307" s="707"/>
      <c r="I3307" s="707">
        <f t="shared" si="102"/>
        <v>0</v>
      </c>
      <c r="J3307" s="707">
        <f t="shared" si="103"/>
        <v>0</v>
      </c>
      <c r="K3307" s="70"/>
    </row>
    <row r="3308" spans="1:11" ht="24" customHeight="1">
      <c r="A3308" s="74" t="s">
        <v>2484</v>
      </c>
      <c r="B3308" s="74" t="s">
        <v>41</v>
      </c>
      <c r="C3308" s="74">
        <v>11</v>
      </c>
      <c r="D3308" s="33" t="s">
        <v>2363</v>
      </c>
      <c r="E3308" s="33">
        <v>5</v>
      </c>
      <c r="F3308" s="33"/>
      <c r="G3308" s="522"/>
      <c r="H3308" s="707"/>
      <c r="I3308" s="707">
        <f t="shared" si="102"/>
        <v>0</v>
      </c>
      <c r="J3308" s="707">
        <f t="shared" si="103"/>
        <v>0</v>
      </c>
      <c r="K3308" s="70"/>
    </row>
    <row r="3309" spans="1:11" ht="24" customHeight="1">
      <c r="A3309" s="74" t="s">
        <v>2485</v>
      </c>
      <c r="B3309" s="74" t="s">
        <v>41</v>
      </c>
      <c r="C3309" s="74">
        <v>6</v>
      </c>
      <c r="D3309" s="33" t="s">
        <v>2363</v>
      </c>
      <c r="E3309" s="33">
        <v>5</v>
      </c>
      <c r="F3309" s="33"/>
      <c r="G3309" s="522"/>
      <c r="H3309" s="707"/>
      <c r="I3309" s="707">
        <f t="shared" si="102"/>
        <v>0</v>
      </c>
      <c r="J3309" s="707">
        <f t="shared" si="103"/>
        <v>0</v>
      </c>
      <c r="K3309" s="70"/>
    </row>
    <row r="3310" spans="1:11" ht="24" customHeight="1">
      <c r="A3310" s="74" t="s">
        <v>2423</v>
      </c>
      <c r="B3310" s="74" t="s">
        <v>41</v>
      </c>
      <c r="C3310" s="74">
        <v>4</v>
      </c>
      <c r="D3310" s="33" t="s">
        <v>2363</v>
      </c>
      <c r="E3310" s="33">
        <v>5</v>
      </c>
      <c r="F3310" s="33"/>
      <c r="G3310" s="522"/>
      <c r="H3310" s="707"/>
      <c r="I3310" s="707">
        <f t="shared" si="102"/>
        <v>0</v>
      </c>
      <c r="J3310" s="707">
        <f t="shared" si="103"/>
        <v>0</v>
      </c>
      <c r="K3310" s="70"/>
    </row>
    <row r="3311" spans="1:11" ht="24" customHeight="1">
      <c r="A3311" s="74" t="s">
        <v>2456</v>
      </c>
      <c r="B3311" s="74" t="s">
        <v>41</v>
      </c>
      <c r="C3311" s="74">
        <v>2</v>
      </c>
      <c r="D3311" s="33" t="s">
        <v>2363</v>
      </c>
      <c r="E3311" s="33">
        <v>5</v>
      </c>
      <c r="F3311" s="33"/>
      <c r="G3311" s="522"/>
      <c r="H3311" s="707"/>
      <c r="I3311" s="707">
        <f t="shared" si="102"/>
        <v>0</v>
      </c>
      <c r="J3311" s="707">
        <f t="shared" si="103"/>
        <v>0</v>
      </c>
      <c r="K3311" s="70"/>
    </row>
    <row r="3312" spans="1:11" ht="24" customHeight="1">
      <c r="A3312" s="74" t="s">
        <v>1108</v>
      </c>
      <c r="B3312" s="74" t="s">
        <v>41</v>
      </c>
      <c r="C3312" s="74">
        <v>10</v>
      </c>
      <c r="D3312" s="33" t="s">
        <v>992</v>
      </c>
      <c r="E3312" s="33">
        <v>5</v>
      </c>
      <c r="F3312" s="33"/>
      <c r="G3312" s="522"/>
      <c r="H3312" s="707">
        <v>2</v>
      </c>
      <c r="I3312" s="707">
        <f t="shared" si="102"/>
        <v>2.2999999999999998</v>
      </c>
      <c r="J3312" s="707">
        <f t="shared" si="103"/>
        <v>2.6</v>
      </c>
      <c r="K3312" s="70"/>
    </row>
    <row r="3313" spans="1:11" ht="24" customHeight="1">
      <c r="A3313" s="33" t="s">
        <v>1108</v>
      </c>
      <c r="B3313" s="33" t="s">
        <v>41</v>
      </c>
      <c r="C3313" s="33">
        <v>100</v>
      </c>
      <c r="D3313" s="33" t="s">
        <v>2026</v>
      </c>
      <c r="E3313" s="33">
        <v>4</v>
      </c>
      <c r="F3313" s="33"/>
      <c r="G3313" s="522"/>
      <c r="H3313" s="707">
        <v>1</v>
      </c>
      <c r="I3313" s="707">
        <f t="shared" si="102"/>
        <v>1.1499999999999999</v>
      </c>
      <c r="J3313" s="707">
        <f t="shared" si="103"/>
        <v>1.3</v>
      </c>
      <c r="K3313" s="70"/>
    </row>
    <row r="3314" spans="1:11" ht="24" customHeight="1">
      <c r="A3314" s="33" t="s">
        <v>2348</v>
      </c>
      <c r="B3314" s="33" t="s">
        <v>41</v>
      </c>
      <c r="C3314" s="33">
        <v>100</v>
      </c>
      <c r="D3314" s="33" t="s">
        <v>2276</v>
      </c>
      <c r="E3314" s="33">
        <v>1</v>
      </c>
      <c r="F3314" s="33"/>
      <c r="G3314" s="522"/>
      <c r="H3314" s="707">
        <v>0.5</v>
      </c>
      <c r="I3314" s="707">
        <f t="shared" si="102"/>
        <v>0.57499999999999996</v>
      </c>
      <c r="J3314" s="707">
        <f t="shared" si="103"/>
        <v>0.65</v>
      </c>
      <c r="K3314" s="70"/>
    </row>
    <row r="3315" spans="1:11" ht="24" customHeight="1">
      <c r="A3315" s="33" t="s">
        <v>7991</v>
      </c>
      <c r="B3315" s="33" t="s">
        <v>27</v>
      </c>
      <c r="C3315" s="33">
        <v>2</v>
      </c>
      <c r="D3315" s="2" t="s">
        <v>188</v>
      </c>
      <c r="E3315" s="33">
        <v>5</v>
      </c>
      <c r="F3315" s="33"/>
      <c r="G3315" s="522"/>
      <c r="H3315" s="707"/>
      <c r="I3315" s="707">
        <f t="shared" si="102"/>
        <v>0</v>
      </c>
      <c r="J3315" s="707">
        <f t="shared" si="103"/>
        <v>0</v>
      </c>
      <c r="K3315" s="70"/>
    </row>
    <row r="3316" spans="1:11" ht="24" customHeight="1">
      <c r="A3316" s="33" t="s">
        <v>2350</v>
      </c>
      <c r="B3316" s="33" t="s">
        <v>41</v>
      </c>
      <c r="C3316" s="33">
        <v>100</v>
      </c>
      <c r="D3316" s="33" t="s">
        <v>2276</v>
      </c>
      <c r="E3316" s="33">
        <v>1</v>
      </c>
      <c r="F3316" s="33"/>
      <c r="G3316" s="522"/>
      <c r="H3316" s="707">
        <v>8</v>
      </c>
      <c r="I3316" s="707">
        <f t="shared" si="102"/>
        <v>9.1999999999999993</v>
      </c>
      <c r="J3316" s="707">
        <f t="shared" si="103"/>
        <v>10.4</v>
      </c>
      <c r="K3316" s="70"/>
    </row>
    <row r="3317" spans="1:11" ht="24" customHeight="1">
      <c r="A3317" s="11" t="s">
        <v>3152</v>
      </c>
      <c r="B3317" s="34" t="s">
        <v>41</v>
      </c>
      <c r="C3317" s="11">
        <v>49</v>
      </c>
      <c r="D3317" s="33" t="s">
        <v>3053</v>
      </c>
      <c r="E3317" s="33">
        <v>3</v>
      </c>
      <c r="F3317" s="33"/>
      <c r="G3317" s="522"/>
      <c r="H3317" s="707"/>
      <c r="I3317" s="707">
        <f t="shared" si="102"/>
        <v>0</v>
      </c>
      <c r="J3317" s="707">
        <f t="shared" si="103"/>
        <v>0</v>
      </c>
      <c r="K3317" s="70"/>
    </row>
    <row r="3318" spans="1:11" ht="24" customHeight="1">
      <c r="A3318" s="3" t="s">
        <v>2816</v>
      </c>
      <c r="B3318" s="3" t="s">
        <v>41</v>
      </c>
      <c r="C3318" s="3">
        <v>64</v>
      </c>
      <c r="D3318" s="58" t="s">
        <v>2802</v>
      </c>
      <c r="E3318" s="33">
        <v>2</v>
      </c>
      <c r="F3318" s="33"/>
      <c r="G3318" s="522"/>
      <c r="H3318" s="707"/>
      <c r="I3318" s="707">
        <f t="shared" si="102"/>
        <v>0</v>
      </c>
      <c r="J3318" s="707">
        <f t="shared" si="103"/>
        <v>0</v>
      </c>
      <c r="K3318" s="70"/>
    </row>
    <row r="3319" spans="1:11" ht="24" customHeight="1">
      <c r="A3319" s="33" t="s">
        <v>2044</v>
      </c>
      <c r="B3319" s="33" t="s">
        <v>27</v>
      </c>
      <c r="C3319" s="33">
        <v>94</v>
      </c>
      <c r="D3319" s="33" t="s">
        <v>2026</v>
      </c>
      <c r="E3319" s="33">
        <v>3</v>
      </c>
      <c r="F3319" s="33"/>
      <c r="G3319" s="522"/>
      <c r="H3319" s="707"/>
      <c r="I3319" s="707">
        <f t="shared" si="102"/>
        <v>0</v>
      </c>
      <c r="J3319" s="707">
        <f t="shared" si="103"/>
        <v>0</v>
      </c>
      <c r="K3319" s="70"/>
    </row>
    <row r="3320" spans="1:11" ht="24" customHeight="1">
      <c r="A3320" s="33" t="s">
        <v>1505</v>
      </c>
      <c r="B3320" s="33" t="s">
        <v>27</v>
      </c>
      <c r="C3320" s="33">
        <v>284</v>
      </c>
      <c r="D3320" s="33" t="s">
        <v>1494</v>
      </c>
      <c r="E3320" s="33">
        <v>1</v>
      </c>
      <c r="F3320" s="33"/>
      <c r="G3320" s="522"/>
      <c r="H3320" s="707"/>
      <c r="I3320" s="707">
        <f t="shared" si="102"/>
        <v>0</v>
      </c>
      <c r="J3320" s="707">
        <f t="shared" si="103"/>
        <v>0</v>
      </c>
      <c r="K3320" s="70"/>
    </row>
    <row r="3321" spans="1:11" ht="24" customHeight="1">
      <c r="A3321" s="33" t="s">
        <v>1330</v>
      </c>
      <c r="B3321" s="33" t="s">
        <v>27</v>
      </c>
      <c r="C3321" s="33">
        <v>140</v>
      </c>
      <c r="D3321" s="33" t="s">
        <v>1325</v>
      </c>
      <c r="E3321" s="33">
        <v>1</v>
      </c>
      <c r="F3321" s="33"/>
      <c r="G3321" s="522"/>
      <c r="H3321" s="707"/>
      <c r="I3321" s="707">
        <f t="shared" si="102"/>
        <v>0</v>
      </c>
      <c r="J3321" s="707">
        <f t="shared" si="103"/>
        <v>0</v>
      </c>
      <c r="K3321" s="70"/>
    </row>
    <row r="3322" spans="1:11" ht="24" customHeight="1">
      <c r="A3322" s="33" t="s">
        <v>1373</v>
      </c>
      <c r="B3322" s="33" t="s">
        <v>27</v>
      </c>
      <c r="C3322" s="33">
        <v>9</v>
      </c>
      <c r="D3322" s="33" t="s">
        <v>1372</v>
      </c>
      <c r="E3322" s="33">
        <v>3</v>
      </c>
      <c r="F3322" s="33"/>
      <c r="G3322" s="522"/>
      <c r="H3322" s="707"/>
      <c r="I3322" s="707">
        <f t="shared" si="102"/>
        <v>0</v>
      </c>
      <c r="J3322" s="707">
        <f t="shared" si="103"/>
        <v>0</v>
      </c>
      <c r="K3322" s="70"/>
    </row>
    <row r="3323" spans="1:11" ht="24" customHeight="1">
      <c r="A3323" s="33" t="s">
        <v>1327</v>
      </c>
      <c r="B3323" s="33" t="s">
        <v>27</v>
      </c>
      <c r="C3323" s="33">
        <v>6</v>
      </c>
      <c r="D3323" s="33" t="s">
        <v>1325</v>
      </c>
      <c r="E3323" s="33">
        <v>1</v>
      </c>
      <c r="F3323" s="33"/>
      <c r="G3323" s="522"/>
      <c r="H3323" s="707"/>
      <c r="I3323" s="707">
        <f t="shared" si="102"/>
        <v>0</v>
      </c>
      <c r="J3323" s="707">
        <f t="shared" si="103"/>
        <v>0</v>
      </c>
      <c r="K3323" s="70"/>
    </row>
    <row r="3324" spans="1:11" ht="24" customHeight="1">
      <c r="A3324" s="33" t="s">
        <v>1327</v>
      </c>
      <c r="B3324" s="33" t="s">
        <v>27</v>
      </c>
      <c r="C3324" s="33">
        <v>58</v>
      </c>
      <c r="D3324" s="33" t="s">
        <v>1372</v>
      </c>
      <c r="E3324" s="33">
        <v>3</v>
      </c>
      <c r="F3324" s="33"/>
      <c r="G3324" s="522"/>
      <c r="H3324" s="707"/>
      <c r="I3324" s="707">
        <f t="shared" si="102"/>
        <v>0</v>
      </c>
      <c r="J3324" s="707">
        <f t="shared" si="103"/>
        <v>0</v>
      </c>
      <c r="K3324" s="70"/>
    </row>
    <row r="3325" spans="1:11" ht="24" customHeight="1">
      <c r="A3325" s="33" t="s">
        <v>1033</v>
      </c>
      <c r="B3325" s="33" t="s">
        <v>27</v>
      </c>
      <c r="C3325" s="33">
        <v>4</v>
      </c>
      <c r="D3325" s="33" t="s">
        <v>992</v>
      </c>
      <c r="E3325" s="33">
        <v>3</v>
      </c>
      <c r="F3325" s="33"/>
      <c r="G3325" s="522"/>
      <c r="H3325" s="707"/>
      <c r="I3325" s="707">
        <f t="shared" si="102"/>
        <v>0</v>
      </c>
      <c r="J3325" s="707">
        <f t="shared" si="103"/>
        <v>0</v>
      </c>
      <c r="K3325" s="70"/>
    </row>
    <row r="3326" spans="1:11" ht="24" customHeight="1">
      <c r="A3326" s="33" t="s">
        <v>1033</v>
      </c>
      <c r="B3326" s="33" t="s">
        <v>27</v>
      </c>
      <c r="C3326" s="33">
        <v>6</v>
      </c>
      <c r="D3326" s="33" t="s">
        <v>2191</v>
      </c>
      <c r="E3326" s="33">
        <v>3</v>
      </c>
      <c r="F3326" s="33"/>
      <c r="G3326" s="522"/>
      <c r="H3326" s="707"/>
      <c r="I3326" s="707">
        <f t="shared" si="102"/>
        <v>0</v>
      </c>
      <c r="J3326" s="707">
        <f t="shared" si="103"/>
        <v>0</v>
      </c>
      <c r="K3326" s="70"/>
    </row>
    <row r="3327" spans="1:11" ht="24" customHeight="1">
      <c r="A3327" s="33" t="s">
        <v>1236</v>
      </c>
      <c r="B3327" s="33" t="s">
        <v>27</v>
      </c>
      <c r="C3327" s="33">
        <v>64</v>
      </c>
      <c r="D3327" s="33" t="s">
        <v>1201</v>
      </c>
      <c r="E3327" s="33">
        <v>3</v>
      </c>
      <c r="F3327" s="33"/>
      <c r="G3327" s="522"/>
      <c r="H3327" s="707">
        <v>1.25</v>
      </c>
      <c r="I3327" s="707">
        <f t="shared" si="102"/>
        <v>1.4375</v>
      </c>
      <c r="J3327" s="707">
        <f t="shared" si="103"/>
        <v>1.625</v>
      </c>
      <c r="K3327" s="70"/>
    </row>
    <row r="3328" spans="1:11" ht="24" customHeight="1">
      <c r="A3328" s="33" t="s">
        <v>3394</v>
      </c>
      <c r="B3328" s="33" t="s">
        <v>27</v>
      </c>
      <c r="C3328" s="33">
        <v>6</v>
      </c>
      <c r="D3328" s="33" t="s">
        <v>3348</v>
      </c>
      <c r="E3328" s="33">
        <v>4</v>
      </c>
      <c r="F3328" s="33"/>
      <c r="G3328" s="522"/>
      <c r="H3328" s="707"/>
      <c r="I3328" s="707">
        <f t="shared" si="102"/>
        <v>0</v>
      </c>
      <c r="J3328" s="707">
        <f t="shared" si="103"/>
        <v>0</v>
      </c>
      <c r="K3328" s="70"/>
    </row>
    <row r="3329" spans="1:11" ht="24" customHeight="1">
      <c r="A3329" s="74" t="s">
        <v>2154</v>
      </c>
      <c r="B3329" s="74" t="s">
        <v>41</v>
      </c>
      <c r="C3329" s="74">
        <v>37</v>
      </c>
      <c r="D3329" s="33" t="s">
        <v>2111</v>
      </c>
      <c r="E3329" s="33">
        <v>2</v>
      </c>
      <c r="F3329" s="33"/>
      <c r="G3329" s="522"/>
      <c r="H3329" s="707"/>
      <c r="I3329" s="707">
        <f t="shared" si="102"/>
        <v>0</v>
      </c>
      <c r="J3329" s="707">
        <f t="shared" si="103"/>
        <v>0</v>
      </c>
      <c r="K3329" s="70"/>
    </row>
    <row r="3330" spans="1:11" ht="24" customHeight="1">
      <c r="A3330" s="33" t="s">
        <v>1232</v>
      </c>
      <c r="B3330" s="33" t="s">
        <v>27</v>
      </c>
      <c r="C3330" s="33">
        <v>50</v>
      </c>
      <c r="D3330" s="33" t="s">
        <v>1201</v>
      </c>
      <c r="E3330" s="33">
        <v>3</v>
      </c>
      <c r="F3330" s="33"/>
      <c r="G3330" s="522"/>
      <c r="H3330" s="707"/>
      <c r="I3330" s="707">
        <f t="shared" si="102"/>
        <v>0</v>
      </c>
      <c r="J3330" s="707">
        <f t="shared" si="103"/>
        <v>0</v>
      </c>
      <c r="K3330" s="70"/>
    </row>
    <row r="3331" spans="1:11" ht="24" customHeight="1">
      <c r="A3331" s="33" t="s">
        <v>2358</v>
      </c>
      <c r="B3331" s="33" t="s">
        <v>27</v>
      </c>
      <c r="C3331" s="33">
        <v>38</v>
      </c>
      <c r="D3331" s="33" t="s">
        <v>2276</v>
      </c>
      <c r="E3331" s="33">
        <v>1</v>
      </c>
      <c r="F3331" s="33"/>
      <c r="G3331" s="522"/>
      <c r="H3331" s="707">
        <v>4</v>
      </c>
      <c r="I3331" s="707">
        <f t="shared" ref="I3331:I3394" si="104">H3331 * 1.15</f>
        <v>4.5999999999999996</v>
      </c>
      <c r="J3331" s="707">
        <f t="shared" ref="J3331:J3394" si="105">H3331 * 1.3</f>
        <v>5.2</v>
      </c>
      <c r="K3331" s="70"/>
    </row>
    <row r="3332" spans="1:11" ht="24" customHeight="1">
      <c r="A3332" s="33" t="s">
        <v>1328</v>
      </c>
      <c r="B3332" s="33" t="s">
        <v>27</v>
      </c>
      <c r="C3332" s="33">
        <v>86</v>
      </c>
      <c r="D3332" s="33" t="s">
        <v>1325</v>
      </c>
      <c r="E3332" s="33">
        <v>1</v>
      </c>
      <c r="F3332" s="33"/>
      <c r="G3332" s="522"/>
      <c r="H3332" s="707"/>
      <c r="I3332" s="707">
        <f t="shared" si="104"/>
        <v>0</v>
      </c>
      <c r="J3332" s="707">
        <f t="shared" si="105"/>
        <v>0</v>
      </c>
      <c r="K3332" s="70"/>
    </row>
    <row r="3333" spans="1:11" ht="24" customHeight="1">
      <c r="A3333" s="33" t="s">
        <v>1328</v>
      </c>
      <c r="B3333" s="33" t="s">
        <v>27</v>
      </c>
      <c r="C3333" s="33">
        <v>38</v>
      </c>
      <c r="D3333" s="33" t="s">
        <v>2191</v>
      </c>
      <c r="E3333" s="33">
        <v>3</v>
      </c>
      <c r="F3333" s="33"/>
      <c r="G3333" s="522"/>
      <c r="H3333" s="707"/>
      <c r="I3333" s="707">
        <f t="shared" si="104"/>
        <v>0</v>
      </c>
      <c r="J3333" s="707">
        <f t="shared" si="105"/>
        <v>0</v>
      </c>
      <c r="K3333" s="70"/>
    </row>
    <row r="3334" spans="1:11" ht="24" customHeight="1">
      <c r="A3334" s="33" t="s">
        <v>3380</v>
      </c>
      <c r="B3334" s="33" t="s">
        <v>27</v>
      </c>
      <c r="C3334" s="33">
        <v>6</v>
      </c>
      <c r="D3334" s="33" t="s">
        <v>3348</v>
      </c>
      <c r="E3334" s="33">
        <v>3</v>
      </c>
      <c r="F3334" s="33"/>
      <c r="G3334" s="522"/>
      <c r="H3334" s="707"/>
      <c r="I3334" s="707">
        <f t="shared" si="104"/>
        <v>0</v>
      </c>
      <c r="J3334" s="707">
        <f t="shared" si="105"/>
        <v>0</v>
      </c>
      <c r="K3334" s="70"/>
    </row>
    <row r="3335" spans="1:11" ht="24" customHeight="1">
      <c r="A3335" s="33" t="s">
        <v>1958</v>
      </c>
      <c r="B3335" s="33" t="s">
        <v>27</v>
      </c>
      <c r="C3335" s="33">
        <v>5</v>
      </c>
      <c r="D3335" s="33" t="s">
        <v>1938</v>
      </c>
      <c r="E3335" s="33">
        <v>1</v>
      </c>
      <c r="F3335" s="33"/>
      <c r="G3335" s="522"/>
      <c r="H3335" s="707"/>
      <c r="I3335" s="707">
        <f t="shared" si="104"/>
        <v>0</v>
      </c>
      <c r="J3335" s="707">
        <f t="shared" si="105"/>
        <v>0</v>
      </c>
      <c r="K3335" s="70"/>
    </row>
    <row r="3336" spans="1:11" ht="24" customHeight="1">
      <c r="A3336" s="2" t="s">
        <v>72</v>
      </c>
      <c r="B3336" s="2" t="s">
        <v>27</v>
      </c>
      <c r="C3336" s="2">
        <v>47</v>
      </c>
      <c r="D3336" s="2" t="s">
        <v>11</v>
      </c>
      <c r="E3336" s="33">
        <v>1</v>
      </c>
      <c r="F3336" s="33"/>
      <c r="G3336" s="522"/>
      <c r="H3336" s="707"/>
      <c r="I3336" s="707">
        <f t="shared" si="104"/>
        <v>0</v>
      </c>
      <c r="J3336" s="707">
        <f t="shared" si="105"/>
        <v>0</v>
      </c>
      <c r="K3336" s="70"/>
    </row>
    <row r="3337" spans="1:11" ht="24" customHeight="1">
      <c r="A3337" s="2" t="s">
        <v>1800</v>
      </c>
      <c r="B3337" s="2" t="s">
        <v>27</v>
      </c>
      <c r="C3337" s="2">
        <v>46</v>
      </c>
      <c r="D3337" s="2" t="s">
        <v>1785</v>
      </c>
      <c r="E3337" s="33">
        <v>1</v>
      </c>
      <c r="F3337" s="33"/>
      <c r="G3337" s="522"/>
      <c r="H3337" s="707"/>
      <c r="I3337" s="707">
        <f t="shared" si="104"/>
        <v>0</v>
      </c>
      <c r="J3337" s="707">
        <f t="shared" si="105"/>
        <v>0</v>
      </c>
      <c r="K3337" s="70"/>
    </row>
    <row r="3338" spans="1:11" ht="24" customHeight="1">
      <c r="A3338" s="33" t="s">
        <v>1800</v>
      </c>
      <c r="B3338" s="33" t="s">
        <v>27</v>
      </c>
      <c r="C3338" s="33">
        <v>5</v>
      </c>
      <c r="D3338" s="33" t="s">
        <v>2026</v>
      </c>
      <c r="E3338" s="33">
        <v>3</v>
      </c>
      <c r="F3338" s="33"/>
      <c r="G3338" s="522"/>
      <c r="H3338" s="707"/>
      <c r="I3338" s="707">
        <f t="shared" si="104"/>
        <v>0</v>
      </c>
      <c r="J3338" s="707">
        <f t="shared" si="105"/>
        <v>0</v>
      </c>
      <c r="K3338" s="70"/>
    </row>
    <row r="3339" spans="1:11" ht="24" customHeight="1">
      <c r="A3339" s="33" t="s">
        <v>1332</v>
      </c>
      <c r="B3339" s="33" t="s">
        <v>27</v>
      </c>
      <c r="C3339" s="33">
        <v>17</v>
      </c>
      <c r="D3339" s="33" t="s">
        <v>1325</v>
      </c>
      <c r="E3339" s="33">
        <v>1</v>
      </c>
      <c r="F3339" s="33"/>
      <c r="G3339" s="522"/>
      <c r="H3339" s="707"/>
      <c r="I3339" s="707">
        <f t="shared" si="104"/>
        <v>0</v>
      </c>
      <c r="J3339" s="707">
        <f t="shared" si="105"/>
        <v>0</v>
      </c>
      <c r="K3339" s="70"/>
    </row>
    <row r="3340" spans="1:11" ht="24" customHeight="1">
      <c r="A3340" s="74" t="s">
        <v>2445</v>
      </c>
      <c r="B3340" s="74" t="s">
        <v>27</v>
      </c>
      <c r="C3340" s="74">
        <v>8</v>
      </c>
      <c r="D3340" s="33" t="s">
        <v>2363</v>
      </c>
      <c r="E3340" s="33">
        <v>5</v>
      </c>
      <c r="F3340" s="33"/>
      <c r="G3340" s="522"/>
      <c r="H3340" s="707"/>
      <c r="I3340" s="707">
        <f t="shared" si="104"/>
        <v>0</v>
      </c>
      <c r="J3340" s="707">
        <f t="shared" si="105"/>
        <v>0</v>
      </c>
      <c r="K3340" s="70"/>
    </row>
    <row r="3341" spans="1:11" ht="24" customHeight="1">
      <c r="A3341" s="33" t="s">
        <v>2052</v>
      </c>
      <c r="B3341" s="33" t="s">
        <v>27</v>
      </c>
      <c r="C3341" s="33">
        <v>7</v>
      </c>
      <c r="D3341" s="33" t="s">
        <v>2026</v>
      </c>
      <c r="E3341" s="33">
        <v>4</v>
      </c>
      <c r="F3341" s="33"/>
      <c r="G3341" s="522"/>
      <c r="H3341" s="707"/>
      <c r="I3341" s="707">
        <f t="shared" si="104"/>
        <v>0</v>
      </c>
      <c r="J3341" s="707">
        <f t="shared" si="105"/>
        <v>0</v>
      </c>
      <c r="K3341" s="70"/>
    </row>
    <row r="3342" spans="1:11" ht="24" customHeight="1">
      <c r="A3342" s="2" t="s">
        <v>295</v>
      </c>
      <c r="B3342" s="2" t="s">
        <v>27</v>
      </c>
      <c r="C3342" s="2">
        <v>7</v>
      </c>
      <c r="D3342" s="2" t="s">
        <v>274</v>
      </c>
      <c r="E3342" s="33">
        <v>1</v>
      </c>
      <c r="F3342" s="33"/>
      <c r="G3342" s="522"/>
      <c r="H3342" s="707"/>
      <c r="I3342" s="707">
        <f t="shared" si="104"/>
        <v>0</v>
      </c>
      <c r="J3342" s="707">
        <f t="shared" si="105"/>
        <v>0</v>
      </c>
      <c r="K3342" s="70"/>
    </row>
    <row r="3343" spans="1:11" ht="24" customHeight="1">
      <c r="A3343" s="33" t="s">
        <v>3379</v>
      </c>
      <c r="B3343" s="33" t="s">
        <v>27</v>
      </c>
      <c r="C3343" s="33">
        <v>5</v>
      </c>
      <c r="D3343" s="33" t="s">
        <v>3348</v>
      </c>
      <c r="E3343" s="33">
        <v>3</v>
      </c>
      <c r="F3343" s="33"/>
      <c r="G3343" s="522"/>
      <c r="H3343" s="707"/>
      <c r="I3343" s="707">
        <f t="shared" si="104"/>
        <v>0</v>
      </c>
      <c r="J3343" s="707">
        <f t="shared" si="105"/>
        <v>0</v>
      </c>
      <c r="K3343" s="70"/>
    </row>
    <row r="3344" spans="1:11" ht="24" customHeight="1">
      <c r="A3344" s="2" t="s">
        <v>811</v>
      </c>
      <c r="B3344" s="2" t="s">
        <v>27</v>
      </c>
      <c r="C3344" s="2">
        <v>2</v>
      </c>
      <c r="D3344" s="2" t="s">
        <v>593</v>
      </c>
      <c r="E3344" s="33">
        <v>3</v>
      </c>
      <c r="F3344" s="33"/>
      <c r="G3344" s="522"/>
      <c r="H3344" s="707"/>
      <c r="I3344" s="707">
        <f t="shared" si="104"/>
        <v>0</v>
      </c>
      <c r="J3344" s="707">
        <f t="shared" si="105"/>
        <v>0</v>
      </c>
      <c r="K3344" s="70"/>
    </row>
    <row r="3345" spans="1:11" ht="24" customHeight="1">
      <c r="A3345" s="33" t="s">
        <v>1231</v>
      </c>
      <c r="B3345" s="33" t="s">
        <v>105</v>
      </c>
      <c r="C3345" s="33">
        <v>97</v>
      </c>
      <c r="D3345" s="33" t="s">
        <v>1201</v>
      </c>
      <c r="E3345" s="33">
        <v>3</v>
      </c>
      <c r="F3345" s="33"/>
      <c r="G3345" s="522"/>
      <c r="H3345" s="707"/>
      <c r="I3345" s="707">
        <f t="shared" si="104"/>
        <v>0</v>
      </c>
      <c r="J3345" s="707">
        <f t="shared" si="105"/>
        <v>0</v>
      </c>
      <c r="K3345" s="70"/>
    </row>
    <row r="3346" spans="1:11" ht="24" customHeight="1">
      <c r="A3346" s="2" t="s">
        <v>63</v>
      </c>
      <c r="B3346" s="2" t="s">
        <v>27</v>
      </c>
      <c r="C3346" s="2">
        <v>10</v>
      </c>
      <c r="D3346" s="2" t="s">
        <v>11</v>
      </c>
      <c r="E3346" s="33">
        <v>1</v>
      </c>
      <c r="F3346" s="33"/>
      <c r="G3346" s="522"/>
      <c r="H3346" s="707"/>
      <c r="I3346" s="707">
        <f t="shared" si="104"/>
        <v>0</v>
      </c>
      <c r="J3346" s="707">
        <f t="shared" si="105"/>
        <v>0</v>
      </c>
      <c r="K3346" s="70"/>
    </row>
    <row r="3347" spans="1:11" ht="24" customHeight="1">
      <c r="A3347" s="33" t="s">
        <v>932</v>
      </c>
      <c r="B3347" s="33" t="s">
        <v>27</v>
      </c>
      <c r="C3347" s="33">
        <v>130</v>
      </c>
      <c r="D3347" s="33" t="s">
        <v>910</v>
      </c>
      <c r="E3347" s="33">
        <v>1</v>
      </c>
      <c r="F3347" s="33"/>
      <c r="G3347" s="522"/>
      <c r="H3347" s="711"/>
      <c r="I3347" s="711">
        <f t="shared" si="104"/>
        <v>0</v>
      </c>
      <c r="J3347" s="711">
        <f t="shared" si="105"/>
        <v>0</v>
      </c>
      <c r="K3347" s="70"/>
    </row>
    <row r="3348" spans="1:11" ht="24" customHeight="1">
      <c r="A3348" s="33" t="s">
        <v>932</v>
      </c>
      <c r="B3348" s="33" t="s">
        <v>27</v>
      </c>
      <c r="C3348" s="33">
        <v>166</v>
      </c>
      <c r="D3348" s="33" t="s">
        <v>1494</v>
      </c>
      <c r="E3348" s="33">
        <v>1</v>
      </c>
      <c r="F3348" s="33"/>
      <c r="G3348" s="522"/>
      <c r="H3348" s="707"/>
      <c r="I3348" s="707">
        <f t="shared" si="104"/>
        <v>0</v>
      </c>
      <c r="J3348" s="707">
        <f t="shared" si="105"/>
        <v>0</v>
      </c>
      <c r="K3348" s="70"/>
    </row>
    <row r="3349" spans="1:11" ht="24" customHeight="1">
      <c r="A3349" s="33" t="s">
        <v>932</v>
      </c>
      <c r="B3349" s="33" t="s">
        <v>27</v>
      </c>
      <c r="C3349" s="33">
        <v>86</v>
      </c>
      <c r="D3349" s="33" t="s">
        <v>1548</v>
      </c>
      <c r="E3349" s="33">
        <v>3</v>
      </c>
      <c r="F3349" s="33"/>
      <c r="G3349" s="522"/>
      <c r="H3349" s="707"/>
      <c r="I3349" s="707">
        <f t="shared" si="104"/>
        <v>0</v>
      </c>
      <c r="J3349" s="707">
        <f t="shared" si="105"/>
        <v>0</v>
      </c>
      <c r="K3349" s="70"/>
    </row>
    <row r="3350" spans="1:11" ht="24" customHeight="1">
      <c r="A3350" s="33" t="s">
        <v>1227</v>
      </c>
      <c r="B3350" s="33" t="s">
        <v>27</v>
      </c>
      <c r="C3350" s="33">
        <v>84</v>
      </c>
      <c r="D3350" s="33" t="s">
        <v>1201</v>
      </c>
      <c r="E3350" s="33">
        <v>3</v>
      </c>
      <c r="F3350" s="33"/>
      <c r="G3350" s="522"/>
      <c r="H3350" s="707"/>
      <c r="I3350" s="707">
        <f t="shared" si="104"/>
        <v>0</v>
      </c>
      <c r="J3350" s="707">
        <f t="shared" si="105"/>
        <v>0</v>
      </c>
      <c r="K3350" s="70"/>
    </row>
    <row r="3351" spans="1:11" ht="24" customHeight="1">
      <c r="A3351" s="33" t="s">
        <v>1027</v>
      </c>
      <c r="B3351" s="33" t="s">
        <v>27</v>
      </c>
      <c r="C3351" s="33">
        <v>84</v>
      </c>
      <c r="D3351" s="33" t="s">
        <v>992</v>
      </c>
      <c r="E3351" s="33">
        <v>3</v>
      </c>
      <c r="F3351" s="33"/>
      <c r="G3351" s="522"/>
      <c r="H3351" s="707"/>
      <c r="I3351" s="707">
        <f t="shared" si="104"/>
        <v>0</v>
      </c>
      <c r="J3351" s="707">
        <f t="shared" si="105"/>
        <v>0</v>
      </c>
      <c r="K3351" s="70"/>
    </row>
    <row r="3352" spans="1:11" ht="24" customHeight="1">
      <c r="A3352" s="33" t="s">
        <v>1333</v>
      </c>
      <c r="B3352" s="33" t="s">
        <v>27</v>
      </c>
      <c r="C3352" s="33">
        <v>6</v>
      </c>
      <c r="D3352" s="33" t="s">
        <v>1325</v>
      </c>
      <c r="E3352" s="33">
        <v>1</v>
      </c>
      <c r="F3352" s="33"/>
      <c r="G3352" s="522"/>
      <c r="H3352" s="707"/>
      <c r="I3352" s="707">
        <f t="shared" si="104"/>
        <v>0</v>
      </c>
      <c r="J3352" s="707">
        <f t="shared" si="105"/>
        <v>0</v>
      </c>
      <c r="K3352" s="70"/>
    </row>
    <row r="3353" spans="1:11" ht="24" customHeight="1">
      <c r="A3353" s="33" t="s">
        <v>1333</v>
      </c>
      <c r="B3353" s="33" t="s">
        <v>27</v>
      </c>
      <c r="C3353" s="33">
        <v>11</v>
      </c>
      <c r="D3353" s="33" t="s">
        <v>1325</v>
      </c>
      <c r="E3353" s="33">
        <v>1</v>
      </c>
      <c r="F3353" s="33"/>
      <c r="G3353" s="522"/>
      <c r="H3353" s="707"/>
      <c r="I3353" s="707">
        <f t="shared" si="104"/>
        <v>0</v>
      </c>
      <c r="J3353" s="707">
        <f t="shared" si="105"/>
        <v>0</v>
      </c>
      <c r="K3353" s="70"/>
    </row>
    <row r="3354" spans="1:11" ht="24" customHeight="1">
      <c r="A3354" s="33" t="s">
        <v>2190</v>
      </c>
      <c r="B3354" s="33" t="s">
        <v>27</v>
      </c>
      <c r="C3354" s="33">
        <v>30</v>
      </c>
      <c r="D3354" s="33" t="s">
        <v>2191</v>
      </c>
      <c r="E3354" s="33">
        <v>3</v>
      </c>
      <c r="F3354" s="33"/>
      <c r="G3354" s="522"/>
      <c r="H3354" s="707"/>
      <c r="I3354" s="707">
        <f t="shared" si="104"/>
        <v>0</v>
      </c>
      <c r="J3354" s="707">
        <f t="shared" si="105"/>
        <v>0</v>
      </c>
      <c r="K3354" s="70"/>
    </row>
    <row r="3355" spans="1:11" ht="24" customHeight="1">
      <c r="A3355" s="2" t="s">
        <v>1798</v>
      </c>
      <c r="B3355" s="2" t="s">
        <v>27</v>
      </c>
      <c r="C3355" s="2">
        <v>9</v>
      </c>
      <c r="D3355" s="2" t="s">
        <v>1785</v>
      </c>
      <c r="E3355" s="33">
        <v>1</v>
      </c>
      <c r="F3355" s="33"/>
      <c r="G3355" s="522"/>
      <c r="H3355" s="707"/>
      <c r="I3355" s="707">
        <f t="shared" si="104"/>
        <v>0</v>
      </c>
      <c r="J3355" s="707">
        <f t="shared" si="105"/>
        <v>0</v>
      </c>
      <c r="K3355" s="70"/>
    </row>
    <row r="3356" spans="1:11" ht="24" customHeight="1">
      <c r="A3356" s="33" t="s">
        <v>926</v>
      </c>
      <c r="B3356" s="33" t="s">
        <v>105</v>
      </c>
      <c r="C3356" s="33">
        <v>82</v>
      </c>
      <c r="D3356" s="33" t="s">
        <v>910</v>
      </c>
      <c r="E3356" s="33">
        <v>1</v>
      </c>
      <c r="F3356" s="33"/>
      <c r="G3356" s="522"/>
      <c r="H3356" s="711">
        <v>20</v>
      </c>
      <c r="I3356" s="711">
        <f t="shared" si="104"/>
        <v>23</v>
      </c>
      <c r="J3356" s="711">
        <f t="shared" si="105"/>
        <v>26</v>
      </c>
      <c r="K3356" s="70"/>
    </row>
    <row r="3357" spans="1:11" ht="24" customHeight="1">
      <c r="A3357" s="33" t="s">
        <v>926</v>
      </c>
      <c r="B3357" s="33" t="s">
        <v>27</v>
      </c>
      <c r="C3357" s="33">
        <v>92</v>
      </c>
      <c r="D3357" s="33" t="s">
        <v>992</v>
      </c>
      <c r="E3357" s="33">
        <v>3</v>
      </c>
      <c r="F3357" s="33"/>
      <c r="G3357" s="522"/>
      <c r="H3357" s="707"/>
      <c r="I3357" s="707">
        <f t="shared" si="104"/>
        <v>0</v>
      </c>
      <c r="J3357" s="707">
        <f t="shared" si="105"/>
        <v>0</v>
      </c>
      <c r="K3357" s="70"/>
    </row>
    <row r="3358" spans="1:11" ht="24" customHeight="1">
      <c r="A3358" s="11" t="s">
        <v>1771</v>
      </c>
      <c r="B3358" s="11" t="s">
        <v>27</v>
      </c>
      <c r="C3358" s="11">
        <v>14</v>
      </c>
      <c r="D3358" s="131" t="s">
        <v>1723</v>
      </c>
      <c r="E3358" s="15">
        <v>3</v>
      </c>
      <c r="F3358" s="15"/>
      <c r="G3358" s="684"/>
      <c r="H3358" s="707"/>
      <c r="I3358" s="707">
        <f t="shared" si="104"/>
        <v>0</v>
      </c>
      <c r="J3358" s="707">
        <f t="shared" si="105"/>
        <v>0</v>
      </c>
      <c r="K3358" s="70"/>
    </row>
    <row r="3359" spans="1:11" ht="24" customHeight="1">
      <c r="A3359" s="3" t="s">
        <v>3023</v>
      </c>
      <c r="B3359" s="3" t="s">
        <v>41</v>
      </c>
      <c r="C3359" s="3">
        <v>11</v>
      </c>
      <c r="D3359" s="71" t="s">
        <v>2947</v>
      </c>
      <c r="E3359" s="354">
        <v>5</v>
      </c>
      <c r="F3359" s="354"/>
      <c r="G3359" s="688"/>
      <c r="H3359" s="707"/>
      <c r="I3359" s="707">
        <f t="shared" si="104"/>
        <v>0</v>
      </c>
      <c r="J3359" s="707">
        <f t="shared" si="105"/>
        <v>0</v>
      </c>
      <c r="K3359" s="70"/>
    </row>
    <row r="3360" spans="1:11" ht="24" customHeight="1">
      <c r="A3360" s="2" t="s">
        <v>775</v>
      </c>
      <c r="B3360" s="2" t="s">
        <v>41</v>
      </c>
      <c r="C3360" s="2">
        <v>15</v>
      </c>
      <c r="D3360" s="2" t="s">
        <v>593</v>
      </c>
      <c r="E3360" s="33">
        <v>3</v>
      </c>
      <c r="F3360" s="33"/>
      <c r="G3360" s="522"/>
      <c r="H3360" s="707"/>
      <c r="I3360" s="707">
        <f t="shared" si="104"/>
        <v>0</v>
      </c>
      <c r="J3360" s="707">
        <f t="shared" si="105"/>
        <v>0</v>
      </c>
      <c r="K3360" s="70"/>
    </row>
    <row r="3361" spans="1:11" ht="24" customHeight="1">
      <c r="A3361" s="33" t="s">
        <v>2319</v>
      </c>
      <c r="B3361" s="33" t="s">
        <v>622</v>
      </c>
      <c r="C3361" s="33">
        <v>40</v>
      </c>
      <c r="D3361" s="33" t="s">
        <v>2276</v>
      </c>
      <c r="E3361" s="33">
        <v>1</v>
      </c>
      <c r="F3361" s="33"/>
      <c r="G3361" s="522"/>
      <c r="H3361" s="707"/>
      <c r="I3361" s="707">
        <f t="shared" si="104"/>
        <v>0</v>
      </c>
      <c r="J3361" s="707">
        <f t="shared" si="105"/>
        <v>0</v>
      </c>
      <c r="K3361" s="70"/>
    </row>
    <row r="3362" spans="1:11" ht="24" customHeight="1">
      <c r="A3362" s="59" t="s">
        <v>1433</v>
      </c>
      <c r="B3362" s="33" t="s">
        <v>19</v>
      </c>
      <c r="C3362" s="33">
        <v>2</v>
      </c>
      <c r="D3362" s="33" t="s">
        <v>1372</v>
      </c>
      <c r="E3362" s="33">
        <v>4</v>
      </c>
      <c r="F3362" s="33"/>
      <c r="G3362" s="522"/>
      <c r="H3362" s="707"/>
      <c r="I3362" s="707">
        <f t="shared" si="104"/>
        <v>0</v>
      </c>
      <c r="J3362" s="707">
        <f t="shared" si="105"/>
        <v>0</v>
      </c>
      <c r="K3362" s="70"/>
    </row>
    <row r="3363" spans="1:11" ht="24" customHeight="1">
      <c r="A3363" s="33" t="s">
        <v>3333</v>
      </c>
      <c r="B3363" s="66" t="s">
        <v>19</v>
      </c>
      <c r="C3363" s="66">
        <v>496</v>
      </c>
      <c r="D3363" s="66" t="s">
        <v>3279</v>
      </c>
      <c r="E3363" s="66">
        <v>4</v>
      </c>
      <c r="F3363" s="66"/>
      <c r="G3363" s="689"/>
      <c r="H3363" s="707"/>
      <c r="I3363" s="707">
        <f t="shared" si="104"/>
        <v>0</v>
      </c>
      <c r="J3363" s="707">
        <f t="shared" si="105"/>
        <v>0</v>
      </c>
      <c r="K3363" s="70"/>
    </row>
    <row r="3364" spans="1:11" ht="24" customHeight="1">
      <c r="A3364" s="33" t="s">
        <v>2616</v>
      </c>
      <c r="B3364" s="33" t="s">
        <v>19</v>
      </c>
      <c r="C3364" s="33">
        <v>491</v>
      </c>
      <c r="D3364" s="33" t="s">
        <v>2540</v>
      </c>
      <c r="E3364" s="33">
        <v>2</v>
      </c>
      <c r="F3364" s="33"/>
      <c r="G3364" s="522"/>
      <c r="H3364" s="707"/>
      <c r="I3364" s="707">
        <f t="shared" si="104"/>
        <v>0</v>
      </c>
      <c r="J3364" s="707">
        <f t="shared" si="105"/>
        <v>0</v>
      </c>
      <c r="K3364" s="70"/>
    </row>
    <row r="3365" spans="1:11" ht="24" customHeight="1">
      <c r="A3365" s="33" t="s">
        <v>2616</v>
      </c>
      <c r="B3365" s="71" t="s">
        <v>19</v>
      </c>
      <c r="C3365" s="71">
        <v>108</v>
      </c>
      <c r="D3365" s="71" t="s">
        <v>3279</v>
      </c>
      <c r="E3365" s="71">
        <v>3</v>
      </c>
      <c r="F3365" s="71"/>
      <c r="G3365" s="686"/>
      <c r="H3365" s="707">
        <v>0.5</v>
      </c>
      <c r="I3365" s="707">
        <f t="shared" si="104"/>
        <v>0.57499999999999996</v>
      </c>
      <c r="J3365" s="707">
        <f t="shared" si="105"/>
        <v>0.65</v>
      </c>
      <c r="K3365" s="70"/>
    </row>
    <row r="3366" spans="1:11" ht="24" customHeight="1">
      <c r="A3366" s="33" t="s">
        <v>237</v>
      </c>
      <c r="B3366" s="33" t="s">
        <v>19</v>
      </c>
      <c r="C3366" s="33">
        <v>200</v>
      </c>
      <c r="D3366" s="2" t="s">
        <v>188</v>
      </c>
      <c r="E3366" s="33">
        <v>4</v>
      </c>
      <c r="F3366" s="33"/>
      <c r="G3366" s="522"/>
      <c r="H3366" s="707">
        <v>1</v>
      </c>
      <c r="I3366" s="707">
        <f t="shared" si="104"/>
        <v>1.1499999999999999</v>
      </c>
      <c r="J3366" s="707">
        <f t="shared" si="105"/>
        <v>1.3</v>
      </c>
      <c r="K3366" s="70"/>
    </row>
    <row r="3367" spans="1:11" ht="24" customHeight="1">
      <c r="A3367" s="33" t="s">
        <v>237</v>
      </c>
      <c r="B3367" s="33" t="s">
        <v>19</v>
      </c>
      <c r="C3367" s="33">
        <v>264</v>
      </c>
      <c r="D3367" s="33" t="s">
        <v>910</v>
      </c>
      <c r="E3367" s="33">
        <v>1</v>
      </c>
      <c r="F3367" s="33"/>
      <c r="G3367" s="522"/>
      <c r="H3367" s="707">
        <v>1</v>
      </c>
      <c r="I3367" s="711">
        <f t="shared" si="104"/>
        <v>1.1499999999999999</v>
      </c>
      <c r="J3367" s="711">
        <f t="shared" si="105"/>
        <v>1.3</v>
      </c>
      <c r="K3367" s="70"/>
    </row>
    <row r="3368" spans="1:11" ht="24" customHeight="1">
      <c r="A3368" s="3" t="s">
        <v>237</v>
      </c>
      <c r="B3368" s="3" t="s">
        <v>19</v>
      </c>
      <c r="C3368" s="3">
        <v>227</v>
      </c>
      <c r="D3368" s="58" t="s">
        <v>2802</v>
      </c>
      <c r="E3368" s="33">
        <v>2</v>
      </c>
      <c r="F3368" s="33"/>
      <c r="G3368" s="522"/>
      <c r="H3368" s="707">
        <v>1</v>
      </c>
      <c r="I3368" s="707">
        <f t="shared" si="104"/>
        <v>1.1499999999999999</v>
      </c>
      <c r="J3368" s="707">
        <f t="shared" si="105"/>
        <v>1.3</v>
      </c>
      <c r="K3368" s="70"/>
    </row>
    <row r="3369" spans="1:11" ht="24" customHeight="1">
      <c r="A3369" s="33" t="s">
        <v>643</v>
      </c>
      <c r="B3369" s="33" t="s">
        <v>19</v>
      </c>
      <c r="C3369" s="33">
        <v>188</v>
      </c>
      <c r="D3369" s="2" t="s">
        <v>593</v>
      </c>
      <c r="E3369" s="33">
        <v>1</v>
      </c>
      <c r="F3369" s="33"/>
      <c r="G3369" s="522"/>
      <c r="H3369" s="707">
        <v>1</v>
      </c>
      <c r="I3369" s="707">
        <f t="shared" si="104"/>
        <v>1.1499999999999999</v>
      </c>
      <c r="J3369" s="707">
        <f t="shared" si="105"/>
        <v>1.3</v>
      </c>
      <c r="K3369" s="70"/>
    </row>
    <row r="3370" spans="1:11" ht="24" customHeight="1">
      <c r="A3370" s="17" t="s">
        <v>1708</v>
      </c>
      <c r="B3370" s="17" t="s">
        <v>19</v>
      </c>
      <c r="C3370" s="17">
        <v>5</v>
      </c>
      <c r="D3370" s="131" t="s">
        <v>1681</v>
      </c>
      <c r="E3370" s="15">
        <v>1</v>
      </c>
      <c r="F3370" s="15"/>
      <c r="G3370" s="684"/>
      <c r="H3370" s="707"/>
      <c r="I3370" s="707">
        <f t="shared" si="104"/>
        <v>0</v>
      </c>
      <c r="J3370" s="707">
        <f t="shared" si="105"/>
        <v>0</v>
      </c>
      <c r="K3370" s="70"/>
    </row>
    <row r="3371" spans="1:11" ht="24" customHeight="1">
      <c r="A3371" s="33" t="s">
        <v>253</v>
      </c>
      <c r="B3371" s="33" t="s">
        <v>19</v>
      </c>
      <c r="C3371" s="33">
        <v>290</v>
      </c>
      <c r="D3371" s="2" t="s">
        <v>188</v>
      </c>
      <c r="E3371" s="33">
        <v>5</v>
      </c>
      <c r="F3371" s="33"/>
      <c r="G3371" s="522"/>
      <c r="H3371" s="707"/>
      <c r="I3371" s="707">
        <f t="shared" si="104"/>
        <v>0</v>
      </c>
      <c r="J3371" s="707">
        <f t="shared" si="105"/>
        <v>0</v>
      </c>
      <c r="K3371" s="70"/>
    </row>
    <row r="3372" spans="1:11" ht="24" customHeight="1">
      <c r="A3372" s="33" t="s">
        <v>1241</v>
      </c>
      <c r="B3372" s="33" t="s">
        <v>19</v>
      </c>
      <c r="C3372" s="33">
        <v>80</v>
      </c>
      <c r="D3372" s="33" t="s">
        <v>1201</v>
      </c>
      <c r="E3372" s="33">
        <v>4</v>
      </c>
      <c r="F3372" s="33"/>
      <c r="G3372" s="522"/>
      <c r="H3372" s="707">
        <v>0.5</v>
      </c>
      <c r="I3372" s="707">
        <f t="shared" si="104"/>
        <v>0.57499999999999996</v>
      </c>
      <c r="J3372" s="707">
        <f t="shared" si="105"/>
        <v>0.65</v>
      </c>
      <c r="K3372" s="70"/>
    </row>
    <row r="3373" spans="1:11" ht="24" customHeight="1">
      <c r="A3373" s="33" t="s">
        <v>1241</v>
      </c>
      <c r="B3373" s="33" t="s">
        <v>19</v>
      </c>
      <c r="C3373" s="33">
        <v>455</v>
      </c>
      <c r="D3373" s="33" t="s">
        <v>1494</v>
      </c>
      <c r="E3373" s="33">
        <v>1</v>
      </c>
      <c r="F3373" s="33"/>
      <c r="G3373" s="522"/>
      <c r="H3373" s="707">
        <v>0.5</v>
      </c>
      <c r="I3373" s="707">
        <f t="shared" si="104"/>
        <v>0.57499999999999996</v>
      </c>
      <c r="J3373" s="707">
        <f t="shared" si="105"/>
        <v>0.65</v>
      </c>
      <c r="K3373" s="70"/>
    </row>
    <row r="3374" spans="1:11" ht="24" customHeight="1">
      <c r="A3374" s="33" t="s">
        <v>1241</v>
      </c>
      <c r="B3374" s="33" t="s">
        <v>19</v>
      </c>
      <c r="C3374" s="33">
        <v>76</v>
      </c>
      <c r="D3374" s="33" t="s">
        <v>3348</v>
      </c>
      <c r="E3374" s="33">
        <v>4</v>
      </c>
      <c r="F3374" s="33"/>
      <c r="G3374" s="522"/>
      <c r="H3374" s="707">
        <v>0.5</v>
      </c>
      <c r="I3374" s="707">
        <f t="shared" si="104"/>
        <v>0.57499999999999996</v>
      </c>
      <c r="J3374" s="707">
        <f t="shared" si="105"/>
        <v>0.65</v>
      </c>
      <c r="K3374" s="70"/>
    </row>
    <row r="3375" spans="1:11" ht="24" customHeight="1">
      <c r="A3375" s="33" t="s">
        <v>1001</v>
      </c>
      <c r="B3375" s="33" t="s">
        <v>19</v>
      </c>
      <c r="C3375" s="33">
        <v>196</v>
      </c>
      <c r="D3375" s="33" t="s">
        <v>992</v>
      </c>
      <c r="E3375" s="33">
        <v>3</v>
      </c>
      <c r="F3375" s="33"/>
      <c r="G3375" s="522"/>
      <c r="H3375" s="707">
        <v>5</v>
      </c>
      <c r="I3375" s="707">
        <f t="shared" si="104"/>
        <v>5.75</v>
      </c>
      <c r="J3375" s="707">
        <f t="shared" si="105"/>
        <v>6.5</v>
      </c>
      <c r="K3375" s="70"/>
    </row>
    <row r="3376" spans="1:11" ht="24" customHeight="1">
      <c r="A3376" s="33" t="s">
        <v>1408</v>
      </c>
      <c r="B3376" s="33" t="s">
        <v>19</v>
      </c>
      <c r="C3376" s="33">
        <v>896</v>
      </c>
      <c r="D3376" s="33" t="s">
        <v>1372</v>
      </c>
      <c r="E3376" s="33">
        <v>4</v>
      </c>
      <c r="F3376" s="33"/>
      <c r="G3376" s="522"/>
      <c r="H3376" s="707">
        <v>1</v>
      </c>
      <c r="I3376" s="707">
        <f t="shared" si="104"/>
        <v>1.1499999999999999</v>
      </c>
      <c r="J3376" s="707">
        <f t="shared" si="105"/>
        <v>1.3</v>
      </c>
      <c r="K3376" s="70"/>
    </row>
    <row r="3377" spans="1:11" ht="24" customHeight="1">
      <c r="A3377" s="33" t="s">
        <v>1207</v>
      </c>
      <c r="B3377" s="33" t="s">
        <v>19</v>
      </c>
      <c r="C3377" s="33">
        <v>32</v>
      </c>
      <c r="D3377" s="33" t="s">
        <v>1201</v>
      </c>
      <c r="E3377" s="33">
        <v>3</v>
      </c>
      <c r="F3377" s="33"/>
      <c r="G3377" s="522"/>
      <c r="H3377" s="707"/>
      <c r="I3377" s="707">
        <f t="shared" si="104"/>
        <v>0</v>
      </c>
      <c r="J3377" s="707">
        <f t="shared" si="105"/>
        <v>0</v>
      </c>
      <c r="K3377" s="70"/>
    </row>
    <row r="3378" spans="1:11" ht="24" customHeight="1">
      <c r="A3378" s="33" t="s">
        <v>1207</v>
      </c>
      <c r="B3378" s="33" t="s">
        <v>19</v>
      </c>
      <c r="C3378" s="33">
        <v>451</v>
      </c>
      <c r="D3378" s="33" t="s">
        <v>2624</v>
      </c>
      <c r="E3378" s="33">
        <v>4</v>
      </c>
      <c r="F3378" s="33"/>
      <c r="G3378" s="522"/>
      <c r="H3378" s="707"/>
      <c r="I3378" s="707">
        <f t="shared" si="104"/>
        <v>0</v>
      </c>
      <c r="J3378" s="707">
        <f t="shared" si="105"/>
        <v>0</v>
      </c>
      <c r="K3378" s="70"/>
    </row>
    <row r="3379" spans="1:11" ht="24" customHeight="1">
      <c r="A3379" s="2" t="s">
        <v>1207</v>
      </c>
      <c r="B3379" s="2" t="s">
        <v>19</v>
      </c>
      <c r="C3379" s="2">
        <v>500</v>
      </c>
      <c r="D3379" s="2" t="s">
        <v>3636</v>
      </c>
      <c r="E3379" s="33">
        <v>2</v>
      </c>
      <c r="F3379" s="33"/>
      <c r="G3379" s="522"/>
      <c r="H3379" s="707"/>
      <c r="I3379" s="707">
        <f t="shared" si="104"/>
        <v>0</v>
      </c>
      <c r="J3379" s="707">
        <f t="shared" si="105"/>
        <v>0</v>
      </c>
      <c r="K3379" s="55"/>
    </row>
    <row r="3380" spans="1:11" ht="24" customHeight="1">
      <c r="A3380" s="2" t="s">
        <v>829</v>
      </c>
      <c r="B3380" s="2" t="s">
        <v>19</v>
      </c>
      <c r="C3380" s="2">
        <v>139</v>
      </c>
      <c r="D3380" s="2" t="s">
        <v>593</v>
      </c>
      <c r="E3380" s="33">
        <v>3</v>
      </c>
      <c r="F3380" s="33"/>
      <c r="G3380" s="522"/>
      <c r="H3380" s="707">
        <v>0.5</v>
      </c>
      <c r="I3380" s="707">
        <f t="shared" si="104"/>
        <v>0.57499999999999996</v>
      </c>
      <c r="J3380" s="707">
        <f t="shared" si="105"/>
        <v>0.65</v>
      </c>
      <c r="K3380" s="70"/>
    </row>
    <row r="3381" spans="1:11" ht="24" customHeight="1">
      <c r="A3381" s="33" t="s">
        <v>1983</v>
      </c>
      <c r="B3381" s="33" t="s">
        <v>19</v>
      </c>
      <c r="C3381" s="33">
        <v>160</v>
      </c>
      <c r="D3381" s="33" t="s">
        <v>1938</v>
      </c>
      <c r="E3381" s="33">
        <v>2</v>
      </c>
      <c r="F3381" s="33"/>
      <c r="G3381" s="522"/>
      <c r="H3381" s="707">
        <v>1</v>
      </c>
      <c r="I3381" s="707">
        <f t="shared" si="104"/>
        <v>1.1499999999999999</v>
      </c>
      <c r="J3381" s="707">
        <f t="shared" si="105"/>
        <v>1.3</v>
      </c>
      <c r="K3381" s="70"/>
    </row>
    <row r="3382" spans="1:11" ht="24" customHeight="1">
      <c r="A3382" s="33" t="s">
        <v>2650</v>
      </c>
      <c r="B3382" s="33" t="s">
        <v>19</v>
      </c>
      <c r="C3382" s="33">
        <v>100</v>
      </c>
      <c r="D3382" s="33" t="s">
        <v>2624</v>
      </c>
      <c r="E3382" s="33">
        <v>4</v>
      </c>
      <c r="F3382" s="33"/>
      <c r="G3382" s="522"/>
      <c r="H3382" s="707"/>
      <c r="I3382" s="707">
        <f t="shared" si="104"/>
        <v>0</v>
      </c>
      <c r="J3382" s="707">
        <f t="shared" si="105"/>
        <v>0</v>
      </c>
      <c r="K3382" s="70"/>
    </row>
    <row r="3383" spans="1:11" ht="24" customHeight="1">
      <c r="A3383" s="17" t="s">
        <v>1731</v>
      </c>
      <c r="B3383" s="17" t="s">
        <v>19</v>
      </c>
      <c r="C3383" s="17">
        <v>10</v>
      </c>
      <c r="D3383" s="131" t="s">
        <v>1723</v>
      </c>
      <c r="E3383" s="15">
        <v>1</v>
      </c>
      <c r="F3383" s="15"/>
      <c r="G3383" s="684"/>
      <c r="H3383" s="707"/>
      <c r="I3383" s="707">
        <f t="shared" si="104"/>
        <v>0</v>
      </c>
      <c r="J3383" s="707">
        <f t="shared" si="105"/>
        <v>0</v>
      </c>
      <c r="K3383" s="70"/>
    </row>
    <row r="3384" spans="1:11" ht="24" customHeight="1">
      <c r="A3384" s="2" t="s">
        <v>762</v>
      </c>
      <c r="B3384" s="2" t="s">
        <v>19</v>
      </c>
      <c r="C3384" s="2">
        <v>8</v>
      </c>
      <c r="D3384" s="2" t="s">
        <v>593</v>
      </c>
      <c r="E3384" s="33">
        <v>3</v>
      </c>
      <c r="F3384" s="33"/>
      <c r="G3384" s="522"/>
      <c r="H3384" s="707"/>
      <c r="I3384" s="707">
        <f t="shared" si="104"/>
        <v>0</v>
      </c>
      <c r="J3384" s="707">
        <f t="shared" si="105"/>
        <v>0</v>
      </c>
      <c r="K3384" s="70"/>
    </row>
    <row r="3385" spans="1:11" ht="24" customHeight="1">
      <c r="A3385" s="33" t="s">
        <v>762</v>
      </c>
      <c r="B3385" s="33" t="s">
        <v>19</v>
      </c>
      <c r="C3385" s="33">
        <v>60</v>
      </c>
      <c r="D3385" s="33" t="s">
        <v>1548</v>
      </c>
      <c r="E3385" s="33">
        <v>3</v>
      </c>
      <c r="F3385" s="33"/>
      <c r="G3385" s="522"/>
      <c r="H3385" s="707"/>
      <c r="I3385" s="707">
        <f t="shared" si="104"/>
        <v>0</v>
      </c>
      <c r="J3385" s="707">
        <f t="shared" si="105"/>
        <v>0</v>
      </c>
      <c r="K3385" s="70"/>
    </row>
    <row r="3386" spans="1:11" ht="24" customHeight="1">
      <c r="A3386" s="17" t="s">
        <v>476</v>
      </c>
      <c r="B3386" s="17" t="s">
        <v>19</v>
      </c>
      <c r="C3386" s="17">
        <v>200</v>
      </c>
      <c r="D3386" s="131" t="s">
        <v>2882</v>
      </c>
      <c r="E3386" s="15">
        <v>2</v>
      </c>
      <c r="F3386" s="57" t="s">
        <v>2900</v>
      </c>
      <c r="G3386" s="57"/>
      <c r="H3386" s="708"/>
      <c r="I3386" s="707">
        <f t="shared" si="104"/>
        <v>0</v>
      </c>
      <c r="J3386" s="708">
        <f t="shared" si="105"/>
        <v>0</v>
      </c>
      <c r="K3386" s="70" t="s">
        <v>549</v>
      </c>
    </row>
    <row r="3387" spans="1:11" ht="24" customHeight="1">
      <c r="A3387" s="33" t="s">
        <v>476</v>
      </c>
      <c r="B3387" s="33" t="s">
        <v>19</v>
      </c>
      <c r="C3387" s="33">
        <v>170</v>
      </c>
      <c r="D3387" s="2" t="s">
        <v>274</v>
      </c>
      <c r="E3387" s="33">
        <v>3</v>
      </c>
      <c r="F3387" s="33"/>
      <c r="G3387" s="522"/>
      <c r="H3387" s="707">
        <v>1</v>
      </c>
      <c r="I3387" s="707">
        <f t="shared" si="104"/>
        <v>1.1499999999999999</v>
      </c>
      <c r="J3387" s="707">
        <f t="shared" si="105"/>
        <v>1.3</v>
      </c>
      <c r="K3387" s="70"/>
    </row>
    <row r="3388" spans="1:11" ht="24" customHeight="1">
      <c r="A3388" s="33" t="s">
        <v>476</v>
      </c>
      <c r="B3388" s="33" t="s">
        <v>19</v>
      </c>
      <c r="C3388" s="33">
        <v>280</v>
      </c>
      <c r="D3388" s="2" t="s">
        <v>593</v>
      </c>
      <c r="E3388" s="33">
        <v>1</v>
      </c>
      <c r="F3388" s="33"/>
      <c r="G3388" s="522"/>
      <c r="H3388" s="707">
        <v>1</v>
      </c>
      <c r="I3388" s="707">
        <f t="shared" si="104"/>
        <v>1.1499999999999999</v>
      </c>
      <c r="J3388" s="707">
        <f t="shared" si="105"/>
        <v>1.3</v>
      </c>
      <c r="K3388" s="70"/>
    </row>
    <row r="3389" spans="1:11" ht="24" customHeight="1">
      <c r="A3389" s="2" t="s">
        <v>476</v>
      </c>
      <c r="B3389" s="2" t="s">
        <v>19</v>
      </c>
      <c r="C3389" s="2">
        <v>300</v>
      </c>
      <c r="D3389" s="2" t="s">
        <v>3636</v>
      </c>
      <c r="E3389" s="33">
        <v>2</v>
      </c>
      <c r="F3389" s="33"/>
      <c r="G3389" s="522"/>
      <c r="H3389" s="707"/>
      <c r="I3389" s="707">
        <f t="shared" si="104"/>
        <v>0</v>
      </c>
      <c r="J3389" s="707">
        <f t="shared" si="105"/>
        <v>0</v>
      </c>
      <c r="K3389" s="55"/>
    </row>
    <row r="3390" spans="1:11" ht="24" customHeight="1">
      <c r="A3390" s="17" t="s">
        <v>1709</v>
      </c>
      <c r="B3390" s="17" t="s">
        <v>19</v>
      </c>
      <c r="C3390" s="17">
        <v>3</v>
      </c>
      <c r="D3390" s="131" t="s">
        <v>1681</v>
      </c>
      <c r="E3390" s="15">
        <v>1</v>
      </c>
      <c r="F3390" s="15"/>
      <c r="G3390" s="684"/>
      <c r="H3390" s="707"/>
      <c r="I3390" s="707">
        <f t="shared" si="104"/>
        <v>0</v>
      </c>
      <c r="J3390" s="707">
        <f t="shared" si="105"/>
        <v>0</v>
      </c>
      <c r="K3390" s="70"/>
    </row>
    <row r="3391" spans="1:11" ht="24" customHeight="1">
      <c r="A3391" s="33" t="s">
        <v>223</v>
      </c>
      <c r="B3391" s="33" t="s">
        <v>19</v>
      </c>
      <c r="C3391" s="33">
        <v>44</v>
      </c>
      <c r="D3391" s="2" t="s">
        <v>188</v>
      </c>
      <c r="E3391" s="33">
        <v>4</v>
      </c>
      <c r="F3391" s="33"/>
      <c r="G3391" s="522"/>
      <c r="H3391" s="707"/>
      <c r="I3391" s="707">
        <f t="shared" si="104"/>
        <v>0</v>
      </c>
      <c r="J3391" s="707">
        <f t="shared" si="105"/>
        <v>0</v>
      </c>
      <c r="K3391" s="70"/>
    </row>
    <row r="3392" spans="1:11" ht="24" customHeight="1">
      <c r="A3392" s="33" t="s">
        <v>963</v>
      </c>
      <c r="B3392" s="33" t="s">
        <v>19</v>
      </c>
      <c r="C3392" s="33">
        <v>70</v>
      </c>
      <c r="D3392" s="33" t="s">
        <v>910</v>
      </c>
      <c r="E3392" s="33">
        <v>2</v>
      </c>
      <c r="F3392" s="33"/>
      <c r="G3392" s="522"/>
      <c r="H3392" s="707">
        <v>0.5</v>
      </c>
      <c r="I3392" s="707">
        <f t="shared" si="104"/>
        <v>0.57499999999999996</v>
      </c>
      <c r="J3392" s="707">
        <f t="shared" si="105"/>
        <v>0.65</v>
      </c>
      <c r="K3392" s="70"/>
    </row>
    <row r="3393" spans="1:11" ht="24" customHeight="1">
      <c r="A3393" s="2" t="s">
        <v>963</v>
      </c>
      <c r="B3393" s="2" t="s">
        <v>19</v>
      </c>
      <c r="C3393" s="2">
        <v>196</v>
      </c>
      <c r="D3393" s="2" t="s">
        <v>1785</v>
      </c>
      <c r="E3393" s="33">
        <v>1</v>
      </c>
      <c r="F3393" s="33"/>
      <c r="G3393" s="522"/>
      <c r="H3393" s="707">
        <v>0.5</v>
      </c>
      <c r="I3393" s="707">
        <f t="shared" si="104"/>
        <v>0.57499999999999996</v>
      </c>
      <c r="J3393" s="707">
        <f t="shared" si="105"/>
        <v>0.65</v>
      </c>
      <c r="K3393" s="70"/>
    </row>
    <row r="3394" spans="1:11" ht="24" customHeight="1">
      <c r="A3394" s="33" t="s">
        <v>963</v>
      </c>
      <c r="B3394" s="33" t="s">
        <v>19</v>
      </c>
      <c r="C3394" s="33">
        <v>250</v>
      </c>
      <c r="D3394" s="33" t="s">
        <v>2191</v>
      </c>
      <c r="E3394" s="33">
        <v>3</v>
      </c>
      <c r="F3394" s="33"/>
      <c r="G3394" s="522"/>
      <c r="H3394" s="707">
        <v>0.5</v>
      </c>
      <c r="I3394" s="707">
        <f t="shared" si="104"/>
        <v>0.57499999999999996</v>
      </c>
      <c r="J3394" s="707">
        <f t="shared" si="105"/>
        <v>0.65</v>
      </c>
      <c r="K3394" s="70"/>
    </row>
    <row r="3395" spans="1:11" ht="24" customHeight="1">
      <c r="A3395" s="17" t="s">
        <v>475</v>
      </c>
      <c r="B3395" s="17" t="s">
        <v>19</v>
      </c>
      <c r="C3395" s="17">
        <v>200</v>
      </c>
      <c r="D3395" s="131" t="s">
        <v>2882</v>
      </c>
      <c r="E3395" s="15">
        <v>2</v>
      </c>
      <c r="F3395" s="57" t="s">
        <v>2900</v>
      </c>
      <c r="G3395" s="57"/>
      <c r="H3395" s="708"/>
      <c r="I3395" s="707">
        <f t="shared" ref="I3395:I3458" si="106">H3395 * 1.15</f>
        <v>0</v>
      </c>
      <c r="J3395" s="708">
        <f t="shared" ref="J3395:J3458" si="107">H3395 * 1.3</f>
        <v>0</v>
      </c>
      <c r="K3395" s="70" t="s">
        <v>549</v>
      </c>
    </row>
    <row r="3396" spans="1:11" ht="24" customHeight="1">
      <c r="A3396" s="33" t="s">
        <v>475</v>
      </c>
      <c r="B3396" s="33" t="s">
        <v>19</v>
      </c>
      <c r="C3396" s="33">
        <v>177</v>
      </c>
      <c r="D3396" s="2" t="s">
        <v>274</v>
      </c>
      <c r="E3396" s="33">
        <v>3</v>
      </c>
      <c r="F3396" s="33"/>
      <c r="G3396" s="522"/>
      <c r="H3396" s="707">
        <v>2</v>
      </c>
      <c r="I3396" s="707">
        <f t="shared" si="106"/>
        <v>2.2999999999999998</v>
      </c>
      <c r="J3396" s="707">
        <f t="shared" si="107"/>
        <v>2.6</v>
      </c>
      <c r="K3396" s="70"/>
    </row>
    <row r="3397" spans="1:11" ht="24" customHeight="1">
      <c r="A3397" s="2" t="s">
        <v>478</v>
      </c>
      <c r="B3397" s="2" t="s">
        <v>19</v>
      </c>
      <c r="C3397" s="2">
        <v>7</v>
      </c>
      <c r="D3397" s="2" t="s">
        <v>274</v>
      </c>
      <c r="E3397" s="33">
        <v>3</v>
      </c>
      <c r="F3397" s="33"/>
      <c r="G3397" s="522"/>
      <c r="H3397" s="707"/>
      <c r="I3397" s="707">
        <f t="shared" si="106"/>
        <v>0</v>
      </c>
      <c r="J3397" s="707">
        <f t="shared" si="107"/>
        <v>0</v>
      </c>
      <c r="K3397" s="70"/>
    </row>
    <row r="3398" spans="1:11" ht="24" customHeight="1">
      <c r="A3398" s="33" t="s">
        <v>1253</v>
      </c>
      <c r="B3398" s="33" t="s">
        <v>19</v>
      </c>
      <c r="C3398" s="33">
        <v>318</v>
      </c>
      <c r="D3398" s="33" t="s">
        <v>1201</v>
      </c>
      <c r="E3398" s="33">
        <v>4</v>
      </c>
      <c r="F3398" s="33"/>
      <c r="G3398" s="522"/>
      <c r="H3398" s="707">
        <v>0.5</v>
      </c>
      <c r="I3398" s="707">
        <f t="shared" si="106"/>
        <v>0.57499999999999996</v>
      </c>
      <c r="J3398" s="707">
        <f t="shared" si="107"/>
        <v>0.65</v>
      </c>
      <c r="K3398" s="70"/>
    </row>
    <row r="3399" spans="1:11" ht="24" customHeight="1">
      <c r="A3399" s="33" t="s">
        <v>450</v>
      </c>
      <c r="B3399" s="33" t="s">
        <v>19</v>
      </c>
      <c r="C3399" s="33">
        <v>28</v>
      </c>
      <c r="D3399" s="2" t="s">
        <v>274</v>
      </c>
      <c r="E3399" s="33">
        <v>3</v>
      </c>
      <c r="F3399" s="33"/>
      <c r="G3399" s="522"/>
      <c r="H3399" s="707"/>
      <c r="I3399" s="707">
        <f t="shared" si="106"/>
        <v>0</v>
      </c>
      <c r="J3399" s="707">
        <f t="shared" si="107"/>
        <v>0</v>
      </c>
      <c r="K3399" s="70"/>
    </row>
    <row r="3400" spans="1:11" ht="24" customHeight="1">
      <c r="A3400" s="2" t="s">
        <v>742</v>
      </c>
      <c r="B3400" s="2" t="s">
        <v>19</v>
      </c>
      <c r="C3400" s="2">
        <v>70</v>
      </c>
      <c r="D3400" s="2" t="s">
        <v>593</v>
      </c>
      <c r="E3400" s="33">
        <v>3</v>
      </c>
      <c r="F3400" s="33"/>
      <c r="G3400" s="522"/>
      <c r="H3400" s="707"/>
      <c r="I3400" s="707">
        <f t="shared" si="106"/>
        <v>0</v>
      </c>
      <c r="J3400" s="707">
        <f t="shared" si="107"/>
        <v>0</v>
      </c>
      <c r="K3400" s="70"/>
    </row>
    <row r="3401" spans="1:11" ht="24" customHeight="1">
      <c r="A3401" s="33" t="s">
        <v>1943</v>
      </c>
      <c r="B3401" s="33" t="s">
        <v>19</v>
      </c>
      <c r="C3401" s="33">
        <v>100</v>
      </c>
      <c r="D3401" s="33" t="s">
        <v>1938</v>
      </c>
      <c r="E3401" s="33">
        <v>1</v>
      </c>
      <c r="F3401" s="33"/>
      <c r="G3401" s="522"/>
      <c r="H3401" s="707">
        <v>2</v>
      </c>
      <c r="I3401" s="707">
        <f t="shared" si="106"/>
        <v>2.2999999999999998</v>
      </c>
      <c r="J3401" s="707">
        <f t="shared" si="107"/>
        <v>2.6</v>
      </c>
      <c r="K3401" s="70"/>
    </row>
    <row r="3402" spans="1:11" ht="24" customHeight="1">
      <c r="A3402" s="33" t="s">
        <v>1221</v>
      </c>
      <c r="B3402" s="33" t="s">
        <v>19</v>
      </c>
      <c r="C3402" s="33">
        <v>1030</v>
      </c>
      <c r="D3402" s="33" t="s">
        <v>1201</v>
      </c>
      <c r="E3402" s="33">
        <v>3</v>
      </c>
      <c r="F3402" s="33"/>
      <c r="G3402" s="522"/>
      <c r="H3402" s="707">
        <v>0.5</v>
      </c>
      <c r="I3402" s="707">
        <f t="shared" si="106"/>
        <v>0.57499999999999996</v>
      </c>
      <c r="J3402" s="707">
        <f t="shared" si="107"/>
        <v>0.65</v>
      </c>
      <c r="K3402" s="70"/>
    </row>
    <row r="3403" spans="1:11" ht="24" customHeight="1">
      <c r="A3403" s="33" t="s">
        <v>1221</v>
      </c>
      <c r="B3403" s="33" t="s">
        <v>19</v>
      </c>
      <c r="C3403" s="33">
        <v>100</v>
      </c>
      <c r="D3403" s="33" t="s">
        <v>2276</v>
      </c>
      <c r="E3403" s="33">
        <v>1</v>
      </c>
      <c r="F3403" s="33"/>
      <c r="G3403" s="522"/>
      <c r="H3403" s="707">
        <v>0.5</v>
      </c>
      <c r="I3403" s="707">
        <f t="shared" si="106"/>
        <v>0.57499999999999996</v>
      </c>
      <c r="J3403" s="707">
        <f t="shared" si="107"/>
        <v>0.65</v>
      </c>
      <c r="K3403" s="70"/>
    </row>
    <row r="3404" spans="1:11" ht="24" customHeight="1">
      <c r="A3404" s="33" t="s">
        <v>1221</v>
      </c>
      <c r="B3404" s="33" t="s">
        <v>19</v>
      </c>
      <c r="C3404" s="33">
        <v>1180</v>
      </c>
      <c r="D3404" s="33" t="s">
        <v>2624</v>
      </c>
      <c r="E3404" s="33">
        <v>4</v>
      </c>
      <c r="F3404" s="33"/>
      <c r="G3404" s="522"/>
      <c r="H3404" s="707">
        <v>0.5</v>
      </c>
      <c r="I3404" s="707">
        <f t="shared" si="106"/>
        <v>0.57499999999999996</v>
      </c>
      <c r="J3404" s="707">
        <f t="shared" si="107"/>
        <v>0.65</v>
      </c>
      <c r="K3404" s="70"/>
    </row>
    <row r="3405" spans="1:11" ht="24" customHeight="1">
      <c r="A3405" s="33" t="s">
        <v>2317</v>
      </c>
      <c r="B3405" s="33" t="s">
        <v>19</v>
      </c>
      <c r="C3405" s="33">
        <v>5</v>
      </c>
      <c r="D3405" s="33" t="s">
        <v>2276</v>
      </c>
      <c r="E3405" s="33">
        <v>1</v>
      </c>
      <c r="F3405" s="33"/>
      <c r="G3405" s="522"/>
      <c r="H3405" s="707">
        <v>1</v>
      </c>
      <c r="I3405" s="707">
        <f t="shared" si="106"/>
        <v>1.1499999999999999</v>
      </c>
      <c r="J3405" s="707">
        <f t="shared" si="107"/>
        <v>1.3</v>
      </c>
      <c r="K3405" s="70"/>
    </row>
    <row r="3406" spans="1:11" ht="24" customHeight="1">
      <c r="A3406" s="33" t="s">
        <v>2317</v>
      </c>
      <c r="B3406" s="33" t="s">
        <v>19</v>
      </c>
      <c r="C3406" s="33">
        <v>111</v>
      </c>
      <c r="D3406" s="33" t="s">
        <v>3279</v>
      </c>
      <c r="E3406" s="33">
        <v>4</v>
      </c>
      <c r="F3406" s="33"/>
      <c r="G3406" s="522"/>
      <c r="H3406" s="707">
        <v>1</v>
      </c>
      <c r="I3406" s="707">
        <f t="shared" si="106"/>
        <v>1.1499999999999999</v>
      </c>
      <c r="J3406" s="707">
        <f t="shared" si="107"/>
        <v>1.3</v>
      </c>
      <c r="K3406" s="70"/>
    </row>
    <row r="3407" spans="1:11" ht="24" customHeight="1">
      <c r="A3407" s="74" t="s">
        <v>2427</v>
      </c>
      <c r="B3407" s="74" t="s">
        <v>19</v>
      </c>
      <c r="C3407" s="74">
        <v>204</v>
      </c>
      <c r="D3407" s="33" t="s">
        <v>2363</v>
      </c>
      <c r="E3407" s="33">
        <v>5</v>
      </c>
      <c r="F3407" s="33"/>
      <c r="G3407" s="522"/>
      <c r="H3407" s="707"/>
      <c r="I3407" s="707">
        <f t="shared" si="106"/>
        <v>0</v>
      </c>
      <c r="J3407" s="707">
        <f t="shared" si="107"/>
        <v>0</v>
      </c>
      <c r="K3407" s="70"/>
    </row>
    <row r="3408" spans="1:11" ht="24" customHeight="1">
      <c r="A3408" s="33" t="s">
        <v>943</v>
      </c>
      <c r="B3408" s="33" t="s">
        <v>19</v>
      </c>
      <c r="C3408" s="33">
        <v>1351</v>
      </c>
      <c r="D3408" s="33" t="s">
        <v>910</v>
      </c>
      <c r="E3408" s="33">
        <v>1</v>
      </c>
      <c r="F3408" s="33"/>
      <c r="G3408" s="522"/>
      <c r="H3408" s="707">
        <v>1</v>
      </c>
      <c r="I3408" s="707">
        <f t="shared" si="106"/>
        <v>1.1499999999999999</v>
      </c>
      <c r="J3408" s="707">
        <f t="shared" si="107"/>
        <v>1.3</v>
      </c>
      <c r="K3408" s="70"/>
    </row>
    <row r="3409" spans="1:11" ht="24" customHeight="1">
      <c r="A3409" s="33" t="s">
        <v>2323</v>
      </c>
      <c r="B3409" s="33" t="s">
        <v>19</v>
      </c>
      <c r="C3409" s="33">
        <v>12</v>
      </c>
      <c r="D3409" s="33" t="s">
        <v>2276</v>
      </c>
      <c r="E3409" s="33">
        <v>1</v>
      </c>
      <c r="F3409" s="33"/>
      <c r="G3409" s="522"/>
      <c r="H3409" s="707">
        <v>1.6</v>
      </c>
      <c r="I3409" s="707">
        <f t="shared" si="106"/>
        <v>1.8399999999999999</v>
      </c>
      <c r="J3409" s="707">
        <f t="shared" si="107"/>
        <v>2.08</v>
      </c>
      <c r="K3409" s="70" t="s">
        <v>711</v>
      </c>
    </row>
    <row r="3410" spans="1:11" ht="24" customHeight="1">
      <c r="A3410" s="2" t="s">
        <v>835</v>
      </c>
      <c r="B3410" s="2" t="s">
        <v>19</v>
      </c>
      <c r="C3410" s="2">
        <v>7</v>
      </c>
      <c r="D3410" s="2" t="s">
        <v>593</v>
      </c>
      <c r="E3410" s="33">
        <v>3</v>
      </c>
      <c r="F3410" s="33"/>
      <c r="G3410" s="522"/>
      <c r="H3410" s="707">
        <v>4</v>
      </c>
      <c r="I3410" s="707">
        <f t="shared" si="106"/>
        <v>4.5999999999999996</v>
      </c>
      <c r="J3410" s="707">
        <f t="shared" si="107"/>
        <v>5.2</v>
      </c>
      <c r="K3410" s="70"/>
    </row>
    <row r="3411" spans="1:11" ht="24" customHeight="1">
      <c r="A3411" s="74" t="s">
        <v>835</v>
      </c>
      <c r="B3411" s="33" t="s">
        <v>19</v>
      </c>
      <c r="C3411" s="33">
        <v>340</v>
      </c>
      <c r="D3411" s="33" t="s">
        <v>1201</v>
      </c>
      <c r="E3411" s="33">
        <v>4</v>
      </c>
      <c r="F3411" s="33"/>
      <c r="G3411" s="522"/>
      <c r="H3411" s="707">
        <v>4</v>
      </c>
      <c r="I3411" s="707">
        <f t="shared" si="106"/>
        <v>4.5999999999999996</v>
      </c>
      <c r="J3411" s="707">
        <f t="shared" si="107"/>
        <v>5.2</v>
      </c>
      <c r="K3411" s="70"/>
    </row>
    <row r="3412" spans="1:11" ht="24" customHeight="1">
      <c r="A3412" s="33" t="s">
        <v>1542</v>
      </c>
      <c r="B3412" s="33" t="s">
        <v>19</v>
      </c>
      <c r="C3412" s="33">
        <v>770</v>
      </c>
      <c r="D3412" s="33" t="s">
        <v>1494</v>
      </c>
      <c r="E3412" s="33">
        <v>2</v>
      </c>
      <c r="F3412" s="33"/>
      <c r="G3412" s="522"/>
      <c r="H3412" s="707">
        <v>0.5</v>
      </c>
      <c r="I3412" s="707">
        <f t="shared" si="106"/>
        <v>0.57499999999999996</v>
      </c>
      <c r="J3412" s="707">
        <f t="shared" si="107"/>
        <v>0.65</v>
      </c>
      <c r="K3412" s="70"/>
    </row>
    <row r="3413" spans="1:11" ht="24" customHeight="1">
      <c r="A3413" s="33" t="s">
        <v>1295</v>
      </c>
      <c r="B3413" s="33" t="s">
        <v>19</v>
      </c>
      <c r="C3413" s="33">
        <v>16</v>
      </c>
      <c r="D3413" s="33" t="s">
        <v>1201</v>
      </c>
      <c r="E3413" s="33">
        <v>4</v>
      </c>
      <c r="F3413" s="33"/>
      <c r="G3413" s="522"/>
      <c r="H3413" s="707"/>
      <c r="I3413" s="707">
        <f t="shared" si="106"/>
        <v>0</v>
      </c>
      <c r="J3413" s="707">
        <f t="shared" si="107"/>
        <v>0</v>
      </c>
      <c r="K3413" s="70"/>
    </row>
    <row r="3414" spans="1:11" ht="24" customHeight="1">
      <c r="A3414" s="11" t="s">
        <v>1295</v>
      </c>
      <c r="B3414" s="11" t="s">
        <v>19</v>
      </c>
      <c r="C3414" s="11">
        <v>1</v>
      </c>
      <c r="D3414" s="131" t="s">
        <v>3539</v>
      </c>
      <c r="E3414" s="15">
        <v>4</v>
      </c>
      <c r="F3414" s="15"/>
      <c r="G3414" s="684"/>
      <c r="H3414" s="707"/>
      <c r="I3414" s="707">
        <f t="shared" si="106"/>
        <v>0</v>
      </c>
      <c r="J3414" s="707">
        <f t="shared" si="107"/>
        <v>0</v>
      </c>
      <c r="K3414" s="70"/>
    </row>
    <row r="3415" spans="1:11" ht="24" customHeight="1">
      <c r="A3415" s="33" t="s">
        <v>3388</v>
      </c>
      <c r="B3415" s="33" t="s">
        <v>19</v>
      </c>
      <c r="C3415" s="33">
        <v>1302</v>
      </c>
      <c r="D3415" s="33" t="s">
        <v>3348</v>
      </c>
      <c r="E3415" s="33">
        <v>4</v>
      </c>
      <c r="F3415" s="33"/>
      <c r="G3415" s="522"/>
      <c r="H3415" s="707">
        <v>0.5</v>
      </c>
      <c r="I3415" s="707">
        <f t="shared" si="106"/>
        <v>0.57499999999999996</v>
      </c>
      <c r="J3415" s="707">
        <f t="shared" si="107"/>
        <v>0.65</v>
      </c>
      <c r="K3415" s="70"/>
    </row>
    <row r="3416" spans="1:11" ht="24" customHeight="1">
      <c r="A3416" s="33" t="s">
        <v>158</v>
      </c>
      <c r="B3416" s="33" t="s">
        <v>19</v>
      </c>
      <c r="C3416" s="33">
        <v>170</v>
      </c>
      <c r="D3416" s="2" t="s">
        <v>11</v>
      </c>
      <c r="E3416" s="33">
        <v>3</v>
      </c>
      <c r="F3416" s="33"/>
      <c r="G3416" s="522"/>
      <c r="H3416" s="707"/>
      <c r="I3416" s="707">
        <f t="shared" si="106"/>
        <v>0</v>
      </c>
      <c r="J3416" s="707">
        <f t="shared" si="107"/>
        <v>0</v>
      </c>
      <c r="K3416" s="70"/>
    </row>
    <row r="3417" spans="1:11" ht="24" customHeight="1">
      <c r="A3417" s="33" t="s">
        <v>158</v>
      </c>
      <c r="B3417" s="33" t="s">
        <v>19</v>
      </c>
      <c r="C3417" s="33">
        <v>129</v>
      </c>
      <c r="D3417" s="33" t="s">
        <v>992</v>
      </c>
      <c r="E3417" s="33">
        <v>4</v>
      </c>
      <c r="F3417" s="33"/>
      <c r="G3417" s="522"/>
      <c r="H3417" s="707"/>
      <c r="I3417" s="707">
        <f t="shared" si="106"/>
        <v>0</v>
      </c>
      <c r="J3417" s="707">
        <f t="shared" si="107"/>
        <v>0</v>
      </c>
      <c r="K3417" s="70"/>
    </row>
    <row r="3418" spans="1:11" ht="24" customHeight="1">
      <c r="A3418" s="33" t="s">
        <v>1059</v>
      </c>
      <c r="B3418" s="33" t="s">
        <v>19</v>
      </c>
      <c r="C3418" s="33">
        <v>198</v>
      </c>
      <c r="D3418" s="33" t="s">
        <v>992</v>
      </c>
      <c r="E3418" s="33">
        <v>4</v>
      </c>
      <c r="F3418" s="33"/>
      <c r="G3418" s="522"/>
      <c r="H3418" s="707"/>
      <c r="I3418" s="707">
        <f t="shared" si="106"/>
        <v>0</v>
      </c>
      <c r="J3418" s="707">
        <f t="shared" si="107"/>
        <v>0</v>
      </c>
      <c r="K3418" s="70"/>
    </row>
    <row r="3419" spans="1:11" ht="24" customHeight="1">
      <c r="A3419" s="33" t="s">
        <v>1337</v>
      </c>
      <c r="B3419" s="33" t="s">
        <v>19</v>
      </c>
      <c r="C3419" s="33">
        <v>100</v>
      </c>
      <c r="D3419" s="33" t="s">
        <v>1325</v>
      </c>
      <c r="E3419" s="33">
        <v>1</v>
      </c>
      <c r="F3419" s="33"/>
      <c r="G3419" s="522"/>
      <c r="H3419" s="707">
        <v>1</v>
      </c>
      <c r="I3419" s="707">
        <f t="shared" si="106"/>
        <v>1.1499999999999999</v>
      </c>
      <c r="J3419" s="707">
        <f t="shared" si="107"/>
        <v>1.3</v>
      </c>
      <c r="K3419" s="70"/>
    </row>
    <row r="3420" spans="1:11" ht="24" customHeight="1">
      <c r="A3420" s="33" t="s">
        <v>942</v>
      </c>
      <c r="B3420" s="33" t="s">
        <v>19</v>
      </c>
      <c r="C3420" s="33">
        <v>100</v>
      </c>
      <c r="D3420" s="33" t="s">
        <v>910</v>
      </c>
      <c r="E3420" s="33">
        <v>1</v>
      </c>
      <c r="F3420" s="33"/>
      <c r="G3420" s="522"/>
      <c r="H3420" s="711">
        <v>0.5</v>
      </c>
      <c r="I3420" s="711">
        <f t="shared" si="106"/>
        <v>0.57499999999999996</v>
      </c>
      <c r="J3420" s="711">
        <f t="shared" si="107"/>
        <v>0.65</v>
      </c>
      <c r="K3420" s="70"/>
    </row>
    <row r="3421" spans="1:11" ht="24" customHeight="1">
      <c r="A3421" s="33" t="s">
        <v>942</v>
      </c>
      <c r="B3421" s="33" t="s">
        <v>19</v>
      </c>
      <c r="C3421" s="33">
        <v>91</v>
      </c>
      <c r="D3421" s="33" t="s">
        <v>1372</v>
      </c>
      <c r="E3421" s="33">
        <v>4</v>
      </c>
      <c r="F3421" s="33"/>
      <c r="G3421" s="522"/>
      <c r="H3421" s="707">
        <v>0.5</v>
      </c>
      <c r="I3421" s="707">
        <f t="shared" si="106"/>
        <v>0.57499999999999996</v>
      </c>
      <c r="J3421" s="707">
        <f t="shared" si="107"/>
        <v>0.65</v>
      </c>
      <c r="K3421" s="70"/>
    </row>
    <row r="3422" spans="1:11" ht="24" customHeight="1">
      <c r="A3422" s="2" t="s">
        <v>942</v>
      </c>
      <c r="B3422" s="2" t="s">
        <v>19</v>
      </c>
      <c r="C3422" s="2">
        <v>200</v>
      </c>
      <c r="D3422" s="2" t="s">
        <v>1785</v>
      </c>
      <c r="E3422" s="33">
        <v>2</v>
      </c>
      <c r="F3422" s="33"/>
      <c r="G3422" s="522"/>
      <c r="H3422" s="707"/>
      <c r="I3422" s="707">
        <f t="shared" si="106"/>
        <v>0</v>
      </c>
      <c r="J3422" s="707">
        <f t="shared" si="107"/>
        <v>0</v>
      </c>
      <c r="K3422" s="70"/>
    </row>
    <row r="3423" spans="1:11" ht="24" customHeight="1">
      <c r="A3423" s="33" t="s">
        <v>1346</v>
      </c>
      <c r="B3423" s="33" t="s">
        <v>19</v>
      </c>
      <c r="C3423" s="33">
        <v>411</v>
      </c>
      <c r="D3423" s="33" t="s">
        <v>1325</v>
      </c>
      <c r="E3423" s="33">
        <v>1</v>
      </c>
      <c r="F3423" s="33"/>
      <c r="G3423" s="522"/>
      <c r="H3423" s="707"/>
      <c r="I3423" s="707">
        <f t="shared" si="106"/>
        <v>0</v>
      </c>
      <c r="J3423" s="707">
        <f t="shared" si="107"/>
        <v>0</v>
      </c>
      <c r="K3423" s="70"/>
    </row>
    <row r="3424" spans="1:11" ht="24" customHeight="1">
      <c r="A3424" s="2" t="s">
        <v>400</v>
      </c>
      <c r="B3424" s="2" t="s">
        <v>19</v>
      </c>
      <c r="C3424" s="2">
        <v>400</v>
      </c>
      <c r="D3424" s="2" t="s">
        <v>274</v>
      </c>
      <c r="E3424" s="33">
        <v>2</v>
      </c>
      <c r="F3424" s="33"/>
      <c r="G3424" s="522"/>
      <c r="H3424" s="707">
        <v>0.5</v>
      </c>
      <c r="I3424" s="707">
        <f t="shared" si="106"/>
        <v>0.57499999999999996</v>
      </c>
      <c r="J3424" s="707">
        <f t="shared" si="107"/>
        <v>0.65</v>
      </c>
      <c r="K3424" s="70"/>
    </row>
    <row r="3425" spans="1:11" ht="24" customHeight="1">
      <c r="A3425" s="33" t="s">
        <v>1200</v>
      </c>
      <c r="B3425" s="33" t="s">
        <v>19</v>
      </c>
      <c r="C3425" s="33">
        <v>321</v>
      </c>
      <c r="D3425" s="33" t="s">
        <v>1201</v>
      </c>
      <c r="E3425" s="33">
        <v>3</v>
      </c>
      <c r="F3425" s="33"/>
      <c r="G3425" s="522"/>
      <c r="H3425" s="707"/>
      <c r="I3425" s="707">
        <f t="shared" si="106"/>
        <v>0</v>
      </c>
      <c r="J3425" s="707">
        <f t="shared" si="107"/>
        <v>0</v>
      </c>
      <c r="K3425" s="70"/>
    </row>
    <row r="3426" spans="1:11" ht="24" customHeight="1">
      <c r="A3426" s="2" t="s">
        <v>3729</v>
      </c>
      <c r="B3426" s="2" t="s">
        <v>10</v>
      </c>
      <c r="C3426" s="2">
        <v>1</v>
      </c>
      <c r="D3426" s="2" t="s">
        <v>3705</v>
      </c>
      <c r="E3426" s="33">
        <v>3</v>
      </c>
      <c r="F3426" s="33"/>
      <c r="G3426" s="522"/>
      <c r="H3426" s="707"/>
      <c r="I3426" s="707">
        <f t="shared" si="106"/>
        <v>0</v>
      </c>
      <c r="J3426" s="707">
        <f t="shared" si="107"/>
        <v>0</v>
      </c>
      <c r="K3426" s="55"/>
    </row>
    <row r="3427" spans="1:11" ht="24" customHeight="1">
      <c r="A3427" s="19" t="s">
        <v>3632</v>
      </c>
      <c r="B3427" s="19" t="s">
        <v>10</v>
      </c>
      <c r="C3427" s="2">
        <v>3</v>
      </c>
      <c r="D3427" s="2" t="s">
        <v>3618</v>
      </c>
      <c r="E3427" s="33">
        <v>5</v>
      </c>
      <c r="F3427" s="33"/>
      <c r="G3427" s="522"/>
      <c r="H3427" s="707"/>
      <c r="I3427" s="707">
        <f t="shared" si="106"/>
        <v>0</v>
      </c>
      <c r="J3427" s="707">
        <f t="shared" si="107"/>
        <v>0</v>
      </c>
      <c r="K3427" s="55"/>
    </row>
    <row r="3428" spans="1:11" ht="24" customHeight="1">
      <c r="A3428" s="19" t="s">
        <v>3641</v>
      </c>
      <c r="B3428" s="19" t="s">
        <v>10</v>
      </c>
      <c r="C3428" s="2">
        <v>1</v>
      </c>
      <c r="D3428" s="2" t="s">
        <v>3636</v>
      </c>
      <c r="E3428" s="2">
        <v>1</v>
      </c>
      <c r="F3428" s="2"/>
      <c r="G3428" s="634"/>
      <c r="H3428" s="707"/>
      <c r="I3428" s="707">
        <f t="shared" si="106"/>
        <v>0</v>
      </c>
      <c r="J3428" s="707">
        <f t="shared" si="107"/>
        <v>0</v>
      </c>
      <c r="K3428" s="55"/>
    </row>
    <row r="3429" spans="1:11" ht="24" customHeight="1">
      <c r="A3429" s="222" t="s">
        <v>77</v>
      </c>
      <c r="B3429" s="222" t="s">
        <v>19</v>
      </c>
      <c r="C3429" s="33">
        <v>100</v>
      </c>
      <c r="D3429" s="2" t="s">
        <v>11</v>
      </c>
      <c r="E3429" s="33">
        <v>1</v>
      </c>
      <c r="F3429" s="33"/>
      <c r="G3429" s="522"/>
      <c r="H3429" s="707"/>
      <c r="I3429" s="707">
        <f t="shared" si="106"/>
        <v>0</v>
      </c>
      <c r="J3429" s="707">
        <f t="shared" si="107"/>
        <v>0</v>
      </c>
      <c r="K3429" s="70"/>
    </row>
    <row r="3430" spans="1:11" ht="24" customHeight="1">
      <c r="A3430" s="672" t="s">
        <v>61</v>
      </c>
      <c r="B3430" s="19" t="s">
        <v>19</v>
      </c>
      <c r="C3430" s="2">
        <v>103</v>
      </c>
      <c r="D3430" s="2" t="s">
        <v>11</v>
      </c>
      <c r="E3430" s="33">
        <v>1</v>
      </c>
      <c r="F3430" s="33"/>
      <c r="G3430" s="522"/>
      <c r="H3430" s="707">
        <v>0.5</v>
      </c>
      <c r="I3430" s="707">
        <f t="shared" si="106"/>
        <v>0.57499999999999996</v>
      </c>
      <c r="J3430" s="707">
        <f t="shared" si="107"/>
        <v>0.65</v>
      </c>
      <c r="K3430" s="70"/>
    </row>
    <row r="3431" spans="1:11" ht="24" customHeight="1">
      <c r="A3431" s="222" t="s">
        <v>1205</v>
      </c>
      <c r="B3431" s="222" t="s">
        <v>19</v>
      </c>
      <c r="C3431" s="33">
        <v>90</v>
      </c>
      <c r="D3431" s="33" t="s">
        <v>1201</v>
      </c>
      <c r="E3431" s="33">
        <v>3</v>
      </c>
      <c r="F3431" s="33"/>
      <c r="G3431" s="522"/>
      <c r="H3431" s="707">
        <v>0.5</v>
      </c>
      <c r="I3431" s="707">
        <f t="shared" si="106"/>
        <v>0.57499999999999996</v>
      </c>
      <c r="J3431" s="707">
        <f t="shared" si="107"/>
        <v>0.65</v>
      </c>
      <c r="K3431" s="70"/>
    </row>
    <row r="3432" spans="1:11" ht="24" customHeight="1">
      <c r="A3432" s="16" t="s">
        <v>3178</v>
      </c>
      <c r="B3432" s="236" t="s">
        <v>529</v>
      </c>
      <c r="C3432" s="17">
        <v>8</v>
      </c>
      <c r="D3432" s="33" t="s">
        <v>3053</v>
      </c>
      <c r="E3432" s="33">
        <v>3</v>
      </c>
      <c r="F3432" s="33"/>
      <c r="G3432" s="522"/>
      <c r="H3432" s="707"/>
      <c r="I3432" s="707">
        <f t="shared" si="106"/>
        <v>0</v>
      </c>
      <c r="J3432" s="707">
        <f t="shared" si="107"/>
        <v>0</v>
      </c>
      <c r="K3432" s="70"/>
    </row>
    <row r="3433" spans="1:11" ht="24" customHeight="1">
      <c r="A3433" s="222" t="s">
        <v>920</v>
      </c>
      <c r="B3433" s="222" t="s">
        <v>27</v>
      </c>
      <c r="C3433" s="33">
        <v>10</v>
      </c>
      <c r="D3433" s="33" t="s">
        <v>910</v>
      </c>
      <c r="E3433" s="33">
        <v>1</v>
      </c>
      <c r="F3433" s="33"/>
      <c r="G3433" s="522"/>
      <c r="H3433" s="711">
        <v>0.1</v>
      </c>
      <c r="I3433" s="711">
        <f t="shared" si="106"/>
        <v>0.11499999999999999</v>
      </c>
      <c r="J3433" s="711">
        <f t="shared" si="107"/>
        <v>0.13</v>
      </c>
      <c r="K3433" s="70"/>
    </row>
    <row r="3434" spans="1:11" ht="24" customHeight="1">
      <c r="A3434" s="222" t="s">
        <v>2046</v>
      </c>
      <c r="B3434" s="222" t="s">
        <v>27</v>
      </c>
      <c r="C3434" s="33">
        <v>106</v>
      </c>
      <c r="D3434" s="33" t="s">
        <v>2026</v>
      </c>
      <c r="E3434" s="33">
        <v>3</v>
      </c>
      <c r="F3434" s="33"/>
      <c r="G3434" s="522"/>
      <c r="H3434" s="707">
        <v>0.5</v>
      </c>
      <c r="I3434" s="707">
        <f t="shared" si="106"/>
        <v>0.57499999999999996</v>
      </c>
      <c r="J3434" s="707">
        <f t="shared" si="107"/>
        <v>0.65</v>
      </c>
      <c r="K3434" s="70"/>
    </row>
    <row r="3435" spans="1:11" ht="24" customHeight="1">
      <c r="A3435" s="222" t="s">
        <v>1952</v>
      </c>
      <c r="B3435" s="222" t="s">
        <v>105</v>
      </c>
      <c r="C3435" s="33">
        <v>20</v>
      </c>
      <c r="D3435" s="33" t="s">
        <v>1938</v>
      </c>
      <c r="E3435" s="33">
        <v>1</v>
      </c>
      <c r="F3435" s="33"/>
      <c r="G3435" s="522"/>
      <c r="H3435" s="707"/>
      <c r="I3435" s="707">
        <f t="shared" si="106"/>
        <v>0</v>
      </c>
      <c r="J3435" s="707">
        <f t="shared" si="107"/>
        <v>0</v>
      </c>
      <c r="K3435" s="70"/>
    </row>
    <row r="3436" spans="1:11" ht="24" customHeight="1">
      <c r="A3436" s="222" t="s">
        <v>1952</v>
      </c>
      <c r="B3436" s="222" t="s">
        <v>27</v>
      </c>
      <c r="C3436" s="33">
        <v>76</v>
      </c>
      <c r="D3436" s="33" t="s">
        <v>2540</v>
      </c>
      <c r="E3436" s="33">
        <v>1</v>
      </c>
      <c r="F3436" s="33"/>
      <c r="G3436" s="522"/>
      <c r="H3436" s="707"/>
      <c r="I3436" s="707">
        <f t="shared" si="106"/>
        <v>0</v>
      </c>
      <c r="J3436" s="707">
        <f t="shared" si="107"/>
        <v>0</v>
      </c>
      <c r="K3436" s="70"/>
    </row>
    <row r="3437" spans="1:11" ht="24" customHeight="1">
      <c r="A3437" s="222" t="s">
        <v>2038</v>
      </c>
      <c r="B3437" s="222" t="s">
        <v>41</v>
      </c>
      <c r="C3437" s="33">
        <v>136</v>
      </c>
      <c r="D3437" s="33" t="s">
        <v>2026</v>
      </c>
      <c r="E3437" s="33">
        <v>3</v>
      </c>
      <c r="F3437" s="33"/>
      <c r="G3437" s="522"/>
      <c r="H3437" s="707">
        <v>0.5</v>
      </c>
      <c r="I3437" s="707">
        <f t="shared" si="106"/>
        <v>0.57499999999999996</v>
      </c>
      <c r="J3437" s="707">
        <f t="shared" si="107"/>
        <v>0.65</v>
      </c>
      <c r="K3437" s="70"/>
    </row>
    <row r="3438" spans="1:11" ht="24" customHeight="1">
      <c r="A3438" s="222" t="s">
        <v>2049</v>
      </c>
      <c r="B3438" s="222" t="s">
        <v>27</v>
      </c>
      <c r="C3438" s="33">
        <v>10</v>
      </c>
      <c r="D3438" s="33" t="s">
        <v>2026</v>
      </c>
      <c r="E3438" s="33">
        <v>4</v>
      </c>
      <c r="F3438" s="33"/>
      <c r="G3438" s="522"/>
      <c r="H3438" s="707"/>
      <c r="I3438" s="707">
        <f t="shared" si="106"/>
        <v>0</v>
      </c>
      <c r="J3438" s="707">
        <f t="shared" si="107"/>
        <v>0</v>
      </c>
      <c r="K3438" s="70"/>
    </row>
    <row r="3439" spans="1:11" ht="24" customHeight="1">
      <c r="A3439" s="222" t="s">
        <v>1386</v>
      </c>
      <c r="B3439" s="222" t="s">
        <v>27</v>
      </c>
      <c r="C3439" s="33">
        <v>9</v>
      </c>
      <c r="D3439" s="33" t="s">
        <v>1372</v>
      </c>
      <c r="E3439" s="33">
        <v>3</v>
      </c>
      <c r="F3439" s="33"/>
      <c r="G3439" s="522"/>
      <c r="H3439" s="707"/>
      <c r="I3439" s="707">
        <f t="shared" si="106"/>
        <v>0</v>
      </c>
      <c r="J3439" s="707">
        <f t="shared" si="107"/>
        <v>0</v>
      </c>
      <c r="K3439" s="70"/>
    </row>
    <row r="3440" spans="1:11" ht="24" customHeight="1">
      <c r="A3440" s="235" t="s">
        <v>3250</v>
      </c>
      <c r="B3440" s="235" t="s">
        <v>27</v>
      </c>
      <c r="C3440" s="59">
        <v>2</v>
      </c>
      <c r="D3440" s="33" t="s">
        <v>3053</v>
      </c>
      <c r="E3440" s="354">
        <v>5</v>
      </c>
      <c r="F3440" s="354"/>
      <c r="G3440" s="688"/>
      <c r="H3440" s="707"/>
      <c r="I3440" s="707">
        <f t="shared" si="106"/>
        <v>0</v>
      </c>
      <c r="J3440" s="707">
        <f t="shared" si="107"/>
        <v>0</v>
      </c>
      <c r="K3440" s="70"/>
    </row>
    <row r="3441" spans="1:11" ht="24" customHeight="1">
      <c r="A3441" s="222" t="s">
        <v>1383</v>
      </c>
      <c r="B3441" s="222" t="s">
        <v>41</v>
      </c>
      <c r="C3441" s="33">
        <v>31</v>
      </c>
      <c r="D3441" s="33" t="s">
        <v>1372</v>
      </c>
      <c r="E3441" s="33">
        <v>3</v>
      </c>
      <c r="F3441" s="33"/>
      <c r="G3441" s="522"/>
      <c r="H3441" s="707"/>
      <c r="I3441" s="707">
        <f t="shared" si="106"/>
        <v>0</v>
      </c>
      <c r="J3441" s="707">
        <f t="shared" si="107"/>
        <v>0</v>
      </c>
      <c r="K3441" s="70"/>
    </row>
    <row r="3442" spans="1:11" ht="24" customHeight="1">
      <c r="A3442" s="222" t="s">
        <v>1383</v>
      </c>
      <c r="B3442" s="222" t="s">
        <v>27</v>
      </c>
      <c r="C3442" s="33">
        <v>10</v>
      </c>
      <c r="D3442" s="33" t="s">
        <v>1372</v>
      </c>
      <c r="E3442" s="33">
        <v>3</v>
      </c>
      <c r="F3442" s="33"/>
      <c r="G3442" s="522"/>
      <c r="H3442" s="707"/>
      <c r="I3442" s="707">
        <f t="shared" si="106"/>
        <v>0</v>
      </c>
      <c r="J3442" s="707">
        <f t="shared" si="107"/>
        <v>0</v>
      </c>
      <c r="K3442" s="70"/>
    </row>
    <row r="3443" spans="1:11" ht="24" customHeight="1">
      <c r="A3443" s="222" t="s">
        <v>1149</v>
      </c>
      <c r="B3443" s="222" t="s">
        <v>27</v>
      </c>
      <c r="C3443" s="33">
        <v>250</v>
      </c>
      <c r="D3443" s="33" t="s">
        <v>1141</v>
      </c>
      <c r="E3443" s="33">
        <v>1</v>
      </c>
      <c r="F3443" s="33"/>
      <c r="G3443" s="522"/>
      <c r="H3443" s="707">
        <v>1</v>
      </c>
      <c r="I3443" s="707">
        <f t="shared" si="106"/>
        <v>1.1499999999999999</v>
      </c>
      <c r="J3443" s="707">
        <f t="shared" si="107"/>
        <v>1.3</v>
      </c>
      <c r="K3443" s="70"/>
    </row>
    <row r="3444" spans="1:11" ht="24" customHeight="1">
      <c r="A3444" s="222" t="s">
        <v>1026</v>
      </c>
      <c r="B3444" s="222" t="s">
        <v>41</v>
      </c>
      <c r="C3444" s="33">
        <v>212</v>
      </c>
      <c r="D3444" s="33" t="s">
        <v>992</v>
      </c>
      <c r="E3444" s="33">
        <v>3</v>
      </c>
      <c r="F3444" s="33"/>
      <c r="G3444" s="522"/>
      <c r="H3444" s="707"/>
      <c r="I3444" s="707">
        <f t="shared" si="106"/>
        <v>0</v>
      </c>
      <c r="J3444" s="707">
        <f t="shared" si="107"/>
        <v>0</v>
      </c>
      <c r="K3444" s="70"/>
    </row>
    <row r="3445" spans="1:11" ht="24" customHeight="1">
      <c r="A3445" s="222" t="s">
        <v>1340</v>
      </c>
      <c r="B3445" s="222" t="s">
        <v>27</v>
      </c>
      <c r="C3445" s="33">
        <v>43</v>
      </c>
      <c r="D3445" s="33" t="s">
        <v>1325</v>
      </c>
      <c r="E3445" s="33">
        <v>1</v>
      </c>
      <c r="F3445" s="33"/>
      <c r="G3445" s="522"/>
      <c r="H3445" s="707">
        <v>0.5</v>
      </c>
      <c r="I3445" s="707">
        <f t="shared" si="106"/>
        <v>0.57499999999999996</v>
      </c>
      <c r="J3445" s="707">
        <f t="shared" si="107"/>
        <v>0.65</v>
      </c>
      <c r="K3445" s="70"/>
    </row>
    <row r="3446" spans="1:11" ht="24" customHeight="1">
      <c r="A3446" s="222" t="s">
        <v>1340</v>
      </c>
      <c r="B3446" s="222" t="s">
        <v>27</v>
      </c>
      <c r="C3446" s="33">
        <v>180</v>
      </c>
      <c r="D3446" s="33" t="s">
        <v>1325</v>
      </c>
      <c r="E3446" s="33">
        <v>2</v>
      </c>
      <c r="F3446" s="33"/>
      <c r="G3446" s="522"/>
      <c r="H3446" s="707">
        <v>0.5</v>
      </c>
      <c r="I3446" s="707">
        <f t="shared" si="106"/>
        <v>0.57499999999999996</v>
      </c>
      <c r="J3446" s="707">
        <f t="shared" si="107"/>
        <v>0.65</v>
      </c>
      <c r="K3446" s="70"/>
    </row>
    <row r="3447" spans="1:11" ht="24" customHeight="1">
      <c r="A3447" s="222" t="s">
        <v>1344</v>
      </c>
      <c r="B3447" s="222" t="s">
        <v>27</v>
      </c>
      <c r="C3447" s="33">
        <v>96</v>
      </c>
      <c r="D3447" s="33" t="s">
        <v>1325</v>
      </c>
      <c r="E3447" s="33">
        <v>1</v>
      </c>
      <c r="F3447" s="33"/>
      <c r="G3447" s="522"/>
      <c r="H3447" s="707">
        <v>0.5</v>
      </c>
      <c r="I3447" s="707">
        <f t="shared" si="106"/>
        <v>0.57499999999999996</v>
      </c>
      <c r="J3447" s="707">
        <f t="shared" si="107"/>
        <v>0.65</v>
      </c>
      <c r="K3447" s="70"/>
    </row>
    <row r="3448" spans="1:11" ht="24" customHeight="1">
      <c r="A3448" s="222" t="s">
        <v>1211</v>
      </c>
      <c r="B3448" s="222" t="s">
        <v>27</v>
      </c>
      <c r="C3448" s="33">
        <v>4</v>
      </c>
      <c r="D3448" s="33" t="s">
        <v>1201</v>
      </c>
      <c r="E3448" s="33">
        <v>3</v>
      </c>
      <c r="F3448" s="33"/>
      <c r="G3448" s="522"/>
      <c r="H3448" s="707"/>
      <c r="I3448" s="707">
        <f t="shared" si="106"/>
        <v>0</v>
      </c>
      <c r="J3448" s="707">
        <f t="shared" si="107"/>
        <v>0</v>
      </c>
      <c r="K3448" s="70"/>
    </row>
    <row r="3449" spans="1:11" ht="24" customHeight="1">
      <c r="A3449" s="233" t="s">
        <v>2805</v>
      </c>
      <c r="B3449" s="233" t="s">
        <v>27</v>
      </c>
      <c r="C3449" s="3">
        <v>220</v>
      </c>
      <c r="D3449" s="58" t="s">
        <v>2802</v>
      </c>
      <c r="E3449" s="33">
        <v>2</v>
      </c>
      <c r="F3449" s="33"/>
      <c r="G3449" s="522"/>
      <c r="H3449" s="707"/>
      <c r="I3449" s="707">
        <f t="shared" si="106"/>
        <v>0</v>
      </c>
      <c r="J3449" s="707">
        <f t="shared" si="107"/>
        <v>0</v>
      </c>
      <c r="K3449" s="70"/>
    </row>
    <row r="3450" spans="1:11" ht="24" customHeight="1">
      <c r="A3450" s="222" t="s">
        <v>2805</v>
      </c>
      <c r="B3450" s="222" t="s">
        <v>27</v>
      </c>
      <c r="C3450" s="33">
        <v>195</v>
      </c>
      <c r="D3450" s="33" t="s">
        <v>3279</v>
      </c>
      <c r="E3450" s="33">
        <v>3</v>
      </c>
      <c r="F3450" s="33"/>
      <c r="G3450" s="522"/>
      <c r="H3450" s="707"/>
      <c r="I3450" s="707">
        <f t="shared" si="106"/>
        <v>0</v>
      </c>
      <c r="J3450" s="707">
        <f t="shared" si="107"/>
        <v>0</v>
      </c>
      <c r="K3450" s="70"/>
    </row>
    <row r="3451" spans="1:11" ht="24" customHeight="1">
      <c r="A3451" s="222" t="s">
        <v>1329</v>
      </c>
      <c r="B3451" s="222" t="s">
        <v>27</v>
      </c>
      <c r="C3451" s="33">
        <v>66</v>
      </c>
      <c r="D3451" s="33" t="s">
        <v>1325</v>
      </c>
      <c r="E3451" s="33">
        <v>1</v>
      </c>
      <c r="F3451" s="33"/>
      <c r="G3451" s="522"/>
      <c r="H3451" s="707"/>
      <c r="I3451" s="707">
        <f t="shared" si="106"/>
        <v>0</v>
      </c>
      <c r="J3451" s="707">
        <f t="shared" si="107"/>
        <v>0</v>
      </c>
      <c r="K3451" s="70"/>
    </row>
    <row r="3452" spans="1:11" ht="24" customHeight="1">
      <c r="A3452" s="222" t="s">
        <v>1361</v>
      </c>
      <c r="B3452" s="222" t="s">
        <v>27</v>
      </c>
      <c r="C3452" s="33">
        <v>26</v>
      </c>
      <c r="D3452" s="33" t="s">
        <v>1325</v>
      </c>
      <c r="E3452" s="33">
        <v>2</v>
      </c>
      <c r="F3452" s="33"/>
      <c r="G3452" s="522"/>
      <c r="H3452" s="707"/>
      <c r="I3452" s="707">
        <f t="shared" si="106"/>
        <v>0</v>
      </c>
      <c r="J3452" s="707">
        <f t="shared" si="107"/>
        <v>0</v>
      </c>
      <c r="K3452" s="70"/>
    </row>
    <row r="3453" spans="1:11" ht="24" customHeight="1">
      <c r="A3453" s="222" t="s">
        <v>2051</v>
      </c>
      <c r="B3453" s="222" t="s">
        <v>27</v>
      </c>
      <c r="C3453" s="33">
        <v>14</v>
      </c>
      <c r="D3453" s="33" t="s">
        <v>2026</v>
      </c>
      <c r="E3453" s="33">
        <v>4</v>
      </c>
      <c r="F3453" s="33"/>
      <c r="G3453" s="522"/>
      <c r="H3453" s="707"/>
      <c r="I3453" s="707">
        <f t="shared" si="106"/>
        <v>0</v>
      </c>
      <c r="J3453" s="707">
        <f t="shared" si="107"/>
        <v>0</v>
      </c>
      <c r="K3453" s="70"/>
    </row>
    <row r="3454" spans="1:11" ht="24" customHeight="1">
      <c r="A3454" s="33" t="s">
        <v>1956</v>
      </c>
      <c r="B3454" s="33" t="s">
        <v>27</v>
      </c>
      <c r="C3454" s="33">
        <v>2</v>
      </c>
      <c r="D3454" s="33" t="s">
        <v>1938</v>
      </c>
      <c r="E3454" s="33">
        <v>1</v>
      </c>
      <c r="F3454" s="33"/>
      <c r="G3454" s="522"/>
      <c r="H3454" s="707"/>
      <c r="I3454" s="707">
        <f t="shared" si="106"/>
        <v>0</v>
      </c>
      <c r="J3454" s="707">
        <f t="shared" si="107"/>
        <v>0</v>
      </c>
      <c r="K3454" s="70"/>
    </row>
    <row r="3455" spans="1:11" ht="24" customHeight="1">
      <c r="A3455" s="33" t="s">
        <v>1502</v>
      </c>
      <c r="B3455" s="33" t="s">
        <v>27</v>
      </c>
      <c r="C3455" s="33">
        <v>68</v>
      </c>
      <c r="D3455" s="33" t="s">
        <v>1494</v>
      </c>
      <c r="E3455" s="33">
        <v>1</v>
      </c>
      <c r="F3455" s="33"/>
      <c r="G3455" s="522"/>
      <c r="H3455" s="707"/>
      <c r="I3455" s="707">
        <f t="shared" si="106"/>
        <v>0</v>
      </c>
      <c r="J3455" s="707">
        <f t="shared" si="107"/>
        <v>0</v>
      </c>
      <c r="K3455" s="70"/>
    </row>
    <row r="3456" spans="1:11" ht="24" customHeight="1">
      <c r="A3456" s="33" t="s">
        <v>1503</v>
      </c>
      <c r="B3456" s="33" t="s">
        <v>27</v>
      </c>
      <c r="C3456" s="33">
        <v>1</v>
      </c>
      <c r="D3456" s="33" t="s">
        <v>1494</v>
      </c>
      <c r="E3456" s="33">
        <v>1</v>
      </c>
      <c r="F3456" s="33"/>
      <c r="G3456" s="522"/>
      <c r="H3456" s="707"/>
      <c r="I3456" s="707">
        <f t="shared" si="106"/>
        <v>0</v>
      </c>
      <c r="J3456" s="707">
        <f t="shared" si="107"/>
        <v>0</v>
      </c>
      <c r="K3456" s="70"/>
    </row>
    <row r="3457" spans="1:11" ht="24" customHeight="1">
      <c r="A3457" s="33" t="s">
        <v>1153</v>
      </c>
      <c r="B3457" s="33" t="s">
        <v>27</v>
      </c>
      <c r="C3457" s="33">
        <v>72</v>
      </c>
      <c r="D3457" s="33" t="s">
        <v>1141</v>
      </c>
      <c r="E3457" s="33">
        <v>1</v>
      </c>
      <c r="F3457" s="33"/>
      <c r="G3457" s="522"/>
      <c r="H3457" s="707"/>
      <c r="I3457" s="707">
        <f t="shared" si="106"/>
        <v>0</v>
      </c>
      <c r="J3457" s="707">
        <f t="shared" si="107"/>
        <v>0</v>
      </c>
      <c r="K3457" s="70"/>
    </row>
    <row r="3458" spans="1:11" ht="24" customHeight="1">
      <c r="A3458" s="33" t="s">
        <v>1153</v>
      </c>
      <c r="B3458" s="33" t="s">
        <v>27</v>
      </c>
      <c r="C3458" s="33">
        <v>97</v>
      </c>
      <c r="D3458" s="33" t="s">
        <v>1141</v>
      </c>
      <c r="E3458" s="33">
        <v>1</v>
      </c>
      <c r="F3458" s="33"/>
      <c r="G3458" s="522"/>
      <c r="H3458" s="707"/>
      <c r="I3458" s="707">
        <f t="shared" si="106"/>
        <v>0</v>
      </c>
      <c r="J3458" s="707">
        <f t="shared" si="107"/>
        <v>0</v>
      </c>
      <c r="K3458" s="70"/>
    </row>
    <row r="3459" spans="1:11" ht="24" customHeight="1">
      <c r="A3459" s="33" t="s">
        <v>976</v>
      </c>
      <c r="B3459" s="33" t="s">
        <v>19</v>
      </c>
      <c r="C3459" s="33">
        <v>19</v>
      </c>
      <c r="D3459" s="33" t="s">
        <v>910</v>
      </c>
      <c r="E3459" s="33">
        <v>2</v>
      </c>
      <c r="F3459" s="33"/>
      <c r="G3459" s="522"/>
      <c r="H3459" s="707"/>
      <c r="I3459" s="707">
        <f t="shared" ref="I3459:I3522" si="108">H3459 * 1.15</f>
        <v>0</v>
      </c>
      <c r="J3459" s="707">
        <f t="shared" ref="J3459:J3522" si="109">H3459 * 1.3</f>
        <v>0</v>
      </c>
      <c r="K3459" s="70"/>
    </row>
    <row r="3460" spans="1:11" ht="24" customHeight="1">
      <c r="A3460" s="33" t="s">
        <v>1563</v>
      </c>
      <c r="B3460" s="33" t="s">
        <v>19</v>
      </c>
      <c r="C3460" s="33">
        <v>25</v>
      </c>
      <c r="D3460" s="33" t="s">
        <v>1548</v>
      </c>
      <c r="E3460" s="33">
        <v>3</v>
      </c>
      <c r="F3460" s="33"/>
      <c r="G3460" s="522"/>
      <c r="H3460" s="707">
        <v>1</v>
      </c>
      <c r="I3460" s="707">
        <f t="shared" si="108"/>
        <v>1.1499999999999999</v>
      </c>
      <c r="J3460" s="707">
        <f t="shared" si="109"/>
        <v>1.3</v>
      </c>
      <c r="K3460" s="70"/>
    </row>
    <row r="3461" spans="1:11" ht="24" customHeight="1">
      <c r="A3461" s="33" t="s">
        <v>1378</v>
      </c>
      <c r="B3461" s="33" t="s">
        <v>19</v>
      </c>
      <c r="C3461" s="33">
        <v>320</v>
      </c>
      <c r="D3461" s="33" t="s">
        <v>1372</v>
      </c>
      <c r="E3461" s="33">
        <v>3</v>
      </c>
      <c r="F3461" s="33"/>
      <c r="G3461" s="522"/>
      <c r="H3461" s="707">
        <v>2</v>
      </c>
      <c r="I3461" s="707">
        <f t="shared" si="108"/>
        <v>2.2999999999999998</v>
      </c>
      <c r="J3461" s="707">
        <f t="shared" si="109"/>
        <v>2.6</v>
      </c>
      <c r="K3461" s="70"/>
    </row>
    <row r="3462" spans="1:11" ht="24" customHeight="1">
      <c r="A3462" s="33" t="s">
        <v>1378</v>
      </c>
      <c r="B3462" s="33" t="s">
        <v>19</v>
      </c>
      <c r="C3462" s="33">
        <v>700</v>
      </c>
      <c r="D3462" s="33" t="s">
        <v>2363</v>
      </c>
      <c r="E3462" s="33">
        <v>3</v>
      </c>
      <c r="F3462" s="33"/>
      <c r="G3462" s="522"/>
      <c r="H3462" s="707">
        <v>2</v>
      </c>
      <c r="I3462" s="707">
        <f t="shared" si="108"/>
        <v>2.2999999999999998</v>
      </c>
      <c r="J3462" s="707">
        <f t="shared" si="109"/>
        <v>2.6</v>
      </c>
      <c r="K3462" s="70"/>
    </row>
    <row r="3463" spans="1:11" ht="24" customHeight="1">
      <c r="A3463" s="33" t="s">
        <v>1378</v>
      </c>
      <c r="B3463" s="33" t="s">
        <v>19</v>
      </c>
      <c r="C3463" s="33">
        <v>4</v>
      </c>
      <c r="D3463" s="33" t="s">
        <v>2540</v>
      </c>
      <c r="E3463" s="33">
        <v>2</v>
      </c>
      <c r="F3463" s="33"/>
      <c r="G3463" s="522"/>
      <c r="H3463" s="707"/>
      <c r="I3463" s="707">
        <f t="shared" si="108"/>
        <v>0</v>
      </c>
      <c r="J3463" s="707">
        <f t="shared" si="109"/>
        <v>0</v>
      </c>
      <c r="K3463" s="70"/>
    </row>
    <row r="3464" spans="1:11" ht="24" customHeight="1">
      <c r="A3464" s="33" t="s">
        <v>1378</v>
      </c>
      <c r="B3464" s="33" t="s">
        <v>19</v>
      </c>
      <c r="C3464" s="33">
        <v>4100</v>
      </c>
      <c r="D3464" s="33" t="s">
        <v>3348</v>
      </c>
      <c r="E3464" s="33">
        <v>4</v>
      </c>
      <c r="F3464" s="33"/>
      <c r="G3464" s="522"/>
      <c r="H3464" s="707">
        <v>2</v>
      </c>
      <c r="I3464" s="707">
        <f t="shared" si="108"/>
        <v>2.2999999999999998</v>
      </c>
      <c r="J3464" s="707">
        <f t="shared" si="109"/>
        <v>2.6</v>
      </c>
      <c r="K3464" s="70"/>
    </row>
    <row r="3465" spans="1:11" ht="24" customHeight="1">
      <c r="A3465" s="33" t="s">
        <v>1583</v>
      </c>
      <c r="B3465" s="33" t="s">
        <v>19</v>
      </c>
      <c r="C3465" s="33">
        <v>3</v>
      </c>
      <c r="D3465" s="33" t="s">
        <v>1548</v>
      </c>
      <c r="E3465" s="33">
        <v>3</v>
      </c>
      <c r="F3465" s="33"/>
      <c r="G3465" s="522"/>
      <c r="H3465" s="707">
        <v>1</v>
      </c>
      <c r="I3465" s="707">
        <f t="shared" si="108"/>
        <v>1.1499999999999999</v>
      </c>
      <c r="J3465" s="707">
        <f t="shared" si="109"/>
        <v>1.3</v>
      </c>
      <c r="K3465" s="70"/>
    </row>
    <row r="3466" spans="1:11" ht="24" customHeight="1">
      <c r="A3466" s="33" t="s">
        <v>1583</v>
      </c>
      <c r="B3466" s="33" t="s">
        <v>19</v>
      </c>
      <c r="C3466" s="33">
        <v>677</v>
      </c>
      <c r="D3466" s="33" t="s">
        <v>2026</v>
      </c>
      <c r="E3466" s="33">
        <v>3</v>
      </c>
      <c r="F3466" s="33"/>
      <c r="G3466" s="522"/>
      <c r="H3466" s="707">
        <v>1</v>
      </c>
      <c r="I3466" s="707">
        <f t="shared" si="108"/>
        <v>1.1499999999999999</v>
      </c>
      <c r="J3466" s="707">
        <f t="shared" si="109"/>
        <v>1.3</v>
      </c>
      <c r="K3466" s="70"/>
    </row>
    <row r="3467" spans="1:11" ht="24" customHeight="1">
      <c r="A3467" s="33" t="s">
        <v>1583</v>
      </c>
      <c r="B3467" s="33" t="s">
        <v>19</v>
      </c>
      <c r="C3467" s="33">
        <v>369</v>
      </c>
      <c r="D3467" s="71" t="s">
        <v>2947</v>
      </c>
      <c r="E3467" s="33">
        <v>4</v>
      </c>
      <c r="F3467" s="33"/>
      <c r="G3467" s="522"/>
      <c r="H3467" s="707">
        <v>1</v>
      </c>
      <c r="I3467" s="707">
        <f t="shared" si="108"/>
        <v>1.1499999999999999</v>
      </c>
      <c r="J3467" s="707">
        <f t="shared" si="109"/>
        <v>1.3</v>
      </c>
      <c r="K3467" s="70"/>
    </row>
    <row r="3468" spans="1:11" ht="24" customHeight="1">
      <c r="A3468" s="33" t="s">
        <v>3102</v>
      </c>
      <c r="B3468" s="71" t="s">
        <v>19</v>
      </c>
      <c r="C3468" s="71">
        <v>300</v>
      </c>
      <c r="D3468" s="33" t="s">
        <v>3053</v>
      </c>
      <c r="E3468" s="71">
        <v>3</v>
      </c>
      <c r="F3468" s="71"/>
      <c r="G3468" s="686"/>
      <c r="H3468" s="709"/>
      <c r="I3468" s="709">
        <f t="shared" si="108"/>
        <v>0</v>
      </c>
      <c r="J3468" s="709">
        <f t="shared" si="109"/>
        <v>0</v>
      </c>
      <c r="K3468" s="70"/>
    </row>
    <row r="3469" spans="1:11" ht="24" customHeight="1">
      <c r="A3469" s="33" t="s">
        <v>1590</v>
      </c>
      <c r="B3469" s="33" t="s">
        <v>19</v>
      </c>
      <c r="C3469" s="33">
        <v>1</v>
      </c>
      <c r="D3469" s="33" t="s">
        <v>1548</v>
      </c>
      <c r="E3469" s="33">
        <v>3</v>
      </c>
      <c r="F3469" s="33"/>
      <c r="G3469" s="522"/>
      <c r="H3469" s="707"/>
      <c r="I3469" s="707">
        <f t="shared" si="108"/>
        <v>0</v>
      </c>
      <c r="J3469" s="707">
        <f t="shared" si="109"/>
        <v>0</v>
      </c>
      <c r="K3469" s="70"/>
    </row>
    <row r="3470" spans="1:11" ht="24" customHeight="1">
      <c r="A3470" s="33" t="s">
        <v>1377</v>
      </c>
      <c r="B3470" s="33" t="s">
        <v>19</v>
      </c>
      <c r="C3470" s="33">
        <v>200</v>
      </c>
      <c r="D3470" s="33" t="s">
        <v>1372</v>
      </c>
      <c r="E3470" s="33">
        <v>3</v>
      </c>
      <c r="F3470" s="33"/>
      <c r="G3470" s="522"/>
      <c r="H3470" s="707"/>
      <c r="I3470" s="707">
        <f t="shared" si="108"/>
        <v>0</v>
      </c>
      <c r="J3470" s="707">
        <f t="shared" si="109"/>
        <v>0</v>
      </c>
      <c r="K3470" s="70"/>
    </row>
    <row r="3471" spans="1:11" ht="24" customHeight="1">
      <c r="A3471" s="33" t="s">
        <v>1364</v>
      </c>
      <c r="B3471" s="33" t="s">
        <v>19</v>
      </c>
      <c r="C3471" s="33">
        <v>99</v>
      </c>
      <c r="D3471" s="33" t="s">
        <v>1325</v>
      </c>
      <c r="E3471" s="33">
        <v>2</v>
      </c>
      <c r="F3471" s="33"/>
      <c r="G3471" s="522"/>
      <c r="H3471" s="707">
        <v>7</v>
      </c>
      <c r="I3471" s="707">
        <f t="shared" si="108"/>
        <v>8.0499999999999989</v>
      </c>
      <c r="J3471" s="707">
        <f t="shared" si="109"/>
        <v>9.1</v>
      </c>
      <c r="K3471" s="70"/>
    </row>
    <row r="3472" spans="1:11" ht="24" customHeight="1">
      <c r="A3472" s="33" t="s">
        <v>1551</v>
      </c>
      <c r="B3472" s="33" t="s">
        <v>19</v>
      </c>
      <c r="C3472" s="33">
        <v>81</v>
      </c>
      <c r="D3472" s="33" t="s">
        <v>1548</v>
      </c>
      <c r="E3472" s="33">
        <v>3</v>
      </c>
      <c r="F3472" s="33"/>
      <c r="G3472" s="522"/>
      <c r="H3472" s="707"/>
      <c r="I3472" s="707">
        <f t="shared" si="108"/>
        <v>0</v>
      </c>
      <c r="J3472" s="707">
        <f t="shared" si="109"/>
        <v>0</v>
      </c>
      <c r="K3472" s="70"/>
    </row>
    <row r="3473" spans="1:11" ht="24" customHeight="1">
      <c r="A3473" s="33" t="s">
        <v>1418</v>
      </c>
      <c r="B3473" s="33" t="s">
        <v>19</v>
      </c>
      <c r="C3473" s="33">
        <v>472</v>
      </c>
      <c r="D3473" s="33" t="s">
        <v>1372</v>
      </c>
      <c r="E3473" s="33">
        <v>4</v>
      </c>
      <c r="F3473" s="33"/>
      <c r="G3473" s="522"/>
      <c r="H3473" s="707"/>
      <c r="I3473" s="707">
        <f t="shared" si="108"/>
        <v>0</v>
      </c>
      <c r="J3473" s="707">
        <f t="shared" si="109"/>
        <v>0</v>
      </c>
      <c r="K3473" s="70"/>
    </row>
    <row r="3474" spans="1:11" ht="24" customHeight="1">
      <c r="A3474" s="33" t="s">
        <v>1418</v>
      </c>
      <c r="B3474" s="33" t="s">
        <v>19</v>
      </c>
      <c r="C3474" s="33">
        <v>247</v>
      </c>
      <c r="D3474" s="33" t="s">
        <v>3279</v>
      </c>
      <c r="E3474" s="33">
        <v>4</v>
      </c>
      <c r="F3474" s="33"/>
      <c r="G3474" s="522"/>
      <c r="H3474" s="707"/>
      <c r="I3474" s="707">
        <f t="shared" si="108"/>
        <v>0</v>
      </c>
      <c r="J3474" s="707">
        <f t="shared" si="109"/>
        <v>0</v>
      </c>
      <c r="K3474" s="70"/>
    </row>
    <row r="3475" spans="1:11" ht="24" customHeight="1">
      <c r="A3475" s="33" t="s">
        <v>1077</v>
      </c>
      <c r="B3475" s="33" t="s">
        <v>19</v>
      </c>
      <c r="C3475" s="33">
        <v>1386</v>
      </c>
      <c r="D3475" s="33" t="s">
        <v>992</v>
      </c>
      <c r="E3475" s="33">
        <v>4</v>
      </c>
      <c r="F3475" s="33"/>
      <c r="G3475" s="522"/>
      <c r="H3475" s="707">
        <v>1.5</v>
      </c>
      <c r="I3475" s="707">
        <f t="shared" si="108"/>
        <v>1.7249999999999999</v>
      </c>
      <c r="J3475" s="707">
        <f t="shared" si="109"/>
        <v>1.9500000000000002</v>
      </c>
      <c r="K3475" s="70"/>
    </row>
    <row r="3476" spans="1:11" ht="24" customHeight="1">
      <c r="A3476" s="33" t="s">
        <v>3199</v>
      </c>
      <c r="B3476" s="71" t="s">
        <v>19</v>
      </c>
      <c r="C3476" s="71">
        <v>100</v>
      </c>
      <c r="D3476" s="33" t="s">
        <v>3053</v>
      </c>
      <c r="E3476" s="71">
        <v>4</v>
      </c>
      <c r="F3476" s="71"/>
      <c r="G3476" s="686"/>
      <c r="H3476" s="707"/>
      <c r="I3476" s="707">
        <f t="shared" si="108"/>
        <v>0</v>
      </c>
      <c r="J3476" s="707">
        <f t="shared" si="109"/>
        <v>0</v>
      </c>
      <c r="K3476" s="70"/>
    </row>
    <row r="3477" spans="1:11" ht="24" customHeight="1">
      <c r="A3477" s="17" t="s">
        <v>1755</v>
      </c>
      <c r="B3477" s="17" t="s">
        <v>21</v>
      </c>
      <c r="C3477" s="17">
        <v>12</v>
      </c>
      <c r="D3477" s="131" t="s">
        <v>1723</v>
      </c>
      <c r="E3477" s="15">
        <v>1</v>
      </c>
      <c r="F3477" s="15"/>
      <c r="G3477" s="684"/>
      <c r="H3477" s="708"/>
      <c r="I3477" s="707">
        <f t="shared" si="108"/>
        <v>0</v>
      </c>
      <c r="J3477" s="708">
        <f t="shared" si="109"/>
        <v>0</v>
      </c>
      <c r="K3477" s="70"/>
    </row>
    <row r="3478" spans="1:11" ht="24" customHeight="1">
      <c r="A3478" s="74" t="s">
        <v>1755</v>
      </c>
      <c r="B3478" s="74" t="s">
        <v>41</v>
      </c>
      <c r="C3478" s="74">
        <v>1</v>
      </c>
      <c r="D3478" s="33" t="s">
        <v>2363</v>
      </c>
      <c r="E3478" s="33">
        <v>5</v>
      </c>
      <c r="F3478" s="33"/>
      <c r="G3478" s="522"/>
      <c r="H3478" s="707"/>
      <c r="I3478" s="707">
        <f t="shared" si="108"/>
        <v>0</v>
      </c>
      <c r="J3478" s="707">
        <f t="shared" si="109"/>
        <v>0</v>
      </c>
      <c r="K3478" s="70"/>
    </row>
    <row r="3479" spans="1:11" ht="24" customHeight="1">
      <c r="A3479" s="17" t="s">
        <v>2842</v>
      </c>
      <c r="B3479" s="17" t="s">
        <v>21</v>
      </c>
      <c r="C3479" s="17">
        <v>96</v>
      </c>
      <c r="D3479" s="131" t="s">
        <v>2802</v>
      </c>
      <c r="E3479" s="15">
        <v>3</v>
      </c>
      <c r="F3479" s="15"/>
      <c r="G3479" s="684"/>
      <c r="H3479" s="707"/>
      <c r="I3479" s="707">
        <f t="shared" si="108"/>
        <v>0</v>
      </c>
      <c r="J3479" s="707">
        <f t="shared" si="109"/>
        <v>0</v>
      </c>
      <c r="K3479" s="70"/>
    </row>
    <row r="3480" spans="1:11" ht="24" customHeight="1">
      <c r="A3480" s="33" t="s">
        <v>3391</v>
      </c>
      <c r="B3480" s="33" t="s">
        <v>27</v>
      </c>
      <c r="C3480" s="33">
        <v>8</v>
      </c>
      <c r="D3480" s="33" t="s">
        <v>3348</v>
      </c>
      <c r="E3480" s="33">
        <v>4</v>
      </c>
      <c r="F3480" s="33"/>
      <c r="G3480" s="522"/>
      <c r="H3480" s="707"/>
      <c r="I3480" s="707">
        <f t="shared" si="108"/>
        <v>0</v>
      </c>
      <c r="J3480" s="707">
        <f t="shared" si="109"/>
        <v>0</v>
      </c>
      <c r="K3480" s="70"/>
    </row>
    <row r="3481" spans="1:11" ht="24" customHeight="1">
      <c r="A3481" s="33" t="s">
        <v>2547</v>
      </c>
      <c r="B3481" s="33" t="s">
        <v>41</v>
      </c>
      <c r="C3481" s="33">
        <v>24</v>
      </c>
      <c r="D3481" s="33" t="s">
        <v>2540</v>
      </c>
      <c r="E3481" s="33">
        <v>1</v>
      </c>
      <c r="F3481" s="33"/>
      <c r="G3481" s="522"/>
      <c r="H3481" s="707"/>
      <c r="I3481" s="707">
        <f t="shared" si="108"/>
        <v>0</v>
      </c>
      <c r="J3481" s="707">
        <f t="shared" si="109"/>
        <v>0</v>
      </c>
      <c r="K3481" s="70"/>
    </row>
    <row r="3482" spans="1:11" ht="24" customHeight="1">
      <c r="A3482" s="33" t="s">
        <v>1359</v>
      </c>
      <c r="B3482" s="33" t="s">
        <v>27</v>
      </c>
      <c r="C3482" s="33">
        <v>15</v>
      </c>
      <c r="D3482" s="33" t="s">
        <v>1325</v>
      </c>
      <c r="E3482" s="33">
        <v>2</v>
      </c>
      <c r="F3482" s="33"/>
      <c r="G3482" s="522"/>
      <c r="H3482" s="707"/>
      <c r="I3482" s="707">
        <f t="shared" si="108"/>
        <v>0</v>
      </c>
      <c r="J3482" s="707">
        <f t="shared" si="109"/>
        <v>0</v>
      </c>
      <c r="K3482" s="70"/>
    </row>
    <row r="3483" spans="1:11" ht="24" customHeight="1">
      <c r="A3483" s="33" t="s">
        <v>1610</v>
      </c>
      <c r="B3483" s="33" t="s">
        <v>27</v>
      </c>
      <c r="C3483" s="33">
        <v>9</v>
      </c>
      <c r="D3483" s="33" t="s">
        <v>1548</v>
      </c>
      <c r="E3483" s="33">
        <v>3</v>
      </c>
      <c r="F3483" s="33"/>
      <c r="G3483" s="522"/>
      <c r="H3483" s="707"/>
      <c r="I3483" s="707">
        <f t="shared" si="108"/>
        <v>0</v>
      </c>
      <c r="J3483" s="707">
        <f t="shared" si="109"/>
        <v>0</v>
      </c>
      <c r="K3483" s="70"/>
    </row>
    <row r="3484" spans="1:11" ht="24" customHeight="1">
      <c r="A3484" s="33" t="s">
        <v>2557</v>
      </c>
      <c r="B3484" s="33" t="s">
        <v>27</v>
      </c>
      <c r="C3484" s="33">
        <v>23</v>
      </c>
      <c r="D3484" s="33" t="s">
        <v>2540</v>
      </c>
      <c r="E3484" s="33">
        <v>1</v>
      </c>
      <c r="F3484" s="33"/>
      <c r="G3484" s="522"/>
      <c r="H3484" s="707"/>
      <c r="I3484" s="707">
        <f t="shared" si="108"/>
        <v>0</v>
      </c>
      <c r="J3484" s="707">
        <f t="shared" si="109"/>
        <v>0</v>
      </c>
      <c r="K3484" s="70"/>
    </row>
    <row r="3485" spans="1:11" ht="24" customHeight="1">
      <c r="A3485" s="33" t="s">
        <v>919</v>
      </c>
      <c r="B3485" s="33" t="s">
        <v>27</v>
      </c>
      <c r="C3485" s="33">
        <v>3</v>
      </c>
      <c r="D3485" s="33" t="s">
        <v>910</v>
      </c>
      <c r="E3485" s="33">
        <v>1</v>
      </c>
      <c r="F3485" s="33"/>
      <c r="G3485" s="522"/>
      <c r="H3485" s="711">
        <v>1</v>
      </c>
      <c r="I3485" s="711">
        <f t="shared" si="108"/>
        <v>1.1499999999999999</v>
      </c>
      <c r="J3485" s="711">
        <f t="shared" si="109"/>
        <v>1.3</v>
      </c>
      <c r="K3485" s="70"/>
    </row>
    <row r="3486" spans="1:11" ht="24" customHeight="1">
      <c r="A3486" s="33" t="s">
        <v>1611</v>
      </c>
      <c r="B3486" s="33" t="s">
        <v>27</v>
      </c>
      <c r="C3486" s="33">
        <v>90</v>
      </c>
      <c r="D3486" s="33" t="s">
        <v>1548</v>
      </c>
      <c r="E3486" s="33">
        <v>3</v>
      </c>
      <c r="F3486" s="33"/>
      <c r="G3486" s="522"/>
      <c r="H3486" s="707">
        <v>1</v>
      </c>
      <c r="I3486" s="707">
        <f t="shared" si="108"/>
        <v>1.1499999999999999</v>
      </c>
      <c r="J3486" s="707">
        <f t="shared" si="109"/>
        <v>1.3</v>
      </c>
      <c r="K3486" s="70"/>
    </row>
    <row r="3487" spans="1:11" ht="24" customHeight="1">
      <c r="A3487" s="2" t="s">
        <v>483</v>
      </c>
      <c r="B3487" s="2" t="s">
        <v>27</v>
      </c>
      <c r="C3487" s="2">
        <v>8</v>
      </c>
      <c r="D3487" s="2" t="s">
        <v>274</v>
      </c>
      <c r="E3487" s="33">
        <v>3</v>
      </c>
      <c r="F3487" s="33"/>
      <c r="G3487" s="522"/>
      <c r="H3487" s="707"/>
      <c r="I3487" s="707">
        <f t="shared" si="108"/>
        <v>0</v>
      </c>
      <c r="J3487" s="707">
        <f t="shared" si="109"/>
        <v>0</v>
      </c>
      <c r="K3487" s="70"/>
    </row>
    <row r="3488" spans="1:11" ht="24" customHeight="1">
      <c r="A3488" s="2" t="s">
        <v>482</v>
      </c>
      <c r="B3488" s="2" t="s">
        <v>27</v>
      </c>
      <c r="C3488" s="2">
        <v>8</v>
      </c>
      <c r="D3488" s="2" t="s">
        <v>274</v>
      </c>
      <c r="E3488" s="33">
        <v>3</v>
      </c>
      <c r="F3488" s="33"/>
      <c r="G3488" s="522"/>
      <c r="H3488" s="707"/>
      <c r="I3488" s="707">
        <f t="shared" si="108"/>
        <v>0</v>
      </c>
      <c r="J3488" s="707">
        <f t="shared" si="109"/>
        <v>0</v>
      </c>
      <c r="K3488" s="70"/>
    </row>
    <row r="3489" spans="1:11" ht="24" customHeight="1">
      <c r="A3489" s="33" t="s">
        <v>2050</v>
      </c>
      <c r="B3489" s="33" t="s">
        <v>27</v>
      </c>
      <c r="C3489" s="33">
        <v>33</v>
      </c>
      <c r="D3489" s="33" t="s">
        <v>2026</v>
      </c>
      <c r="E3489" s="33">
        <v>4</v>
      </c>
      <c r="F3489" s="33"/>
      <c r="G3489" s="522"/>
      <c r="H3489" s="707"/>
      <c r="I3489" s="707">
        <f t="shared" si="108"/>
        <v>0</v>
      </c>
      <c r="J3489" s="707">
        <f t="shared" si="109"/>
        <v>0</v>
      </c>
      <c r="K3489" s="70"/>
    </row>
    <row r="3490" spans="1:11" ht="24" customHeight="1">
      <c r="A3490" s="33" t="s">
        <v>2354</v>
      </c>
      <c r="B3490" s="33" t="s">
        <v>27</v>
      </c>
      <c r="C3490" s="33">
        <v>2</v>
      </c>
      <c r="D3490" s="33" t="s">
        <v>2276</v>
      </c>
      <c r="E3490" s="33">
        <v>1</v>
      </c>
      <c r="F3490" s="33"/>
      <c r="G3490" s="522"/>
      <c r="H3490" s="707"/>
      <c r="I3490" s="707">
        <f t="shared" si="108"/>
        <v>0</v>
      </c>
      <c r="J3490" s="707">
        <f t="shared" si="109"/>
        <v>0</v>
      </c>
      <c r="K3490" s="70"/>
    </row>
    <row r="3491" spans="1:11" ht="24" customHeight="1">
      <c r="A3491" s="33" t="s">
        <v>2558</v>
      </c>
      <c r="B3491" s="33" t="s">
        <v>27</v>
      </c>
      <c r="C3491" s="33">
        <v>1</v>
      </c>
      <c r="D3491" s="33" t="s">
        <v>2540</v>
      </c>
      <c r="E3491" s="33">
        <v>1</v>
      </c>
      <c r="F3491" s="33"/>
      <c r="G3491" s="522"/>
      <c r="H3491" s="707"/>
      <c r="I3491" s="707">
        <f t="shared" si="108"/>
        <v>0</v>
      </c>
      <c r="J3491" s="707">
        <f t="shared" si="109"/>
        <v>0</v>
      </c>
      <c r="K3491" s="70"/>
    </row>
    <row r="3492" spans="1:11" ht="24" customHeight="1">
      <c r="A3492" s="33" t="s">
        <v>3192</v>
      </c>
      <c r="B3492" s="71" t="s">
        <v>41</v>
      </c>
      <c r="C3492" s="71">
        <v>2</v>
      </c>
      <c r="D3492" s="33" t="s">
        <v>3053</v>
      </c>
      <c r="E3492" s="71">
        <v>4</v>
      </c>
      <c r="F3492" s="71"/>
      <c r="G3492" s="686"/>
      <c r="H3492" s="707"/>
      <c r="I3492" s="707">
        <f t="shared" si="108"/>
        <v>0</v>
      </c>
      <c r="J3492" s="707">
        <f t="shared" si="109"/>
        <v>0</v>
      </c>
      <c r="K3492" s="70"/>
    </row>
    <row r="3493" spans="1:11" ht="24" customHeight="1">
      <c r="A3493" s="33" t="s">
        <v>2357</v>
      </c>
      <c r="B3493" s="33" t="s">
        <v>27</v>
      </c>
      <c r="C3493" s="33">
        <v>5</v>
      </c>
      <c r="D3493" s="33" t="s">
        <v>2276</v>
      </c>
      <c r="E3493" s="33">
        <v>1</v>
      </c>
      <c r="F3493" s="33"/>
      <c r="G3493" s="522"/>
      <c r="H3493" s="707"/>
      <c r="I3493" s="707">
        <f t="shared" si="108"/>
        <v>0</v>
      </c>
      <c r="J3493" s="707">
        <f t="shared" si="109"/>
        <v>0</v>
      </c>
      <c r="K3493" s="70"/>
    </row>
    <row r="3494" spans="1:11" ht="24" customHeight="1">
      <c r="A3494" s="33" t="s">
        <v>1334</v>
      </c>
      <c r="B3494" s="33" t="s">
        <v>27</v>
      </c>
      <c r="C3494" s="33">
        <v>1</v>
      </c>
      <c r="D3494" s="33" t="s">
        <v>1325</v>
      </c>
      <c r="E3494" s="33">
        <v>1</v>
      </c>
      <c r="F3494" s="33"/>
      <c r="G3494" s="522"/>
      <c r="H3494" s="707"/>
      <c r="I3494" s="707">
        <f t="shared" si="108"/>
        <v>0</v>
      </c>
      <c r="J3494" s="707">
        <f t="shared" si="109"/>
        <v>0</v>
      </c>
      <c r="K3494" s="70"/>
    </row>
    <row r="3495" spans="1:11" ht="24" customHeight="1">
      <c r="A3495" s="33" t="s">
        <v>1347</v>
      </c>
      <c r="B3495" s="33" t="s">
        <v>27</v>
      </c>
      <c r="C3495" s="33">
        <v>8</v>
      </c>
      <c r="D3495" s="33" t="s">
        <v>1325</v>
      </c>
      <c r="E3495" s="33">
        <v>1</v>
      </c>
      <c r="F3495" s="33"/>
      <c r="G3495" s="522"/>
      <c r="H3495" s="707"/>
      <c r="I3495" s="707">
        <f t="shared" si="108"/>
        <v>0</v>
      </c>
      <c r="J3495" s="707">
        <f t="shared" si="109"/>
        <v>0</v>
      </c>
      <c r="K3495" s="70"/>
    </row>
    <row r="3496" spans="1:11" ht="24" customHeight="1">
      <c r="A3496" s="33" t="s">
        <v>1385</v>
      </c>
      <c r="B3496" s="33" t="s">
        <v>27</v>
      </c>
      <c r="C3496" s="33">
        <v>7</v>
      </c>
      <c r="D3496" s="33" t="s">
        <v>1372</v>
      </c>
      <c r="E3496" s="33">
        <v>3</v>
      </c>
      <c r="F3496" s="33"/>
      <c r="G3496" s="522"/>
      <c r="H3496" s="707"/>
      <c r="I3496" s="707">
        <f t="shared" si="108"/>
        <v>0</v>
      </c>
      <c r="J3496" s="707">
        <f t="shared" si="109"/>
        <v>0</v>
      </c>
      <c r="K3496" s="70"/>
    </row>
    <row r="3497" spans="1:11" ht="24" customHeight="1">
      <c r="A3497" s="33" t="s">
        <v>1331</v>
      </c>
      <c r="B3497" s="33" t="s">
        <v>27</v>
      </c>
      <c r="C3497" s="33">
        <v>100</v>
      </c>
      <c r="D3497" s="33" t="s">
        <v>1325</v>
      </c>
      <c r="E3497" s="33">
        <v>1</v>
      </c>
      <c r="F3497" s="33"/>
      <c r="G3497" s="522"/>
      <c r="H3497" s="707"/>
      <c r="I3497" s="707">
        <f t="shared" si="108"/>
        <v>0</v>
      </c>
      <c r="J3497" s="707">
        <f t="shared" si="109"/>
        <v>0</v>
      </c>
      <c r="K3497" s="70"/>
    </row>
    <row r="3498" spans="1:11" ht="24" customHeight="1">
      <c r="A3498" s="33" t="s">
        <v>1331</v>
      </c>
      <c r="B3498" s="33" t="s">
        <v>27</v>
      </c>
      <c r="C3498" s="33">
        <v>32</v>
      </c>
      <c r="D3498" s="33" t="s">
        <v>1325</v>
      </c>
      <c r="E3498" s="33">
        <v>1</v>
      </c>
      <c r="F3498" s="33"/>
      <c r="G3498" s="522"/>
      <c r="H3498" s="707"/>
      <c r="I3498" s="707">
        <f t="shared" si="108"/>
        <v>0</v>
      </c>
      <c r="J3498" s="707">
        <f t="shared" si="109"/>
        <v>0</v>
      </c>
      <c r="K3498" s="70"/>
    </row>
    <row r="3499" spans="1:11" ht="29.4" customHeight="1">
      <c r="A3499" s="33" t="s">
        <v>2345</v>
      </c>
      <c r="B3499" s="33" t="s">
        <v>27</v>
      </c>
      <c r="C3499" s="33">
        <v>97</v>
      </c>
      <c r="D3499" s="33" t="s">
        <v>2276</v>
      </c>
      <c r="E3499" s="33">
        <v>1</v>
      </c>
      <c r="F3499" s="33"/>
      <c r="G3499" s="522"/>
      <c r="H3499" s="707">
        <v>3.5</v>
      </c>
      <c r="I3499" s="707">
        <f t="shared" si="108"/>
        <v>4.0249999999999995</v>
      </c>
      <c r="J3499" s="707">
        <f t="shared" si="109"/>
        <v>4.55</v>
      </c>
      <c r="K3499" s="70"/>
    </row>
    <row r="3500" spans="1:11" ht="24" customHeight="1">
      <c r="A3500" s="33" t="s">
        <v>1499</v>
      </c>
      <c r="B3500" s="33" t="s">
        <v>27</v>
      </c>
      <c r="C3500" s="33">
        <v>2</v>
      </c>
      <c r="D3500" s="33" t="s">
        <v>1494</v>
      </c>
      <c r="E3500" s="33">
        <v>1</v>
      </c>
      <c r="F3500" s="33"/>
      <c r="G3500" s="522"/>
      <c r="H3500" s="707"/>
      <c r="I3500" s="707">
        <f t="shared" si="108"/>
        <v>0</v>
      </c>
      <c r="J3500" s="707">
        <f t="shared" si="109"/>
        <v>0</v>
      </c>
      <c r="K3500" s="70"/>
    </row>
    <row r="3501" spans="1:11" ht="24" customHeight="1">
      <c r="A3501" s="19" t="s">
        <v>740</v>
      </c>
      <c r="B3501" s="19" t="s">
        <v>27</v>
      </c>
      <c r="C3501" s="2">
        <v>4</v>
      </c>
      <c r="D3501" s="2" t="s">
        <v>593</v>
      </c>
      <c r="E3501" s="33">
        <v>3</v>
      </c>
      <c r="F3501" s="33"/>
      <c r="G3501" s="522"/>
      <c r="H3501" s="707"/>
      <c r="I3501" s="707">
        <f t="shared" si="108"/>
        <v>0</v>
      </c>
      <c r="J3501" s="707">
        <f t="shared" si="109"/>
        <v>0</v>
      </c>
      <c r="K3501" s="70"/>
    </row>
    <row r="3502" spans="1:11" ht="24" customHeight="1">
      <c r="A3502" s="19" t="s">
        <v>731</v>
      </c>
      <c r="B3502" s="19" t="s">
        <v>27</v>
      </c>
      <c r="C3502" s="2">
        <v>2</v>
      </c>
      <c r="D3502" s="2" t="s">
        <v>593</v>
      </c>
      <c r="E3502" s="33">
        <v>3</v>
      </c>
      <c r="F3502" s="33"/>
      <c r="G3502" s="522"/>
      <c r="H3502" s="707"/>
      <c r="I3502" s="707">
        <f t="shared" si="108"/>
        <v>0</v>
      </c>
      <c r="J3502" s="707">
        <f t="shared" si="109"/>
        <v>0</v>
      </c>
      <c r="K3502" s="70"/>
    </row>
    <row r="3503" spans="1:11" ht="24" customHeight="1">
      <c r="A3503" s="222" t="s">
        <v>2555</v>
      </c>
      <c r="B3503" s="222" t="s">
        <v>27</v>
      </c>
      <c r="C3503" s="33">
        <v>3</v>
      </c>
      <c r="D3503" s="33" t="s">
        <v>2540</v>
      </c>
      <c r="E3503" s="33">
        <v>1</v>
      </c>
      <c r="F3503" s="33"/>
      <c r="G3503" s="522"/>
      <c r="H3503" s="707"/>
      <c r="I3503" s="707">
        <f t="shared" si="108"/>
        <v>0</v>
      </c>
      <c r="J3503" s="707">
        <f t="shared" si="109"/>
        <v>0</v>
      </c>
      <c r="K3503" s="70"/>
    </row>
    <row r="3504" spans="1:11" ht="24" customHeight="1">
      <c r="A3504" s="222" t="s">
        <v>1160</v>
      </c>
      <c r="B3504" s="222" t="s">
        <v>27</v>
      </c>
      <c r="C3504" s="33">
        <v>14</v>
      </c>
      <c r="D3504" s="33" t="s">
        <v>1141</v>
      </c>
      <c r="E3504" s="33">
        <v>1</v>
      </c>
      <c r="F3504" s="33"/>
      <c r="G3504" s="522"/>
      <c r="H3504" s="707"/>
      <c r="I3504" s="707">
        <f t="shared" si="108"/>
        <v>0</v>
      </c>
      <c r="J3504" s="707">
        <f t="shared" si="109"/>
        <v>0</v>
      </c>
      <c r="K3504" s="70"/>
    </row>
    <row r="3505" spans="1:11" ht="24" customHeight="1">
      <c r="A3505" s="222" t="s">
        <v>935</v>
      </c>
      <c r="B3505" s="222" t="s">
        <v>41</v>
      </c>
      <c r="C3505" s="33">
        <v>72</v>
      </c>
      <c r="D3505" s="33" t="s">
        <v>910</v>
      </c>
      <c r="E3505" s="33">
        <v>1</v>
      </c>
      <c r="F3505" s="33"/>
      <c r="G3505" s="522"/>
      <c r="H3505" s="711"/>
      <c r="I3505" s="711">
        <f t="shared" si="108"/>
        <v>0</v>
      </c>
      <c r="J3505" s="711">
        <f t="shared" si="109"/>
        <v>0</v>
      </c>
      <c r="K3505" s="70"/>
    </row>
    <row r="3506" spans="1:11" ht="24" customHeight="1">
      <c r="A3506" s="222" t="s">
        <v>2769</v>
      </c>
      <c r="B3506" s="222" t="s">
        <v>23</v>
      </c>
      <c r="C3506" s="33">
        <v>19</v>
      </c>
      <c r="D3506" s="33" t="s">
        <v>2716</v>
      </c>
      <c r="E3506" s="354">
        <v>3</v>
      </c>
      <c r="F3506" s="354"/>
      <c r="G3506" s="688"/>
      <c r="H3506" s="708"/>
      <c r="I3506" s="707">
        <f t="shared" si="108"/>
        <v>0</v>
      </c>
      <c r="J3506" s="708">
        <f t="shared" si="109"/>
        <v>0</v>
      </c>
      <c r="K3506" s="70"/>
    </row>
    <row r="3507" spans="1:11" ht="24" customHeight="1">
      <c r="A3507" s="16" t="s">
        <v>1691</v>
      </c>
      <c r="B3507" s="16" t="s">
        <v>41</v>
      </c>
      <c r="C3507" s="17">
        <v>16</v>
      </c>
      <c r="D3507" s="131" t="s">
        <v>1681</v>
      </c>
      <c r="E3507" s="15">
        <v>1</v>
      </c>
      <c r="F3507" s="15"/>
      <c r="G3507" s="684"/>
      <c r="H3507" s="707"/>
      <c r="I3507" s="707">
        <f t="shared" si="108"/>
        <v>0</v>
      </c>
      <c r="J3507" s="707">
        <f t="shared" si="109"/>
        <v>0</v>
      </c>
      <c r="K3507" s="70"/>
    </row>
    <row r="3508" spans="1:11" ht="24" customHeight="1">
      <c r="A3508" s="19" t="s">
        <v>116</v>
      </c>
      <c r="B3508" s="19" t="s">
        <v>41</v>
      </c>
      <c r="C3508" s="2">
        <v>301</v>
      </c>
      <c r="D3508" s="2" t="s">
        <v>11</v>
      </c>
      <c r="E3508" s="33">
        <v>2</v>
      </c>
      <c r="F3508" s="33"/>
      <c r="G3508" s="522"/>
      <c r="H3508" s="707"/>
      <c r="I3508" s="707">
        <f t="shared" si="108"/>
        <v>0</v>
      </c>
      <c r="J3508" s="707">
        <f t="shared" si="109"/>
        <v>0</v>
      </c>
      <c r="K3508" s="70" t="s">
        <v>99</v>
      </c>
    </row>
    <row r="3509" spans="1:11" ht="24" customHeight="1">
      <c r="A3509" s="222" t="s">
        <v>116</v>
      </c>
      <c r="B3509" s="222" t="s">
        <v>41</v>
      </c>
      <c r="C3509" s="33">
        <v>12</v>
      </c>
      <c r="D3509" s="2" t="s">
        <v>274</v>
      </c>
      <c r="E3509" s="33">
        <v>1</v>
      </c>
      <c r="F3509" s="33"/>
      <c r="G3509" s="522"/>
      <c r="H3509" s="707"/>
      <c r="I3509" s="707">
        <f t="shared" si="108"/>
        <v>0</v>
      </c>
      <c r="J3509" s="707">
        <f t="shared" si="109"/>
        <v>0</v>
      </c>
      <c r="K3509" s="70" t="s">
        <v>99</v>
      </c>
    </row>
    <row r="3510" spans="1:11" ht="24" customHeight="1">
      <c r="A3510" s="19" t="s">
        <v>116</v>
      </c>
      <c r="B3510" s="19" t="s">
        <v>41</v>
      </c>
      <c r="C3510" s="2">
        <v>9</v>
      </c>
      <c r="D3510" s="2" t="s">
        <v>274</v>
      </c>
      <c r="E3510" s="33">
        <v>3</v>
      </c>
      <c r="F3510" s="33"/>
      <c r="G3510" s="522"/>
      <c r="H3510" s="707"/>
      <c r="I3510" s="707">
        <f t="shared" si="108"/>
        <v>0</v>
      </c>
      <c r="J3510" s="707">
        <f t="shared" si="109"/>
        <v>0</v>
      </c>
      <c r="K3510" s="70" t="s">
        <v>99</v>
      </c>
    </row>
    <row r="3511" spans="1:11" ht="24" customHeight="1">
      <c r="A3511" s="19" t="s">
        <v>117</v>
      </c>
      <c r="B3511" s="19" t="s">
        <v>41</v>
      </c>
      <c r="C3511" s="2">
        <v>57</v>
      </c>
      <c r="D3511" s="2" t="s">
        <v>11</v>
      </c>
      <c r="E3511" s="33">
        <v>2</v>
      </c>
      <c r="F3511" s="33"/>
      <c r="G3511" s="522"/>
      <c r="H3511" s="707"/>
      <c r="I3511" s="707">
        <f t="shared" si="108"/>
        <v>0</v>
      </c>
      <c r="J3511" s="707">
        <f t="shared" si="109"/>
        <v>0</v>
      </c>
      <c r="K3511" s="70" t="s">
        <v>99</v>
      </c>
    </row>
    <row r="3512" spans="1:11" ht="24" customHeight="1">
      <c r="A3512" s="233" t="s">
        <v>2818</v>
      </c>
      <c r="B3512" s="233" t="s">
        <v>41</v>
      </c>
      <c r="C3512" s="3">
        <v>55</v>
      </c>
      <c r="D3512" s="58" t="s">
        <v>2802</v>
      </c>
      <c r="E3512" s="33">
        <v>2</v>
      </c>
      <c r="F3512" s="33"/>
      <c r="G3512" s="522"/>
      <c r="H3512" s="707"/>
      <c r="I3512" s="707">
        <f t="shared" si="108"/>
        <v>0</v>
      </c>
      <c r="J3512" s="707">
        <f t="shared" si="109"/>
        <v>0</v>
      </c>
      <c r="K3512" s="70"/>
    </row>
    <row r="3513" spans="1:11" ht="24" customHeight="1">
      <c r="A3513" s="19" t="s">
        <v>790</v>
      </c>
      <c r="B3513" s="19" t="s">
        <v>41</v>
      </c>
      <c r="C3513" s="2">
        <v>8</v>
      </c>
      <c r="D3513" s="2" t="s">
        <v>593</v>
      </c>
      <c r="E3513" s="33">
        <v>3</v>
      </c>
      <c r="F3513" s="33"/>
      <c r="G3513" s="522"/>
      <c r="H3513" s="707"/>
      <c r="I3513" s="707">
        <f t="shared" si="108"/>
        <v>0</v>
      </c>
      <c r="J3513" s="707">
        <f t="shared" si="109"/>
        <v>0</v>
      </c>
      <c r="K3513" s="70"/>
    </row>
    <row r="3514" spans="1:11" ht="24" customHeight="1">
      <c r="A3514" s="431" t="s">
        <v>1123</v>
      </c>
      <c r="B3514" s="431" t="s">
        <v>41</v>
      </c>
      <c r="C3514" s="74">
        <v>251</v>
      </c>
      <c r="D3514" s="33" t="s">
        <v>992</v>
      </c>
      <c r="E3514" s="33">
        <v>5</v>
      </c>
      <c r="F3514" s="33"/>
      <c r="G3514" s="522"/>
      <c r="H3514" s="707"/>
      <c r="I3514" s="707">
        <f t="shared" si="108"/>
        <v>0</v>
      </c>
      <c r="J3514" s="707">
        <f t="shared" si="109"/>
        <v>0</v>
      </c>
      <c r="K3514" s="70"/>
    </row>
    <row r="3515" spans="1:11" ht="24" customHeight="1">
      <c r="A3515" s="233" t="s">
        <v>2942</v>
      </c>
      <c r="B3515" s="233" t="s">
        <v>41</v>
      </c>
      <c r="C3515" s="3">
        <v>5</v>
      </c>
      <c r="D3515" s="15" t="s">
        <v>2918</v>
      </c>
      <c r="E3515" s="15">
        <v>1</v>
      </c>
      <c r="F3515" s="15"/>
      <c r="G3515" s="684"/>
      <c r="H3515" s="707"/>
      <c r="I3515" s="707">
        <f t="shared" si="108"/>
        <v>0</v>
      </c>
      <c r="J3515" s="707">
        <f t="shared" si="109"/>
        <v>0</v>
      </c>
      <c r="K3515" s="70"/>
    </row>
    <row r="3516" spans="1:11" ht="24" customHeight="1">
      <c r="A3516" s="431" t="s">
        <v>2522</v>
      </c>
      <c r="B3516" s="431" t="s">
        <v>27</v>
      </c>
      <c r="C3516" s="74">
        <v>20</v>
      </c>
      <c r="D3516" s="33" t="s">
        <v>2504</v>
      </c>
      <c r="E3516" s="33">
        <v>5</v>
      </c>
      <c r="F3516" s="33"/>
      <c r="G3516" s="522"/>
      <c r="H3516" s="707"/>
      <c r="I3516" s="707">
        <f t="shared" si="108"/>
        <v>0</v>
      </c>
      <c r="J3516" s="707">
        <f t="shared" si="109"/>
        <v>0</v>
      </c>
      <c r="K3516" s="70"/>
    </row>
    <row r="3517" spans="1:11" ht="24" customHeight="1">
      <c r="A3517" s="19" t="s">
        <v>766</v>
      </c>
      <c r="B3517" s="19" t="s">
        <v>41</v>
      </c>
      <c r="C3517" s="2">
        <v>2</v>
      </c>
      <c r="D3517" s="2" t="s">
        <v>593</v>
      </c>
      <c r="E3517" s="33">
        <v>3</v>
      </c>
      <c r="F3517" s="33"/>
      <c r="G3517" s="522"/>
      <c r="H3517" s="707"/>
      <c r="I3517" s="707">
        <f t="shared" si="108"/>
        <v>0</v>
      </c>
      <c r="J3517" s="707">
        <f t="shared" si="109"/>
        <v>0</v>
      </c>
      <c r="K3517" s="70"/>
    </row>
    <row r="3518" spans="1:11" ht="24" customHeight="1">
      <c r="A3518" s="222" t="s">
        <v>1209</v>
      </c>
      <c r="B3518" s="222" t="s">
        <v>25</v>
      </c>
      <c r="C3518" s="33">
        <v>23</v>
      </c>
      <c r="D3518" s="33" t="s">
        <v>2276</v>
      </c>
      <c r="E3518" s="33">
        <v>1</v>
      </c>
      <c r="F3518" s="33"/>
      <c r="G3518" s="522"/>
      <c r="H3518" s="707"/>
      <c r="I3518" s="707">
        <f t="shared" si="108"/>
        <v>0</v>
      </c>
      <c r="J3518" s="707">
        <f t="shared" si="109"/>
        <v>0</v>
      </c>
      <c r="K3518" s="70"/>
    </row>
    <row r="3519" spans="1:11" ht="24" customHeight="1">
      <c r="A3519" s="222" t="s">
        <v>2550</v>
      </c>
      <c r="B3519" s="222" t="s">
        <v>25</v>
      </c>
      <c r="C3519" s="33">
        <v>45</v>
      </c>
      <c r="D3519" s="33" t="s">
        <v>2540</v>
      </c>
      <c r="E3519" s="33">
        <v>1</v>
      </c>
      <c r="F3519" s="33"/>
      <c r="G3519" s="522"/>
      <c r="H3519" s="707"/>
      <c r="I3519" s="707">
        <f t="shared" si="108"/>
        <v>0</v>
      </c>
      <c r="J3519" s="707">
        <f t="shared" si="109"/>
        <v>0</v>
      </c>
      <c r="K3519" s="70"/>
    </row>
    <row r="3520" spans="1:11" ht="24" customHeight="1">
      <c r="A3520" s="222" t="s">
        <v>3208</v>
      </c>
      <c r="B3520" s="234" t="s">
        <v>25</v>
      </c>
      <c r="C3520" s="71">
        <v>57</v>
      </c>
      <c r="D3520" s="33" t="s">
        <v>3053</v>
      </c>
      <c r="E3520" s="71">
        <v>4</v>
      </c>
      <c r="F3520" s="71"/>
      <c r="G3520" s="686"/>
      <c r="H3520" s="707"/>
      <c r="I3520" s="707">
        <f t="shared" si="108"/>
        <v>0</v>
      </c>
      <c r="J3520" s="707">
        <f t="shared" si="109"/>
        <v>0</v>
      </c>
      <c r="K3520" s="70"/>
    </row>
    <row r="3521" spans="1:11" ht="24" customHeight="1">
      <c r="A3521" s="222" t="s">
        <v>1187</v>
      </c>
      <c r="B3521" s="222" t="s">
        <v>25</v>
      </c>
      <c r="C3521" s="33">
        <v>20</v>
      </c>
      <c r="D3521" s="33" t="s">
        <v>1141</v>
      </c>
      <c r="E3521" s="33">
        <v>2</v>
      </c>
      <c r="F3521" s="33"/>
      <c r="G3521" s="522"/>
      <c r="H3521" s="707"/>
      <c r="I3521" s="707">
        <f t="shared" si="108"/>
        <v>0</v>
      </c>
      <c r="J3521" s="707">
        <f t="shared" si="109"/>
        <v>0</v>
      </c>
      <c r="K3521" s="70"/>
    </row>
    <row r="3522" spans="1:11" ht="24" customHeight="1">
      <c r="A3522" s="19" t="s">
        <v>827</v>
      </c>
      <c r="B3522" s="19" t="s">
        <v>25</v>
      </c>
      <c r="C3522" s="2">
        <v>16</v>
      </c>
      <c r="D3522" s="2" t="s">
        <v>593</v>
      </c>
      <c r="E3522" s="33">
        <v>3</v>
      </c>
      <c r="F3522" s="33"/>
      <c r="G3522" s="522"/>
      <c r="H3522" s="707"/>
      <c r="I3522" s="707">
        <f t="shared" si="108"/>
        <v>0</v>
      </c>
      <c r="J3522" s="707">
        <f t="shared" si="109"/>
        <v>0</v>
      </c>
      <c r="K3522" s="70"/>
    </row>
    <row r="3523" spans="1:11" ht="24" customHeight="1">
      <c r="A3523" s="222" t="s">
        <v>827</v>
      </c>
      <c r="B3523" s="234" t="s">
        <v>25</v>
      </c>
      <c r="C3523" s="71">
        <v>77</v>
      </c>
      <c r="D3523" s="33" t="s">
        <v>3053</v>
      </c>
      <c r="E3523" s="71">
        <v>4</v>
      </c>
      <c r="F3523" s="71"/>
      <c r="G3523" s="686"/>
      <c r="H3523" s="707"/>
      <c r="I3523" s="707">
        <f t="shared" ref="I3523:I3586" si="110">H3523 * 1.15</f>
        <v>0</v>
      </c>
      <c r="J3523" s="707">
        <f t="shared" ref="J3523:J3586" si="111">H3523 * 1.3</f>
        <v>0</v>
      </c>
      <c r="K3523" s="70"/>
    </row>
    <row r="3524" spans="1:11" ht="24" customHeight="1">
      <c r="A3524" s="222" t="s">
        <v>2551</v>
      </c>
      <c r="B3524" s="222" t="s">
        <v>25</v>
      </c>
      <c r="C3524" s="33">
        <v>30</v>
      </c>
      <c r="D3524" s="33" t="s">
        <v>2540</v>
      </c>
      <c r="E3524" s="33">
        <v>1</v>
      </c>
      <c r="F3524" s="33"/>
      <c r="G3524" s="522"/>
      <c r="H3524" s="707"/>
      <c r="I3524" s="707">
        <f t="shared" si="110"/>
        <v>0</v>
      </c>
      <c r="J3524" s="707">
        <f t="shared" si="111"/>
        <v>0</v>
      </c>
      <c r="K3524" s="70"/>
    </row>
    <row r="3525" spans="1:11" ht="24" customHeight="1">
      <c r="A3525" s="222" t="s">
        <v>2583</v>
      </c>
      <c r="B3525" s="222" t="s">
        <v>25</v>
      </c>
      <c r="C3525" s="33">
        <v>30</v>
      </c>
      <c r="D3525" s="33" t="s">
        <v>2540</v>
      </c>
      <c r="E3525" s="33">
        <v>2</v>
      </c>
      <c r="F3525" s="33"/>
      <c r="G3525" s="522"/>
      <c r="H3525" s="707"/>
      <c r="I3525" s="707">
        <f t="shared" si="110"/>
        <v>0</v>
      </c>
      <c r="J3525" s="707">
        <f t="shared" si="111"/>
        <v>0</v>
      </c>
      <c r="K3525" s="70"/>
    </row>
    <row r="3526" spans="1:11" ht="24" customHeight="1">
      <c r="A3526" s="222" t="s">
        <v>1430</v>
      </c>
      <c r="B3526" s="222" t="s">
        <v>1431</v>
      </c>
      <c r="C3526" s="33">
        <v>5</v>
      </c>
      <c r="D3526" s="33" t="s">
        <v>1372</v>
      </c>
      <c r="E3526" s="33">
        <v>4</v>
      </c>
      <c r="F3526" s="33"/>
      <c r="G3526" s="522"/>
      <c r="H3526" s="707"/>
      <c r="I3526" s="707">
        <f t="shared" si="110"/>
        <v>0</v>
      </c>
      <c r="J3526" s="707">
        <f t="shared" si="111"/>
        <v>0</v>
      </c>
      <c r="K3526" s="70"/>
    </row>
    <row r="3527" spans="1:11" ht="24" customHeight="1">
      <c r="A3527" s="222" t="s">
        <v>1561</v>
      </c>
      <c r="B3527" s="222" t="s">
        <v>1562</v>
      </c>
      <c r="C3527" s="33">
        <v>9</v>
      </c>
      <c r="D3527" s="33" t="s">
        <v>1548</v>
      </c>
      <c r="E3527" s="33">
        <v>3</v>
      </c>
      <c r="F3527" s="33"/>
      <c r="G3527" s="522"/>
      <c r="H3527" s="707"/>
      <c r="I3527" s="707">
        <f t="shared" si="110"/>
        <v>0</v>
      </c>
      <c r="J3527" s="707">
        <f t="shared" si="111"/>
        <v>0</v>
      </c>
      <c r="K3527" s="70"/>
    </row>
    <row r="3528" spans="1:11" ht="24" customHeight="1">
      <c r="A3528" s="222" t="s">
        <v>1580</v>
      </c>
      <c r="B3528" s="222" t="s">
        <v>19</v>
      </c>
      <c r="C3528" s="33">
        <v>8</v>
      </c>
      <c r="D3528" s="33" t="s">
        <v>1548</v>
      </c>
      <c r="E3528" s="33">
        <v>3</v>
      </c>
      <c r="F3528" s="33"/>
      <c r="G3528" s="522"/>
      <c r="H3528" s="707"/>
      <c r="I3528" s="707">
        <f t="shared" si="110"/>
        <v>0</v>
      </c>
      <c r="J3528" s="707">
        <f t="shared" si="111"/>
        <v>0</v>
      </c>
      <c r="K3528" s="70"/>
    </row>
    <row r="3529" spans="1:11" ht="24" customHeight="1">
      <c r="A3529" s="222" t="s">
        <v>1581</v>
      </c>
      <c r="B3529" s="222" t="s">
        <v>19</v>
      </c>
      <c r="C3529" s="33">
        <v>11</v>
      </c>
      <c r="D3529" s="33" t="s">
        <v>1548</v>
      </c>
      <c r="E3529" s="33">
        <v>3</v>
      </c>
      <c r="F3529" s="33"/>
      <c r="G3529" s="522"/>
      <c r="H3529" s="707"/>
      <c r="I3529" s="707">
        <f t="shared" si="110"/>
        <v>0</v>
      </c>
      <c r="J3529" s="707">
        <f t="shared" si="111"/>
        <v>0</v>
      </c>
      <c r="K3529" s="70"/>
    </row>
    <row r="3530" spans="1:11" ht="24" customHeight="1">
      <c r="A3530" s="222" t="s">
        <v>1582</v>
      </c>
      <c r="B3530" s="222" t="s">
        <v>19</v>
      </c>
      <c r="C3530" s="33">
        <v>2</v>
      </c>
      <c r="D3530" s="33" t="s">
        <v>1548</v>
      </c>
      <c r="E3530" s="33">
        <v>3</v>
      </c>
      <c r="F3530" s="33"/>
      <c r="G3530" s="522"/>
      <c r="H3530" s="707"/>
      <c r="I3530" s="707">
        <f t="shared" si="110"/>
        <v>0</v>
      </c>
      <c r="J3530" s="707">
        <f t="shared" si="111"/>
        <v>0</v>
      </c>
      <c r="K3530" s="70"/>
    </row>
    <row r="3531" spans="1:11" ht="24" customHeight="1">
      <c r="A3531" s="222" t="s">
        <v>2556</v>
      </c>
      <c r="B3531" s="222" t="s">
        <v>41</v>
      </c>
      <c r="C3531" s="33">
        <v>5</v>
      </c>
      <c r="D3531" s="33" t="s">
        <v>2540</v>
      </c>
      <c r="E3531" s="33">
        <v>1</v>
      </c>
      <c r="F3531" s="33"/>
      <c r="G3531" s="522"/>
      <c r="H3531" s="707"/>
      <c r="I3531" s="707">
        <f t="shared" si="110"/>
        <v>0</v>
      </c>
      <c r="J3531" s="707">
        <f t="shared" si="111"/>
        <v>0</v>
      </c>
      <c r="K3531" s="70"/>
    </row>
    <row r="3532" spans="1:11" ht="24" customHeight="1">
      <c r="A3532" s="19" t="s">
        <v>826</v>
      </c>
      <c r="B3532" s="19" t="s">
        <v>21</v>
      </c>
      <c r="C3532" s="2">
        <v>5</v>
      </c>
      <c r="D3532" s="2" t="s">
        <v>593</v>
      </c>
      <c r="E3532" s="33">
        <v>3</v>
      </c>
      <c r="F3532" s="33"/>
      <c r="G3532" s="522"/>
      <c r="H3532" s="707"/>
      <c r="I3532" s="707">
        <f t="shared" si="110"/>
        <v>0</v>
      </c>
      <c r="J3532" s="707">
        <f t="shared" si="111"/>
        <v>0</v>
      </c>
      <c r="K3532" s="70"/>
    </row>
    <row r="3533" spans="1:11" ht="24" customHeight="1">
      <c r="A3533" s="19" t="s">
        <v>3664</v>
      </c>
      <c r="B3533" s="19" t="s">
        <v>10</v>
      </c>
      <c r="C3533" s="2">
        <v>100</v>
      </c>
      <c r="D3533" s="2" t="s">
        <v>3636</v>
      </c>
      <c r="E3533" s="33">
        <v>2</v>
      </c>
      <c r="F3533" s="33"/>
      <c r="G3533" s="522"/>
      <c r="H3533" s="707"/>
      <c r="I3533" s="707">
        <f t="shared" si="110"/>
        <v>0</v>
      </c>
      <c r="J3533" s="707">
        <f t="shared" si="111"/>
        <v>0</v>
      </c>
      <c r="K3533" s="55"/>
    </row>
    <row r="3534" spans="1:11" ht="24" customHeight="1">
      <c r="A3534" s="16" t="s">
        <v>2784</v>
      </c>
      <c r="B3534" s="675" t="s">
        <v>10</v>
      </c>
      <c r="C3534" s="17">
        <v>3</v>
      </c>
      <c r="D3534" s="131" t="s">
        <v>2772</v>
      </c>
      <c r="E3534" s="17">
        <v>4</v>
      </c>
      <c r="F3534" s="17"/>
      <c r="G3534" s="687"/>
      <c r="H3534" s="707"/>
      <c r="I3534" s="707">
        <f t="shared" si="110"/>
        <v>0</v>
      </c>
      <c r="J3534" s="707">
        <f t="shared" si="111"/>
        <v>0</v>
      </c>
      <c r="K3534" s="70" t="s">
        <v>51</v>
      </c>
    </row>
    <row r="3535" spans="1:11" ht="24" customHeight="1">
      <c r="A3535" s="19" t="s">
        <v>151</v>
      </c>
      <c r="B3535" s="19" t="s">
        <v>19</v>
      </c>
      <c r="C3535" s="2">
        <v>76</v>
      </c>
      <c r="D3535" s="2" t="s">
        <v>11</v>
      </c>
      <c r="E3535" s="33">
        <v>3</v>
      </c>
      <c r="F3535" s="33"/>
      <c r="G3535" s="522"/>
      <c r="H3535" s="707">
        <v>10</v>
      </c>
      <c r="I3535" s="707">
        <f t="shared" si="110"/>
        <v>11.5</v>
      </c>
      <c r="J3535" s="707">
        <f t="shared" si="111"/>
        <v>13</v>
      </c>
      <c r="K3535" s="70"/>
    </row>
    <row r="3536" spans="1:11" ht="24" customHeight="1">
      <c r="A3536" s="222" t="s">
        <v>2230</v>
      </c>
      <c r="B3536" s="222" t="s">
        <v>10</v>
      </c>
      <c r="C3536" s="33">
        <v>6</v>
      </c>
      <c r="D3536" s="33" t="s">
        <v>2191</v>
      </c>
      <c r="E3536" s="33">
        <v>5</v>
      </c>
      <c r="F3536" s="33"/>
      <c r="G3536" s="522"/>
      <c r="H3536" s="707">
        <v>1</v>
      </c>
      <c r="I3536" s="707">
        <f t="shared" si="110"/>
        <v>1.1499999999999999</v>
      </c>
      <c r="J3536" s="707">
        <f t="shared" si="111"/>
        <v>1.3</v>
      </c>
      <c r="K3536" s="70"/>
    </row>
    <row r="3537" spans="1:11" ht="24" customHeight="1">
      <c r="A3537" s="222" t="s">
        <v>2123</v>
      </c>
      <c r="B3537" s="222" t="s">
        <v>10</v>
      </c>
      <c r="C3537" s="33">
        <v>21</v>
      </c>
      <c r="D3537" s="33" t="s">
        <v>2111</v>
      </c>
      <c r="E3537" s="33">
        <v>1</v>
      </c>
      <c r="F3537" s="33"/>
      <c r="G3537" s="522"/>
      <c r="H3537" s="707"/>
      <c r="I3537" s="707">
        <f t="shared" si="110"/>
        <v>0</v>
      </c>
      <c r="J3537" s="707">
        <f t="shared" si="111"/>
        <v>0</v>
      </c>
      <c r="K3537" s="70"/>
    </row>
    <row r="3538" spans="1:11" ht="24" customHeight="1">
      <c r="A3538" s="222" t="s">
        <v>2123</v>
      </c>
      <c r="B3538" s="222" t="s">
        <v>10</v>
      </c>
      <c r="C3538" s="33">
        <v>29</v>
      </c>
      <c r="D3538" s="33" t="s">
        <v>2191</v>
      </c>
      <c r="E3538" s="33">
        <v>4</v>
      </c>
      <c r="F3538" s="33"/>
      <c r="G3538" s="522"/>
      <c r="H3538" s="707"/>
      <c r="I3538" s="707">
        <f t="shared" si="110"/>
        <v>0</v>
      </c>
      <c r="J3538" s="707">
        <f t="shared" si="111"/>
        <v>0</v>
      </c>
      <c r="K3538" s="70"/>
    </row>
    <row r="3539" spans="1:11" ht="24" customHeight="1">
      <c r="A3539" s="222" t="s">
        <v>2632</v>
      </c>
      <c r="B3539" s="222" t="s">
        <v>10</v>
      </c>
      <c r="C3539" s="33">
        <v>100</v>
      </c>
      <c r="D3539" s="33" t="s">
        <v>2624</v>
      </c>
      <c r="E3539" s="33">
        <v>3</v>
      </c>
      <c r="F3539" s="33"/>
      <c r="G3539" s="522"/>
      <c r="H3539" s="707"/>
      <c r="I3539" s="707">
        <f t="shared" si="110"/>
        <v>0</v>
      </c>
      <c r="J3539" s="707">
        <f t="shared" si="111"/>
        <v>0</v>
      </c>
      <c r="K3539" s="70"/>
    </row>
    <row r="3540" spans="1:11" ht="24" customHeight="1">
      <c r="A3540" s="222" t="s">
        <v>944</v>
      </c>
      <c r="B3540" s="222" t="s">
        <v>81</v>
      </c>
      <c r="C3540" s="33">
        <v>14</v>
      </c>
      <c r="D3540" s="33" t="s">
        <v>910</v>
      </c>
      <c r="E3540" s="33">
        <v>1</v>
      </c>
      <c r="F3540" s="33"/>
      <c r="G3540" s="522"/>
      <c r="H3540" s="707"/>
      <c r="I3540" s="707">
        <f t="shared" si="110"/>
        <v>0</v>
      </c>
      <c r="J3540" s="707">
        <f t="shared" si="111"/>
        <v>0</v>
      </c>
      <c r="K3540" s="70"/>
    </row>
    <row r="3541" spans="1:11" ht="24" customHeight="1">
      <c r="A3541" s="222" t="s">
        <v>2390</v>
      </c>
      <c r="B3541" s="222" t="s">
        <v>10</v>
      </c>
      <c r="C3541" s="33">
        <v>32</v>
      </c>
      <c r="D3541" s="33" t="s">
        <v>2363</v>
      </c>
      <c r="E3541" s="33">
        <v>3</v>
      </c>
      <c r="F3541" s="33"/>
      <c r="G3541" s="522"/>
      <c r="H3541" s="707">
        <v>0.5</v>
      </c>
      <c r="I3541" s="707">
        <f t="shared" si="110"/>
        <v>0.57499999999999996</v>
      </c>
      <c r="J3541" s="707">
        <f t="shared" si="111"/>
        <v>0.65</v>
      </c>
      <c r="K3541" s="70" t="s">
        <v>1062</v>
      </c>
    </row>
    <row r="3542" spans="1:11" ht="24" customHeight="1">
      <c r="A3542" s="431" t="s">
        <v>2252</v>
      </c>
      <c r="B3542" s="431" t="s">
        <v>50</v>
      </c>
      <c r="C3542" s="74">
        <v>7</v>
      </c>
      <c r="D3542" s="33" t="s">
        <v>2191</v>
      </c>
      <c r="E3542" s="33">
        <v>5</v>
      </c>
      <c r="F3542" s="33"/>
      <c r="G3542" s="522"/>
      <c r="H3542" s="707">
        <v>1</v>
      </c>
      <c r="I3542" s="707">
        <f t="shared" si="110"/>
        <v>1.1499999999999999</v>
      </c>
      <c r="J3542" s="707">
        <f t="shared" si="111"/>
        <v>1.3</v>
      </c>
      <c r="K3542" s="70"/>
    </row>
    <row r="3543" spans="1:11" ht="24" customHeight="1">
      <c r="A3543" s="33" t="s">
        <v>2576</v>
      </c>
      <c r="B3543" s="33" t="s">
        <v>2577</v>
      </c>
      <c r="C3543" s="33">
        <v>41</v>
      </c>
      <c r="D3543" s="33" t="s">
        <v>2540</v>
      </c>
      <c r="E3543" s="33">
        <v>2</v>
      </c>
      <c r="F3543" s="33"/>
      <c r="G3543" s="522"/>
      <c r="H3543" s="707">
        <v>3</v>
      </c>
      <c r="I3543" s="707">
        <f t="shared" si="110"/>
        <v>3.4499999999999997</v>
      </c>
      <c r="J3543" s="707">
        <f t="shared" si="111"/>
        <v>3.9000000000000004</v>
      </c>
      <c r="K3543" s="70"/>
    </row>
    <row r="3544" spans="1:11" ht="24" customHeight="1">
      <c r="A3544" s="3" t="s">
        <v>2576</v>
      </c>
      <c r="B3544" s="3" t="s">
        <v>10</v>
      </c>
      <c r="C3544" s="3">
        <v>1</v>
      </c>
      <c r="D3544" s="58" t="s">
        <v>2802</v>
      </c>
      <c r="E3544" s="33">
        <v>2</v>
      </c>
      <c r="F3544" s="33"/>
      <c r="G3544" s="522"/>
      <c r="H3544" s="707">
        <v>3</v>
      </c>
      <c r="I3544" s="707">
        <f t="shared" si="110"/>
        <v>3.4499999999999997</v>
      </c>
      <c r="J3544" s="707">
        <f t="shared" si="111"/>
        <v>3.9000000000000004</v>
      </c>
      <c r="K3544" s="70"/>
    </row>
    <row r="3545" spans="1:11" ht="24" customHeight="1">
      <c r="A3545" s="222" t="s">
        <v>416</v>
      </c>
      <c r="B3545" s="222" t="s">
        <v>10</v>
      </c>
      <c r="C3545" s="33">
        <v>4</v>
      </c>
      <c r="D3545" s="2" t="s">
        <v>274</v>
      </c>
      <c r="E3545" s="33">
        <v>2</v>
      </c>
      <c r="F3545" s="33"/>
      <c r="G3545" s="522"/>
      <c r="H3545" s="707"/>
      <c r="I3545" s="707">
        <f t="shared" si="110"/>
        <v>0</v>
      </c>
      <c r="J3545" s="707">
        <f t="shared" si="111"/>
        <v>0</v>
      </c>
      <c r="K3545" s="70"/>
    </row>
    <row r="3546" spans="1:11" ht="24" customHeight="1">
      <c r="A3546" s="222" t="s">
        <v>3268</v>
      </c>
      <c r="B3546" s="222" t="s">
        <v>10</v>
      </c>
      <c r="C3546" s="33">
        <v>12</v>
      </c>
      <c r="D3546" s="2" t="s">
        <v>3256</v>
      </c>
      <c r="E3546" s="33">
        <v>1</v>
      </c>
      <c r="F3546" s="33"/>
      <c r="G3546" s="522"/>
      <c r="H3546" s="707"/>
      <c r="I3546" s="707">
        <f t="shared" si="110"/>
        <v>0</v>
      </c>
      <c r="J3546" s="707">
        <f t="shared" si="111"/>
        <v>0</v>
      </c>
      <c r="K3546" s="70"/>
    </row>
    <row r="3547" spans="1:11" ht="24" customHeight="1">
      <c r="A3547" s="19" t="s">
        <v>700</v>
      </c>
      <c r="B3547" s="19" t="s">
        <v>10</v>
      </c>
      <c r="C3547" s="2">
        <v>1</v>
      </c>
      <c r="D3547" s="2" t="s">
        <v>1785</v>
      </c>
      <c r="E3547" s="33">
        <v>2</v>
      </c>
      <c r="F3547" s="33"/>
      <c r="G3547" s="522"/>
      <c r="H3547" s="707">
        <v>2</v>
      </c>
      <c r="I3547" s="707">
        <f t="shared" si="110"/>
        <v>2.2999999999999998</v>
      </c>
      <c r="J3547" s="707">
        <f t="shared" si="111"/>
        <v>2.6</v>
      </c>
      <c r="K3547" s="70" t="s">
        <v>241</v>
      </c>
    </row>
    <row r="3548" spans="1:11" ht="24" customHeight="1">
      <c r="A3548" s="672" t="s">
        <v>3554</v>
      </c>
      <c r="B3548" s="19" t="s">
        <v>10</v>
      </c>
      <c r="C3548" s="2">
        <v>100</v>
      </c>
      <c r="D3548" s="2" t="s">
        <v>3553</v>
      </c>
      <c r="E3548" s="33">
        <v>1</v>
      </c>
      <c r="F3548" s="33"/>
      <c r="G3548" s="522"/>
      <c r="H3548" s="707"/>
      <c r="I3548" s="707">
        <f t="shared" si="110"/>
        <v>0</v>
      </c>
      <c r="J3548" s="707">
        <f t="shared" si="111"/>
        <v>0</v>
      </c>
      <c r="K3548" s="70"/>
    </row>
    <row r="3549" spans="1:11" ht="24" customHeight="1">
      <c r="A3549" s="383" t="s">
        <v>3555</v>
      </c>
      <c r="B3549" s="2" t="s">
        <v>10</v>
      </c>
      <c r="C3549" s="2">
        <v>200</v>
      </c>
      <c r="D3549" s="2" t="s">
        <v>3553</v>
      </c>
      <c r="E3549" s="33">
        <v>1</v>
      </c>
      <c r="F3549" s="33"/>
      <c r="G3549" s="522"/>
      <c r="H3549" s="707"/>
      <c r="I3549" s="707">
        <f t="shared" si="110"/>
        <v>0</v>
      </c>
      <c r="J3549" s="707">
        <f t="shared" si="111"/>
        <v>0</v>
      </c>
      <c r="K3549" s="70"/>
    </row>
    <row r="3550" spans="1:11" ht="24" customHeight="1">
      <c r="A3550" s="19" t="s">
        <v>1095</v>
      </c>
      <c r="B3550" s="19" t="s">
        <v>10</v>
      </c>
      <c r="C3550" s="75">
        <v>33</v>
      </c>
      <c r="D3550" s="33" t="s">
        <v>992</v>
      </c>
      <c r="E3550" s="33">
        <v>5</v>
      </c>
      <c r="F3550" s="33"/>
      <c r="G3550" s="522"/>
      <c r="H3550" s="717">
        <v>1</v>
      </c>
      <c r="I3550" s="717">
        <f t="shared" si="110"/>
        <v>1.1499999999999999</v>
      </c>
      <c r="J3550" s="717">
        <f t="shared" si="111"/>
        <v>1.3</v>
      </c>
      <c r="K3550" s="70"/>
    </row>
    <row r="3551" spans="1:11" ht="24" customHeight="1">
      <c r="A3551" s="19" t="s">
        <v>1095</v>
      </c>
      <c r="B3551" s="19" t="s">
        <v>10</v>
      </c>
      <c r="C3551" s="2">
        <v>100</v>
      </c>
      <c r="D3551" s="2" t="s">
        <v>3548</v>
      </c>
      <c r="E3551" s="33">
        <v>5</v>
      </c>
      <c r="F3551" s="33"/>
      <c r="G3551" s="522"/>
      <c r="H3551" s="707"/>
      <c r="I3551" s="707">
        <f t="shared" si="110"/>
        <v>0</v>
      </c>
      <c r="J3551" s="707">
        <f t="shared" si="111"/>
        <v>0</v>
      </c>
      <c r="K3551" s="70"/>
    </row>
    <row r="3552" spans="1:11" ht="24" customHeight="1">
      <c r="A3552" s="19" t="s">
        <v>741</v>
      </c>
      <c r="B3552" s="19" t="s">
        <v>14</v>
      </c>
      <c r="C3552" s="2">
        <v>47</v>
      </c>
      <c r="D3552" s="2" t="s">
        <v>593</v>
      </c>
      <c r="E3552" s="33">
        <v>3</v>
      </c>
      <c r="F3552" s="33"/>
      <c r="G3552" s="522"/>
      <c r="H3552" s="707">
        <v>2</v>
      </c>
      <c r="I3552" s="707">
        <f t="shared" si="110"/>
        <v>2.2999999999999998</v>
      </c>
      <c r="J3552" s="707">
        <f t="shared" si="111"/>
        <v>2.6</v>
      </c>
      <c r="K3552" s="70" t="s">
        <v>241</v>
      </c>
    </row>
    <row r="3553" spans="1:11" ht="24" customHeight="1">
      <c r="A3553" s="222" t="s">
        <v>1846</v>
      </c>
      <c r="B3553" s="258" t="s">
        <v>10</v>
      </c>
      <c r="C3553" s="66">
        <v>10</v>
      </c>
      <c r="D3553" s="81" t="s">
        <v>1785</v>
      </c>
      <c r="E3553" s="66">
        <v>2</v>
      </c>
      <c r="F3553" s="66"/>
      <c r="G3553" s="689"/>
      <c r="H3553" s="707"/>
      <c r="I3553" s="707">
        <f t="shared" si="110"/>
        <v>0</v>
      </c>
      <c r="J3553" s="707">
        <f t="shared" si="111"/>
        <v>0</v>
      </c>
      <c r="K3553" s="70" t="s">
        <v>241</v>
      </c>
    </row>
    <row r="3554" spans="1:11" ht="24" customHeight="1">
      <c r="A3554" s="222" t="s">
        <v>1846</v>
      </c>
      <c r="B3554" s="222" t="s">
        <v>10</v>
      </c>
      <c r="C3554" s="33">
        <v>30</v>
      </c>
      <c r="D3554" s="2" t="s">
        <v>3553</v>
      </c>
      <c r="E3554" s="33">
        <v>2</v>
      </c>
      <c r="F3554" s="33"/>
      <c r="G3554" s="522"/>
      <c r="H3554" s="707"/>
      <c r="I3554" s="707">
        <f t="shared" si="110"/>
        <v>0</v>
      </c>
      <c r="J3554" s="707">
        <f t="shared" si="111"/>
        <v>0</v>
      </c>
      <c r="K3554" s="70" t="s">
        <v>241</v>
      </c>
    </row>
    <row r="3555" spans="1:11" ht="24" customHeight="1">
      <c r="A3555" s="19" t="s">
        <v>571</v>
      </c>
      <c r="B3555" s="19" t="s">
        <v>10</v>
      </c>
      <c r="C3555" s="2">
        <v>126</v>
      </c>
      <c r="D3555" s="2" t="s">
        <v>536</v>
      </c>
      <c r="E3555" s="33">
        <v>5</v>
      </c>
      <c r="F3555" s="33"/>
      <c r="G3555" s="522"/>
      <c r="H3555" s="707">
        <v>20</v>
      </c>
      <c r="I3555" s="707">
        <f t="shared" si="110"/>
        <v>23</v>
      </c>
      <c r="J3555" s="707">
        <f t="shared" si="111"/>
        <v>26</v>
      </c>
      <c r="K3555" s="70"/>
    </row>
    <row r="3556" spans="1:11" ht="24" customHeight="1">
      <c r="A3556" s="19" t="s">
        <v>624</v>
      </c>
      <c r="B3556" s="19" t="s">
        <v>10</v>
      </c>
      <c r="C3556" s="2">
        <v>5</v>
      </c>
      <c r="D3556" s="2" t="s">
        <v>593</v>
      </c>
      <c r="E3556" s="33">
        <v>1</v>
      </c>
      <c r="F3556" s="33"/>
      <c r="G3556" s="522"/>
      <c r="H3556" s="707">
        <v>2</v>
      </c>
      <c r="I3556" s="707">
        <f t="shared" si="110"/>
        <v>2.2999999999999998</v>
      </c>
      <c r="J3556" s="707">
        <f t="shared" si="111"/>
        <v>2.6</v>
      </c>
      <c r="K3556" s="70" t="s">
        <v>241</v>
      </c>
    </row>
    <row r="3557" spans="1:11" ht="24" customHeight="1">
      <c r="A3557" s="222" t="s">
        <v>1849</v>
      </c>
      <c r="B3557" s="222" t="s">
        <v>10</v>
      </c>
      <c r="C3557" s="33">
        <v>22</v>
      </c>
      <c r="D3557" s="2" t="s">
        <v>1785</v>
      </c>
      <c r="E3557" s="33">
        <v>2</v>
      </c>
      <c r="F3557" s="33"/>
      <c r="G3557" s="522"/>
      <c r="H3557" s="707"/>
      <c r="I3557" s="707">
        <f t="shared" si="110"/>
        <v>0</v>
      </c>
      <c r="J3557" s="707">
        <f t="shared" si="111"/>
        <v>0</v>
      </c>
      <c r="K3557" s="70" t="s">
        <v>241</v>
      </c>
    </row>
    <row r="3558" spans="1:11" ht="24" customHeight="1">
      <c r="A3558" s="222" t="s">
        <v>1849</v>
      </c>
      <c r="B3558" s="222" t="s">
        <v>10</v>
      </c>
      <c r="C3558" s="33">
        <v>100</v>
      </c>
      <c r="D3558" s="2" t="s">
        <v>3553</v>
      </c>
      <c r="E3558" s="33">
        <v>2</v>
      </c>
      <c r="F3558" s="33"/>
      <c r="G3558" s="522"/>
      <c r="H3558" s="707"/>
      <c r="I3558" s="707">
        <f t="shared" si="110"/>
        <v>0</v>
      </c>
      <c r="J3558" s="707">
        <f t="shared" si="111"/>
        <v>0</v>
      </c>
      <c r="K3558" s="70" t="s">
        <v>241</v>
      </c>
    </row>
    <row r="3559" spans="1:11" ht="14.4">
      <c r="A3559" s="222" t="s">
        <v>1596</v>
      </c>
      <c r="B3559" s="222" t="s">
        <v>10</v>
      </c>
      <c r="C3559" s="33">
        <v>58</v>
      </c>
      <c r="D3559" s="33" t="s">
        <v>1548</v>
      </c>
      <c r="E3559" s="33">
        <v>3</v>
      </c>
      <c r="F3559" s="33"/>
      <c r="G3559" s="522"/>
      <c r="H3559" s="707"/>
      <c r="I3559" s="707">
        <f t="shared" si="110"/>
        <v>0</v>
      </c>
      <c r="J3559" s="707">
        <f t="shared" si="111"/>
        <v>0</v>
      </c>
      <c r="K3559" s="70"/>
    </row>
    <row r="3560" spans="1:11" ht="14.4">
      <c r="A3560" s="222" t="s">
        <v>1596</v>
      </c>
      <c r="B3560" s="222" t="s">
        <v>10</v>
      </c>
      <c r="C3560" s="33">
        <v>10</v>
      </c>
      <c r="D3560" s="33" t="s">
        <v>1938</v>
      </c>
      <c r="E3560" s="33">
        <v>2</v>
      </c>
      <c r="F3560" s="33"/>
      <c r="G3560" s="522"/>
      <c r="H3560" s="707"/>
      <c r="I3560" s="707">
        <f t="shared" si="110"/>
        <v>0</v>
      </c>
      <c r="J3560" s="707">
        <f t="shared" si="111"/>
        <v>0</v>
      </c>
      <c r="K3560" s="70"/>
    </row>
    <row r="3561" spans="1:11" ht="14.4">
      <c r="A3561" s="235" t="s">
        <v>3043</v>
      </c>
      <c r="B3561" s="235" t="s">
        <v>10</v>
      </c>
      <c r="C3561" s="59">
        <v>220</v>
      </c>
      <c r="D3561" s="33" t="s">
        <v>3027</v>
      </c>
      <c r="E3561" s="33">
        <v>1</v>
      </c>
      <c r="F3561" s="33"/>
      <c r="G3561" s="522"/>
      <c r="H3561" s="707"/>
      <c r="I3561" s="707">
        <f t="shared" si="110"/>
        <v>0</v>
      </c>
      <c r="J3561" s="707">
        <f t="shared" si="111"/>
        <v>0</v>
      </c>
      <c r="K3561" s="70"/>
    </row>
    <row r="3562" spans="1:11" ht="14.4">
      <c r="A3562" s="222" t="s">
        <v>334</v>
      </c>
      <c r="B3562" s="222" t="s">
        <v>10</v>
      </c>
      <c r="C3562" s="33">
        <v>10</v>
      </c>
      <c r="D3562" s="2" t="s">
        <v>274</v>
      </c>
      <c r="E3562" s="33">
        <v>2</v>
      </c>
      <c r="F3562" s="33"/>
      <c r="G3562" s="522"/>
      <c r="H3562" s="707"/>
      <c r="I3562" s="707">
        <f t="shared" si="110"/>
        <v>0</v>
      </c>
      <c r="J3562" s="707">
        <f t="shared" si="111"/>
        <v>0</v>
      </c>
      <c r="K3562" s="70" t="s">
        <v>51</v>
      </c>
    </row>
    <row r="3563" spans="1:11" ht="14.4">
      <c r="A3563" s="672" t="s">
        <v>3563</v>
      </c>
      <c r="B3563" s="222" t="s">
        <v>10</v>
      </c>
      <c r="C3563" s="2">
        <v>100</v>
      </c>
      <c r="D3563" s="2" t="s">
        <v>3553</v>
      </c>
      <c r="E3563" s="33">
        <v>2</v>
      </c>
      <c r="F3563" s="33"/>
      <c r="G3563" s="522"/>
      <c r="H3563" s="707"/>
      <c r="I3563" s="707">
        <f t="shared" si="110"/>
        <v>0</v>
      </c>
      <c r="J3563" s="707">
        <f t="shared" si="111"/>
        <v>0</v>
      </c>
      <c r="K3563" s="70"/>
    </row>
    <row r="3564" spans="1:11" ht="24" customHeight="1">
      <c r="A3564" s="222" t="s">
        <v>93</v>
      </c>
      <c r="B3564" s="222" t="s">
        <v>94</v>
      </c>
      <c r="C3564" s="33">
        <v>6</v>
      </c>
      <c r="D3564" s="2" t="s">
        <v>11</v>
      </c>
      <c r="E3564" s="33">
        <v>1</v>
      </c>
      <c r="F3564" s="33"/>
      <c r="G3564" s="522"/>
      <c r="H3564" s="707"/>
      <c r="I3564" s="707">
        <f t="shared" si="110"/>
        <v>0</v>
      </c>
      <c r="J3564" s="707">
        <f t="shared" si="111"/>
        <v>0</v>
      </c>
      <c r="K3564" s="70"/>
    </row>
    <row r="3565" spans="1:11" ht="24" customHeight="1">
      <c r="A3565" s="19" t="s">
        <v>480</v>
      </c>
      <c r="B3565" s="19" t="s">
        <v>10</v>
      </c>
      <c r="C3565" s="2">
        <v>19</v>
      </c>
      <c r="D3565" s="65" t="s">
        <v>3348</v>
      </c>
      <c r="E3565" s="33">
        <v>5</v>
      </c>
      <c r="F3565" s="33"/>
      <c r="G3565" s="522"/>
      <c r="H3565" s="707">
        <v>2.5</v>
      </c>
      <c r="I3565" s="707">
        <f t="shared" si="110"/>
        <v>2.875</v>
      </c>
      <c r="J3565" s="707">
        <f t="shared" si="111"/>
        <v>3.25</v>
      </c>
      <c r="K3565" s="70" t="s">
        <v>3439</v>
      </c>
    </row>
    <row r="3566" spans="1:11" ht="24" customHeight="1">
      <c r="A3566" s="19" t="s">
        <v>480</v>
      </c>
      <c r="B3566" s="19" t="s">
        <v>481</v>
      </c>
      <c r="C3566" s="2">
        <v>2</v>
      </c>
      <c r="D3566" s="2" t="s">
        <v>274</v>
      </c>
      <c r="E3566" s="33">
        <v>3</v>
      </c>
      <c r="F3566" s="33"/>
      <c r="G3566" s="522"/>
      <c r="H3566" s="707">
        <v>2.5</v>
      </c>
      <c r="I3566" s="707">
        <f t="shared" si="110"/>
        <v>2.875</v>
      </c>
      <c r="J3566" s="707">
        <f t="shared" si="111"/>
        <v>3.25</v>
      </c>
      <c r="K3566" s="70"/>
    </row>
    <row r="3567" spans="1:11" ht="24" customHeight="1">
      <c r="A3567" s="19" t="s">
        <v>3587</v>
      </c>
      <c r="B3567" s="19" t="s">
        <v>10</v>
      </c>
      <c r="C3567" s="2">
        <v>14</v>
      </c>
      <c r="D3567" s="33" t="s">
        <v>3568</v>
      </c>
      <c r="E3567" s="33">
        <v>2</v>
      </c>
      <c r="F3567" s="33"/>
      <c r="G3567" s="522"/>
      <c r="H3567" s="707"/>
      <c r="I3567" s="707">
        <f t="shared" si="110"/>
        <v>0</v>
      </c>
      <c r="J3567" s="707">
        <f t="shared" si="111"/>
        <v>0</v>
      </c>
      <c r="K3567" s="312" t="s">
        <v>3576</v>
      </c>
    </row>
    <row r="3568" spans="1:11" ht="24" customHeight="1">
      <c r="A3568" s="19" t="s">
        <v>327</v>
      </c>
      <c r="B3568" s="19" t="s">
        <v>50</v>
      </c>
      <c r="C3568" s="2">
        <v>6</v>
      </c>
      <c r="D3568" s="2" t="s">
        <v>274</v>
      </c>
      <c r="E3568" s="33">
        <v>1</v>
      </c>
      <c r="F3568" s="33"/>
      <c r="G3568" s="522"/>
      <c r="H3568" s="707">
        <v>2.2999999999999998</v>
      </c>
      <c r="I3568" s="707">
        <f t="shared" si="110"/>
        <v>2.6449999999999996</v>
      </c>
      <c r="J3568" s="707">
        <f t="shared" si="111"/>
        <v>2.9899999999999998</v>
      </c>
      <c r="K3568" s="70"/>
    </row>
    <row r="3569" spans="1:11" ht="24" customHeight="1">
      <c r="A3569" s="2" t="s">
        <v>193</v>
      </c>
      <c r="B3569" s="2" t="s">
        <v>10</v>
      </c>
      <c r="C3569" s="2">
        <v>39</v>
      </c>
      <c r="D3569" s="2" t="s">
        <v>593</v>
      </c>
      <c r="E3569" s="33">
        <v>2</v>
      </c>
      <c r="F3569" s="33"/>
      <c r="G3569" s="522"/>
      <c r="H3569" s="707">
        <v>2.2999999999999998</v>
      </c>
      <c r="I3569" s="707">
        <f t="shared" si="110"/>
        <v>2.6449999999999996</v>
      </c>
      <c r="J3569" s="707">
        <f t="shared" si="111"/>
        <v>2.9899999999999998</v>
      </c>
      <c r="K3569" s="70"/>
    </row>
    <row r="3570" spans="1:11" ht="24" customHeight="1">
      <c r="A3570" s="19" t="s">
        <v>193</v>
      </c>
      <c r="B3570" s="19" t="s">
        <v>10</v>
      </c>
      <c r="C3570" s="2">
        <v>1</v>
      </c>
      <c r="D3570" s="2" t="s">
        <v>3618</v>
      </c>
      <c r="E3570" s="33">
        <v>5</v>
      </c>
      <c r="F3570" s="33"/>
      <c r="G3570" s="522"/>
      <c r="H3570" s="707">
        <v>2.2999999999999998</v>
      </c>
      <c r="I3570" s="707">
        <f t="shared" si="110"/>
        <v>2.6449999999999996</v>
      </c>
      <c r="J3570" s="707">
        <f t="shared" si="111"/>
        <v>2.9899999999999998</v>
      </c>
      <c r="K3570" s="55"/>
    </row>
    <row r="3571" spans="1:11" ht="24" customHeight="1">
      <c r="A3571" s="222" t="s">
        <v>1665</v>
      </c>
      <c r="B3571" s="222" t="s">
        <v>10</v>
      </c>
      <c r="C3571" s="33">
        <v>2</v>
      </c>
      <c r="D3571" s="33" t="s">
        <v>1548</v>
      </c>
      <c r="E3571" s="33">
        <v>5</v>
      </c>
      <c r="F3571" s="33"/>
      <c r="G3571" s="522"/>
      <c r="H3571" s="707"/>
      <c r="I3571" s="707">
        <f t="shared" si="110"/>
        <v>0</v>
      </c>
      <c r="J3571" s="707">
        <f t="shared" si="111"/>
        <v>0</v>
      </c>
      <c r="K3571" s="70"/>
    </row>
    <row r="3572" spans="1:11" ht="24" customHeight="1">
      <c r="A3572" s="222" t="s">
        <v>1665</v>
      </c>
      <c r="B3572" s="222" t="s">
        <v>10</v>
      </c>
      <c r="C3572" s="33">
        <v>11</v>
      </c>
      <c r="D3572" s="2" t="s">
        <v>3256</v>
      </c>
      <c r="E3572" s="33">
        <v>1</v>
      </c>
      <c r="F3572" s="33"/>
      <c r="G3572" s="522"/>
      <c r="H3572" s="707"/>
      <c r="I3572" s="707">
        <f t="shared" si="110"/>
        <v>0</v>
      </c>
      <c r="J3572" s="707">
        <f t="shared" si="111"/>
        <v>0</v>
      </c>
      <c r="K3572" s="70"/>
    </row>
    <row r="3573" spans="1:11" ht="24" customHeight="1">
      <c r="A3573" s="222" t="s">
        <v>333</v>
      </c>
      <c r="B3573" s="222" t="s">
        <v>10</v>
      </c>
      <c r="C3573" s="33">
        <v>22</v>
      </c>
      <c r="D3573" s="2" t="s">
        <v>274</v>
      </c>
      <c r="E3573" s="33">
        <v>2</v>
      </c>
      <c r="F3573" s="33"/>
      <c r="G3573" s="522"/>
      <c r="H3573" s="707"/>
      <c r="I3573" s="707">
        <f t="shared" si="110"/>
        <v>0</v>
      </c>
      <c r="J3573" s="707">
        <f t="shared" si="111"/>
        <v>0</v>
      </c>
      <c r="K3573" s="70"/>
    </row>
    <row r="3574" spans="1:11" ht="24" customHeight="1">
      <c r="A3574" s="74" t="s">
        <v>333</v>
      </c>
      <c r="B3574" s="74" t="s">
        <v>10</v>
      </c>
      <c r="C3574" s="74">
        <v>2</v>
      </c>
      <c r="D3574" s="33" t="s">
        <v>2026</v>
      </c>
      <c r="E3574" s="33">
        <v>5</v>
      </c>
      <c r="F3574" s="33"/>
      <c r="G3574" s="522"/>
      <c r="H3574" s="707">
        <v>2</v>
      </c>
      <c r="I3574" s="707">
        <f t="shared" si="110"/>
        <v>2.2999999999999998</v>
      </c>
      <c r="J3574" s="707">
        <f t="shared" si="111"/>
        <v>2.6</v>
      </c>
      <c r="K3574" s="70"/>
    </row>
    <row r="3575" spans="1:11" ht="24" customHeight="1">
      <c r="A3575" s="9" t="s">
        <v>333</v>
      </c>
      <c r="B3575" s="9" t="s">
        <v>14</v>
      </c>
      <c r="C3575" s="11">
        <v>1</v>
      </c>
      <c r="D3575" s="131" t="s">
        <v>3451</v>
      </c>
      <c r="E3575" s="15">
        <v>3</v>
      </c>
      <c r="F3575" s="15"/>
      <c r="G3575" s="684"/>
      <c r="H3575" s="707"/>
      <c r="I3575" s="707">
        <f t="shared" si="110"/>
        <v>0</v>
      </c>
      <c r="J3575" s="707">
        <f t="shared" si="111"/>
        <v>0</v>
      </c>
      <c r="K3575" s="70"/>
    </row>
    <row r="3576" spans="1:11" ht="24" customHeight="1">
      <c r="A3576" s="19" t="s">
        <v>348</v>
      </c>
      <c r="B3576" s="19" t="s">
        <v>50</v>
      </c>
      <c r="C3576" s="2">
        <v>52</v>
      </c>
      <c r="D3576" s="2" t="s">
        <v>274</v>
      </c>
      <c r="E3576" s="33">
        <v>1</v>
      </c>
      <c r="F3576" s="33"/>
      <c r="G3576" s="522"/>
      <c r="H3576" s="707"/>
      <c r="I3576" s="707">
        <f t="shared" si="110"/>
        <v>0</v>
      </c>
      <c r="J3576" s="707">
        <f t="shared" si="111"/>
        <v>0</v>
      </c>
      <c r="K3576" s="70"/>
    </row>
    <row r="3577" spans="1:11" ht="24" customHeight="1">
      <c r="A3577" s="19" t="s">
        <v>48</v>
      </c>
      <c r="B3577" s="19" t="s">
        <v>10</v>
      </c>
      <c r="C3577" s="2">
        <v>9</v>
      </c>
      <c r="D3577" s="2" t="s">
        <v>11</v>
      </c>
      <c r="E3577" s="33">
        <v>1</v>
      </c>
      <c r="F3577" s="33"/>
      <c r="G3577" s="522"/>
      <c r="H3577" s="707"/>
      <c r="I3577" s="707">
        <f t="shared" si="110"/>
        <v>0</v>
      </c>
      <c r="J3577" s="707">
        <f t="shared" si="111"/>
        <v>0</v>
      </c>
      <c r="K3577" s="70"/>
    </row>
    <row r="3578" spans="1:11" ht="24" customHeight="1">
      <c r="A3578" s="431" t="s">
        <v>48</v>
      </c>
      <c r="B3578" s="431" t="s">
        <v>50</v>
      </c>
      <c r="C3578" s="74">
        <v>2</v>
      </c>
      <c r="D3578" s="33" t="s">
        <v>2026</v>
      </c>
      <c r="E3578" s="33">
        <v>5</v>
      </c>
      <c r="F3578" s="33"/>
      <c r="G3578" s="522"/>
      <c r="H3578" s="707"/>
      <c r="I3578" s="707">
        <f t="shared" si="110"/>
        <v>0</v>
      </c>
      <c r="J3578" s="707">
        <f t="shared" si="111"/>
        <v>0</v>
      </c>
      <c r="K3578" s="70"/>
    </row>
    <row r="3579" spans="1:11" ht="24" customHeight="1">
      <c r="A3579" s="9" t="s">
        <v>48</v>
      </c>
      <c r="B3579" s="9" t="s">
        <v>10</v>
      </c>
      <c r="C3579" s="11">
        <v>1</v>
      </c>
      <c r="D3579" s="131" t="s">
        <v>3539</v>
      </c>
      <c r="E3579" s="15">
        <v>4</v>
      </c>
      <c r="F3579" s="15"/>
      <c r="G3579" s="684"/>
      <c r="H3579" s="707"/>
      <c r="I3579" s="707">
        <f t="shared" si="110"/>
        <v>0</v>
      </c>
      <c r="J3579" s="707">
        <f t="shared" si="111"/>
        <v>0</v>
      </c>
      <c r="K3579" s="70"/>
    </row>
    <row r="3580" spans="1:11" ht="24" customHeight="1">
      <c r="A3580" s="19" t="s">
        <v>1795</v>
      </c>
      <c r="B3580" s="19" t="s">
        <v>10</v>
      </c>
      <c r="C3580" s="2">
        <v>14</v>
      </c>
      <c r="D3580" s="2" t="s">
        <v>1785</v>
      </c>
      <c r="E3580" s="33">
        <v>1</v>
      </c>
      <c r="F3580" s="33"/>
      <c r="G3580" s="522"/>
      <c r="H3580" s="707"/>
      <c r="I3580" s="707">
        <f t="shared" si="110"/>
        <v>0</v>
      </c>
      <c r="J3580" s="707">
        <f t="shared" si="111"/>
        <v>0</v>
      </c>
      <c r="K3580" s="70"/>
    </row>
    <row r="3581" spans="1:11" ht="24" customHeight="1">
      <c r="A3581" s="222" t="s">
        <v>674</v>
      </c>
      <c r="B3581" s="222" t="s">
        <v>10</v>
      </c>
      <c r="C3581" s="33">
        <v>13</v>
      </c>
      <c r="D3581" s="2" t="s">
        <v>593</v>
      </c>
      <c r="E3581" s="33">
        <v>1</v>
      </c>
      <c r="F3581" s="33"/>
      <c r="G3581" s="522"/>
      <c r="H3581" s="707"/>
      <c r="I3581" s="707">
        <f t="shared" si="110"/>
        <v>0</v>
      </c>
      <c r="J3581" s="707">
        <f t="shared" si="111"/>
        <v>0</v>
      </c>
      <c r="K3581" s="70" t="s">
        <v>51</v>
      </c>
    </row>
    <row r="3582" spans="1:11" ht="24" customHeight="1">
      <c r="A3582" s="431" t="s">
        <v>1313</v>
      </c>
      <c r="B3582" s="431" t="s">
        <v>10</v>
      </c>
      <c r="C3582" s="74">
        <v>100</v>
      </c>
      <c r="D3582" s="33" t="s">
        <v>1201</v>
      </c>
      <c r="E3582" s="33">
        <v>5</v>
      </c>
      <c r="F3582" s="33"/>
      <c r="G3582" s="522"/>
      <c r="H3582" s="707">
        <v>2</v>
      </c>
      <c r="I3582" s="707">
        <f t="shared" si="110"/>
        <v>2.2999999999999998</v>
      </c>
      <c r="J3582" s="707">
        <f t="shared" si="111"/>
        <v>2.6</v>
      </c>
      <c r="K3582" s="70"/>
    </row>
    <row r="3583" spans="1:11" ht="24" customHeight="1">
      <c r="A3583" s="19" t="s">
        <v>47</v>
      </c>
      <c r="B3583" s="19" t="s">
        <v>10</v>
      </c>
      <c r="C3583" s="2">
        <v>1</v>
      </c>
      <c r="D3583" s="2" t="s">
        <v>11</v>
      </c>
      <c r="E3583" s="33">
        <v>1</v>
      </c>
      <c r="F3583" s="33"/>
      <c r="G3583" s="522"/>
      <c r="H3583" s="707"/>
      <c r="I3583" s="707">
        <f t="shared" si="110"/>
        <v>0</v>
      </c>
      <c r="J3583" s="707">
        <f t="shared" si="111"/>
        <v>0</v>
      </c>
      <c r="K3583" s="70"/>
    </row>
    <row r="3584" spans="1:11" ht="24" customHeight="1">
      <c r="A3584" s="222" t="s">
        <v>1020</v>
      </c>
      <c r="B3584" s="222" t="s">
        <v>1021</v>
      </c>
      <c r="C3584" s="33">
        <v>45</v>
      </c>
      <c r="D3584" s="33" t="s">
        <v>992</v>
      </c>
      <c r="E3584" s="33">
        <v>3</v>
      </c>
      <c r="F3584" s="33"/>
      <c r="G3584" s="522"/>
      <c r="H3584" s="707">
        <v>2</v>
      </c>
      <c r="I3584" s="707">
        <f t="shared" si="110"/>
        <v>2.2999999999999998</v>
      </c>
      <c r="J3584" s="707">
        <f t="shared" si="111"/>
        <v>2.6</v>
      </c>
      <c r="K3584" s="70"/>
    </row>
    <row r="3585" spans="1:11" ht="24" customHeight="1">
      <c r="A3585" s="233" t="s">
        <v>1020</v>
      </c>
      <c r="B3585" s="233" t="s">
        <v>10</v>
      </c>
      <c r="C3585" s="3">
        <v>8</v>
      </c>
      <c r="D3585" s="58" t="s">
        <v>2802</v>
      </c>
      <c r="E3585" s="33">
        <v>2</v>
      </c>
      <c r="F3585" s="33"/>
      <c r="G3585" s="522"/>
      <c r="H3585" s="707"/>
      <c r="I3585" s="707">
        <f t="shared" si="110"/>
        <v>0</v>
      </c>
      <c r="J3585" s="707">
        <f t="shared" si="111"/>
        <v>0</v>
      </c>
      <c r="K3585" s="70"/>
    </row>
    <row r="3586" spans="1:11" ht="24" customHeight="1">
      <c r="A3586" s="222" t="s">
        <v>2389</v>
      </c>
      <c r="B3586" s="222" t="s">
        <v>10</v>
      </c>
      <c r="C3586" s="33">
        <v>4</v>
      </c>
      <c r="D3586" s="33" t="s">
        <v>2363</v>
      </c>
      <c r="E3586" s="33">
        <v>3</v>
      </c>
      <c r="F3586" s="33"/>
      <c r="G3586" s="522"/>
      <c r="H3586" s="707"/>
      <c r="I3586" s="707">
        <f t="shared" si="110"/>
        <v>0</v>
      </c>
      <c r="J3586" s="707">
        <f t="shared" si="111"/>
        <v>0</v>
      </c>
      <c r="K3586" s="70"/>
    </row>
    <row r="3587" spans="1:11" ht="24" customHeight="1">
      <c r="A3587" s="235" t="s">
        <v>2389</v>
      </c>
      <c r="B3587" s="235" t="s">
        <v>10</v>
      </c>
      <c r="C3587" s="59">
        <v>53</v>
      </c>
      <c r="D3587" s="33" t="s">
        <v>3027</v>
      </c>
      <c r="E3587" s="33">
        <v>1</v>
      </c>
      <c r="F3587" s="33"/>
      <c r="G3587" s="522"/>
      <c r="H3587" s="707"/>
      <c r="I3587" s="707">
        <f t="shared" ref="I3587:I3650" si="112">H3587 * 1.15</f>
        <v>0</v>
      </c>
      <c r="J3587" s="707">
        <f t="shared" ref="J3587:J3650" si="113">H3587 * 1.3</f>
        <v>0</v>
      </c>
      <c r="K3587" s="70"/>
    </row>
    <row r="3588" spans="1:11" ht="24" customHeight="1">
      <c r="A3588" s="235" t="s">
        <v>2672</v>
      </c>
      <c r="B3588" s="235" t="s">
        <v>14</v>
      </c>
      <c r="C3588" s="59">
        <v>117</v>
      </c>
      <c r="D3588" s="33" t="s">
        <v>2624</v>
      </c>
      <c r="E3588" s="354">
        <v>5</v>
      </c>
      <c r="F3588" s="354"/>
      <c r="G3588" s="688"/>
      <c r="H3588" s="707"/>
      <c r="I3588" s="707">
        <f t="shared" si="112"/>
        <v>0</v>
      </c>
      <c r="J3588" s="707">
        <f t="shared" si="113"/>
        <v>0</v>
      </c>
      <c r="K3588" s="70"/>
    </row>
    <row r="3589" spans="1:11" ht="24" customHeight="1">
      <c r="A3589" s="222" t="s">
        <v>3560</v>
      </c>
      <c r="B3589" s="222" t="s">
        <v>10</v>
      </c>
      <c r="C3589" s="33">
        <v>100</v>
      </c>
      <c r="D3589" s="2" t="s">
        <v>3553</v>
      </c>
      <c r="E3589" s="33">
        <v>2</v>
      </c>
      <c r="F3589" s="33"/>
      <c r="G3589" s="522"/>
      <c r="H3589" s="707"/>
      <c r="I3589" s="707">
        <f t="shared" si="112"/>
        <v>0</v>
      </c>
      <c r="J3589" s="707">
        <f t="shared" si="113"/>
        <v>0</v>
      </c>
      <c r="K3589" s="70"/>
    </row>
    <row r="3590" spans="1:11" ht="24" customHeight="1">
      <c r="A3590" s="222" t="s">
        <v>3341</v>
      </c>
      <c r="B3590" s="222" t="s">
        <v>10</v>
      </c>
      <c r="C3590" s="33">
        <v>78</v>
      </c>
      <c r="D3590" s="65" t="s">
        <v>3348</v>
      </c>
      <c r="E3590" s="33">
        <v>5</v>
      </c>
      <c r="F3590" s="33"/>
      <c r="G3590" s="522"/>
      <c r="H3590" s="707"/>
      <c r="I3590" s="707">
        <f t="shared" si="112"/>
        <v>0</v>
      </c>
      <c r="J3590" s="707">
        <f t="shared" si="113"/>
        <v>0</v>
      </c>
      <c r="K3590" s="70"/>
    </row>
    <row r="3591" spans="1:11" ht="24" customHeight="1">
      <c r="A3591" s="3" t="s">
        <v>2932</v>
      </c>
      <c r="B3591" s="3" t="s">
        <v>10</v>
      </c>
      <c r="C3591" s="3">
        <v>35</v>
      </c>
      <c r="D3591" s="15" t="s">
        <v>2918</v>
      </c>
      <c r="E3591" s="15">
        <v>1</v>
      </c>
      <c r="F3591" s="15"/>
      <c r="G3591" s="684"/>
      <c r="H3591" s="707"/>
      <c r="I3591" s="707">
        <f t="shared" si="112"/>
        <v>0</v>
      </c>
      <c r="J3591" s="707">
        <f t="shared" si="113"/>
        <v>0</v>
      </c>
      <c r="K3591" s="70" t="s">
        <v>51</v>
      </c>
    </row>
    <row r="3592" spans="1:11" ht="24" customHeight="1">
      <c r="A3592" s="222" t="s">
        <v>1254</v>
      </c>
      <c r="B3592" s="222" t="s">
        <v>81</v>
      </c>
      <c r="C3592" s="33">
        <v>1</v>
      </c>
      <c r="D3592" s="33" t="s">
        <v>1201</v>
      </c>
      <c r="E3592" s="33">
        <v>4</v>
      </c>
      <c r="F3592" s="33"/>
      <c r="G3592" s="522"/>
      <c r="H3592" s="707">
        <v>1</v>
      </c>
      <c r="I3592" s="707">
        <f t="shared" si="112"/>
        <v>1.1499999999999999</v>
      </c>
      <c r="J3592" s="707">
        <f t="shared" si="113"/>
        <v>1.3</v>
      </c>
      <c r="K3592" s="70" t="s">
        <v>51</v>
      </c>
    </row>
    <row r="3593" spans="1:11" ht="24" customHeight="1">
      <c r="A3593" s="74" t="s">
        <v>1254</v>
      </c>
      <c r="B3593" s="74" t="s">
        <v>10</v>
      </c>
      <c r="C3593" s="74">
        <v>2</v>
      </c>
      <c r="D3593" s="33" t="s">
        <v>1201</v>
      </c>
      <c r="E3593" s="33">
        <v>5</v>
      </c>
      <c r="F3593" s="33"/>
      <c r="G3593" s="522"/>
      <c r="H3593" s="707">
        <v>1</v>
      </c>
      <c r="I3593" s="707">
        <f t="shared" si="112"/>
        <v>1.1499999999999999</v>
      </c>
      <c r="J3593" s="707">
        <f t="shared" si="113"/>
        <v>1.3</v>
      </c>
      <c r="K3593" s="70" t="s">
        <v>51</v>
      </c>
    </row>
    <row r="3594" spans="1:11" ht="24" customHeight="1">
      <c r="A3594" s="74" t="s">
        <v>1254</v>
      </c>
      <c r="B3594" s="74" t="s">
        <v>10</v>
      </c>
      <c r="C3594" s="74">
        <v>4</v>
      </c>
      <c r="D3594" s="33" t="s">
        <v>1548</v>
      </c>
      <c r="E3594" s="33">
        <v>5</v>
      </c>
      <c r="F3594" s="33"/>
      <c r="G3594" s="522"/>
      <c r="H3594" s="707">
        <v>1</v>
      </c>
      <c r="I3594" s="707">
        <f t="shared" si="112"/>
        <v>1.1499999999999999</v>
      </c>
      <c r="J3594" s="707">
        <f t="shared" si="113"/>
        <v>1.3</v>
      </c>
      <c r="K3594" s="70" t="s">
        <v>51</v>
      </c>
    </row>
    <row r="3595" spans="1:11" ht="24" customHeight="1">
      <c r="A3595" s="2" t="s">
        <v>1254</v>
      </c>
      <c r="B3595" s="2" t="s">
        <v>10</v>
      </c>
      <c r="C3595" s="2">
        <v>23</v>
      </c>
      <c r="D3595" s="2" t="s">
        <v>1785</v>
      </c>
      <c r="E3595" s="33">
        <v>2</v>
      </c>
      <c r="F3595" s="33"/>
      <c r="G3595" s="522"/>
      <c r="H3595" s="707">
        <v>1</v>
      </c>
      <c r="I3595" s="707">
        <f t="shared" si="112"/>
        <v>1.1499999999999999</v>
      </c>
      <c r="J3595" s="707">
        <f t="shared" si="113"/>
        <v>1.3</v>
      </c>
      <c r="K3595" s="70" t="s">
        <v>51</v>
      </c>
    </row>
    <row r="3596" spans="1:11" ht="24" customHeight="1">
      <c r="A3596" s="2" t="s">
        <v>1254</v>
      </c>
      <c r="B3596" s="2" t="s">
        <v>10</v>
      </c>
      <c r="C3596" s="2">
        <v>2</v>
      </c>
      <c r="D3596" s="2" t="s">
        <v>3568</v>
      </c>
      <c r="E3596" s="33">
        <v>3</v>
      </c>
      <c r="F3596" s="33"/>
      <c r="G3596" s="522"/>
      <c r="H3596" s="707"/>
      <c r="I3596" s="707">
        <f t="shared" si="112"/>
        <v>0</v>
      </c>
      <c r="J3596" s="707">
        <f t="shared" si="113"/>
        <v>0</v>
      </c>
      <c r="K3596" s="70"/>
    </row>
    <row r="3597" spans="1:11" ht="24" customHeight="1">
      <c r="A3597" s="2" t="s">
        <v>1254</v>
      </c>
      <c r="B3597" s="2" t="s">
        <v>10</v>
      </c>
      <c r="C3597" s="2">
        <v>2</v>
      </c>
      <c r="D3597" s="2" t="s">
        <v>3671</v>
      </c>
      <c r="E3597" s="33">
        <v>2</v>
      </c>
      <c r="F3597" s="33"/>
      <c r="G3597" s="522"/>
      <c r="H3597" s="708"/>
      <c r="I3597" s="707">
        <f t="shared" si="112"/>
        <v>0</v>
      </c>
      <c r="J3597" s="708">
        <f t="shared" si="113"/>
        <v>0</v>
      </c>
      <c r="K3597" s="70"/>
    </row>
    <row r="3598" spans="1:11" ht="24" customHeight="1">
      <c r="A3598" s="33" t="s">
        <v>668</v>
      </c>
      <c r="B3598" s="33" t="s">
        <v>10</v>
      </c>
      <c r="C3598" s="33">
        <v>45</v>
      </c>
      <c r="D3598" s="2" t="s">
        <v>593</v>
      </c>
      <c r="E3598" s="33">
        <v>3</v>
      </c>
      <c r="F3598" s="33"/>
      <c r="G3598" s="522"/>
      <c r="H3598" s="707"/>
      <c r="I3598" s="707">
        <f t="shared" si="112"/>
        <v>0</v>
      </c>
      <c r="J3598" s="707">
        <f t="shared" si="113"/>
        <v>0</v>
      </c>
      <c r="K3598" s="70"/>
    </row>
    <row r="3599" spans="1:11" ht="24" customHeight="1">
      <c r="A3599" s="2" t="s">
        <v>3437</v>
      </c>
      <c r="B3599" s="2" t="s">
        <v>2402</v>
      </c>
      <c r="C3599" s="2">
        <v>25</v>
      </c>
      <c r="D3599" s="65" t="s">
        <v>3348</v>
      </c>
      <c r="E3599" s="33">
        <v>5</v>
      </c>
      <c r="F3599" s="33"/>
      <c r="G3599" s="522"/>
      <c r="H3599" s="707">
        <v>2</v>
      </c>
      <c r="I3599" s="707">
        <f t="shared" si="112"/>
        <v>2.2999999999999998</v>
      </c>
      <c r="J3599" s="707">
        <f t="shared" si="113"/>
        <v>2.6</v>
      </c>
      <c r="K3599" s="70"/>
    </row>
    <row r="3600" spans="1:11" ht="24" customHeight="1">
      <c r="A3600" s="33" t="s">
        <v>2948</v>
      </c>
      <c r="B3600" s="71" t="s">
        <v>10</v>
      </c>
      <c r="C3600" s="71">
        <v>23</v>
      </c>
      <c r="D3600" s="71" t="s">
        <v>2947</v>
      </c>
      <c r="E3600" s="71">
        <v>3</v>
      </c>
      <c r="F3600" s="71"/>
      <c r="G3600" s="686"/>
      <c r="H3600" s="709">
        <v>3</v>
      </c>
      <c r="I3600" s="709">
        <f t="shared" si="112"/>
        <v>3.4499999999999997</v>
      </c>
      <c r="J3600" s="709">
        <f t="shared" si="113"/>
        <v>3.9000000000000004</v>
      </c>
      <c r="K3600" s="70"/>
    </row>
    <row r="3601" spans="1:11" ht="24" customHeight="1">
      <c r="A3601" s="33" t="s">
        <v>2948</v>
      </c>
      <c r="B3601" s="33" t="s">
        <v>83</v>
      </c>
      <c r="C3601" s="33">
        <v>18</v>
      </c>
      <c r="D3601" s="33" t="s">
        <v>3053</v>
      </c>
      <c r="E3601" s="33">
        <v>2</v>
      </c>
      <c r="F3601" s="33"/>
      <c r="G3601" s="522"/>
      <c r="H3601" s="707">
        <v>3</v>
      </c>
      <c r="I3601" s="707">
        <f t="shared" si="112"/>
        <v>3.4499999999999997</v>
      </c>
      <c r="J3601" s="707">
        <f t="shared" si="113"/>
        <v>3.9000000000000004</v>
      </c>
      <c r="K3601" s="70"/>
    </row>
    <row r="3602" spans="1:11" ht="24" customHeight="1">
      <c r="A3602" s="2" t="s">
        <v>1876</v>
      </c>
      <c r="B3602" s="2" t="s">
        <v>10</v>
      </c>
      <c r="C3602" s="2">
        <v>40</v>
      </c>
      <c r="D3602" s="2" t="s">
        <v>1785</v>
      </c>
      <c r="E3602" s="33">
        <v>3</v>
      </c>
      <c r="F3602" s="33"/>
      <c r="G3602" s="522"/>
      <c r="H3602" s="707">
        <v>3</v>
      </c>
      <c r="I3602" s="707">
        <f t="shared" si="112"/>
        <v>3.4499999999999997</v>
      </c>
      <c r="J3602" s="707">
        <f t="shared" si="113"/>
        <v>3.9000000000000004</v>
      </c>
      <c r="K3602" s="70"/>
    </row>
    <row r="3603" spans="1:11" ht="24" customHeight="1">
      <c r="A3603" s="2" t="s">
        <v>1864</v>
      </c>
      <c r="B3603" s="2" t="s">
        <v>50</v>
      </c>
      <c r="C3603" s="2">
        <v>2</v>
      </c>
      <c r="D3603" s="2" t="s">
        <v>1785</v>
      </c>
      <c r="E3603" s="33">
        <v>3</v>
      </c>
      <c r="F3603" s="33"/>
      <c r="G3603" s="522"/>
      <c r="H3603" s="707">
        <v>3</v>
      </c>
      <c r="I3603" s="707">
        <f t="shared" si="112"/>
        <v>3.4499999999999997</v>
      </c>
      <c r="J3603" s="707">
        <f t="shared" si="113"/>
        <v>3.9000000000000004</v>
      </c>
      <c r="K3603" s="70"/>
    </row>
    <row r="3604" spans="1:11" ht="24" customHeight="1">
      <c r="A3604" s="2" t="s">
        <v>1828</v>
      </c>
      <c r="B3604" s="2" t="s">
        <v>50</v>
      </c>
      <c r="C3604" s="2">
        <v>8</v>
      </c>
      <c r="D3604" s="2" t="s">
        <v>1785</v>
      </c>
      <c r="E3604" s="33">
        <v>2</v>
      </c>
      <c r="F3604" s="33"/>
      <c r="G3604" s="522"/>
      <c r="H3604" s="707"/>
      <c r="I3604" s="707">
        <f t="shared" si="112"/>
        <v>0</v>
      </c>
      <c r="J3604" s="707">
        <f t="shared" si="113"/>
        <v>0</v>
      </c>
      <c r="K3604" s="70" t="s">
        <v>51</v>
      </c>
    </row>
    <row r="3605" spans="1:11" ht="24" customHeight="1">
      <c r="A3605" s="2" t="s">
        <v>570</v>
      </c>
      <c r="B3605" s="2" t="s">
        <v>481</v>
      </c>
      <c r="C3605" s="2">
        <v>20</v>
      </c>
      <c r="D3605" s="2" t="s">
        <v>536</v>
      </c>
      <c r="E3605" s="33">
        <v>5</v>
      </c>
      <c r="F3605" s="33"/>
      <c r="G3605" s="522"/>
      <c r="H3605" s="707"/>
      <c r="I3605" s="707">
        <f t="shared" si="112"/>
        <v>0</v>
      </c>
      <c r="J3605" s="707">
        <f t="shared" si="113"/>
        <v>0</v>
      </c>
      <c r="K3605" s="70"/>
    </row>
    <row r="3606" spans="1:11" ht="24" customHeight="1">
      <c r="A3606" s="2" t="s">
        <v>3336</v>
      </c>
      <c r="B3606" s="2" t="s">
        <v>10</v>
      </c>
      <c r="C3606" s="2">
        <v>2</v>
      </c>
      <c r="D3606" s="2" t="s">
        <v>3279</v>
      </c>
      <c r="E3606" s="33">
        <v>5</v>
      </c>
      <c r="F3606" s="33"/>
      <c r="G3606" s="522"/>
      <c r="H3606" s="707">
        <v>2</v>
      </c>
      <c r="I3606" s="707">
        <f t="shared" si="112"/>
        <v>2.2999999999999998</v>
      </c>
      <c r="J3606" s="707">
        <f t="shared" si="113"/>
        <v>2.6</v>
      </c>
      <c r="K3606" s="70" t="s">
        <v>3337</v>
      </c>
    </row>
    <row r="3607" spans="1:11" ht="24" customHeight="1">
      <c r="A3607" s="33" t="s">
        <v>3559</v>
      </c>
      <c r="B3607" s="33" t="s">
        <v>10</v>
      </c>
      <c r="C3607" s="33">
        <v>47</v>
      </c>
      <c r="D3607" s="2" t="s">
        <v>3553</v>
      </c>
      <c r="E3607" s="33">
        <v>2</v>
      </c>
      <c r="F3607" s="33"/>
      <c r="G3607" s="522"/>
      <c r="H3607" s="707"/>
      <c r="I3607" s="707">
        <f t="shared" si="112"/>
        <v>0</v>
      </c>
      <c r="J3607" s="707">
        <f t="shared" si="113"/>
        <v>0</v>
      </c>
      <c r="K3607" s="70"/>
    </row>
    <row r="3608" spans="1:11" ht="24" customHeight="1">
      <c r="A3608" s="2" t="s">
        <v>314</v>
      </c>
      <c r="B3608" s="2" t="s">
        <v>50</v>
      </c>
      <c r="C3608" s="2">
        <v>15</v>
      </c>
      <c r="D3608" s="2" t="s">
        <v>274</v>
      </c>
      <c r="E3608" s="33">
        <v>1</v>
      </c>
      <c r="F3608" s="33"/>
      <c r="G3608" s="522"/>
      <c r="H3608" s="707">
        <v>1</v>
      </c>
      <c r="I3608" s="707">
        <f t="shared" si="112"/>
        <v>1.1499999999999999</v>
      </c>
      <c r="J3608" s="707">
        <f t="shared" si="113"/>
        <v>1.3</v>
      </c>
      <c r="K3608" s="70"/>
    </row>
    <row r="3609" spans="1:11" ht="24" customHeight="1">
      <c r="A3609" s="2" t="s">
        <v>314</v>
      </c>
      <c r="B3609" s="2" t="s">
        <v>10</v>
      </c>
      <c r="C3609" s="2">
        <v>53</v>
      </c>
      <c r="D3609" s="2" t="s">
        <v>3553</v>
      </c>
      <c r="E3609" s="33">
        <v>2</v>
      </c>
      <c r="F3609" s="33"/>
      <c r="G3609" s="522"/>
      <c r="H3609" s="707"/>
      <c r="I3609" s="707">
        <f t="shared" si="112"/>
        <v>0</v>
      </c>
      <c r="J3609" s="707">
        <f t="shared" si="113"/>
        <v>0</v>
      </c>
      <c r="K3609" s="70"/>
    </row>
    <row r="3610" spans="1:11" ht="24" customHeight="1">
      <c r="A3610" s="33" t="s">
        <v>314</v>
      </c>
      <c r="B3610" s="33" t="s">
        <v>10</v>
      </c>
      <c r="C3610" s="33">
        <v>50</v>
      </c>
      <c r="D3610" s="2" t="s">
        <v>3553</v>
      </c>
      <c r="E3610" s="33">
        <v>2</v>
      </c>
      <c r="F3610" s="33"/>
      <c r="G3610" s="522"/>
      <c r="H3610" s="707"/>
      <c r="I3610" s="707">
        <f t="shared" si="112"/>
        <v>0</v>
      </c>
      <c r="J3610" s="707">
        <f t="shared" si="113"/>
        <v>0</v>
      </c>
      <c r="K3610" s="70"/>
    </row>
    <row r="3611" spans="1:11" ht="24" customHeight="1">
      <c r="A3611" s="33" t="s">
        <v>2953</v>
      </c>
      <c r="B3611" s="33" t="s">
        <v>10</v>
      </c>
      <c r="C3611" s="33">
        <v>37</v>
      </c>
      <c r="D3611" s="71" t="s">
        <v>2947</v>
      </c>
      <c r="E3611" s="33">
        <v>3</v>
      </c>
      <c r="F3611" s="33"/>
      <c r="G3611" s="522"/>
      <c r="H3611" s="707">
        <v>10</v>
      </c>
      <c r="I3611" s="707">
        <f t="shared" si="112"/>
        <v>11.5</v>
      </c>
      <c r="J3611" s="707">
        <f t="shared" si="113"/>
        <v>13</v>
      </c>
      <c r="K3611" s="70"/>
    </row>
    <row r="3612" spans="1:11" ht="24" customHeight="1">
      <c r="A3612" s="33" t="s">
        <v>426</v>
      </c>
      <c r="B3612" s="33" t="s">
        <v>10</v>
      </c>
      <c r="C3612" s="33">
        <v>20</v>
      </c>
      <c r="D3612" s="2" t="s">
        <v>274</v>
      </c>
      <c r="E3612" s="33">
        <v>2</v>
      </c>
      <c r="F3612" s="33"/>
      <c r="G3612" s="522"/>
      <c r="H3612" s="707"/>
      <c r="I3612" s="707">
        <f t="shared" si="112"/>
        <v>0</v>
      </c>
      <c r="J3612" s="707">
        <f t="shared" si="113"/>
        <v>0</v>
      </c>
      <c r="K3612" s="70"/>
    </row>
    <row r="3613" spans="1:11" ht="24" customHeight="1">
      <c r="A3613" s="74" t="s">
        <v>426</v>
      </c>
      <c r="B3613" s="74" t="s">
        <v>10</v>
      </c>
      <c r="C3613" s="33">
        <v>6</v>
      </c>
      <c r="D3613" s="33" t="s">
        <v>2191</v>
      </c>
      <c r="E3613" s="33">
        <v>5</v>
      </c>
      <c r="F3613" s="33"/>
      <c r="G3613" s="522"/>
      <c r="H3613" s="707"/>
      <c r="I3613" s="707">
        <f t="shared" si="112"/>
        <v>0</v>
      </c>
      <c r="J3613" s="707">
        <f t="shared" si="113"/>
        <v>0</v>
      </c>
      <c r="K3613" s="70"/>
    </row>
    <row r="3614" spans="1:11" ht="24" customHeight="1">
      <c r="A3614" s="2" t="s">
        <v>1830</v>
      </c>
      <c r="B3614" s="2" t="s">
        <v>10</v>
      </c>
      <c r="C3614" s="2">
        <v>78</v>
      </c>
      <c r="D3614" s="2" t="s">
        <v>1785</v>
      </c>
      <c r="E3614" s="33">
        <v>2</v>
      </c>
      <c r="F3614" s="33"/>
      <c r="G3614" s="522"/>
      <c r="H3614" s="707">
        <v>1.5</v>
      </c>
      <c r="I3614" s="707">
        <f t="shared" si="112"/>
        <v>1.7249999999999999</v>
      </c>
      <c r="J3614" s="707">
        <f t="shared" si="113"/>
        <v>1.9500000000000002</v>
      </c>
      <c r="K3614" s="70"/>
    </row>
    <row r="3615" spans="1:11" ht="24" customHeight="1">
      <c r="A3615" s="74" t="s">
        <v>2239</v>
      </c>
      <c r="B3615" s="74" t="s">
        <v>50</v>
      </c>
      <c r="C3615" s="74">
        <v>4</v>
      </c>
      <c r="D3615" s="33" t="s">
        <v>2191</v>
      </c>
      <c r="E3615" s="33">
        <v>5</v>
      </c>
      <c r="F3615" s="33"/>
      <c r="G3615" s="522"/>
      <c r="H3615" s="707">
        <v>1.5</v>
      </c>
      <c r="I3615" s="707">
        <f t="shared" si="112"/>
        <v>1.7249999999999999</v>
      </c>
      <c r="J3615" s="707">
        <f t="shared" si="113"/>
        <v>1.9500000000000002</v>
      </c>
      <c r="K3615" s="70"/>
    </row>
    <row r="3616" spans="1:11" ht="24" customHeight="1">
      <c r="A3616" s="2" t="s">
        <v>2239</v>
      </c>
      <c r="B3616" s="2" t="s">
        <v>10</v>
      </c>
      <c r="C3616" s="2">
        <v>2</v>
      </c>
      <c r="D3616" s="2" t="s">
        <v>3568</v>
      </c>
      <c r="E3616" s="33">
        <v>3</v>
      </c>
      <c r="F3616" s="33"/>
      <c r="G3616" s="522"/>
      <c r="H3616" s="707"/>
      <c r="I3616" s="707">
        <f t="shared" si="112"/>
        <v>0</v>
      </c>
      <c r="J3616" s="707">
        <f t="shared" si="113"/>
        <v>0</v>
      </c>
      <c r="K3616" s="70"/>
    </row>
    <row r="3617" spans="1:11" ht="24" customHeight="1">
      <c r="A3617" s="74" t="s">
        <v>1440</v>
      </c>
      <c r="B3617" s="74" t="s">
        <v>10</v>
      </c>
      <c r="C3617" s="74">
        <v>8</v>
      </c>
      <c r="D3617" s="33" t="s">
        <v>1372</v>
      </c>
      <c r="E3617" s="33">
        <v>5</v>
      </c>
      <c r="F3617" s="33"/>
      <c r="G3617" s="522"/>
      <c r="H3617" s="707"/>
      <c r="I3617" s="707">
        <f t="shared" si="112"/>
        <v>0</v>
      </c>
      <c r="J3617" s="707">
        <f t="shared" si="113"/>
        <v>0</v>
      </c>
      <c r="K3617" s="70"/>
    </row>
    <row r="3618" spans="1:11" ht="24" customHeight="1">
      <c r="A3618" s="33" t="s">
        <v>895</v>
      </c>
      <c r="B3618" s="33" t="s">
        <v>10</v>
      </c>
      <c r="C3618" s="33">
        <v>20</v>
      </c>
      <c r="D3618" s="2" t="s">
        <v>888</v>
      </c>
      <c r="E3618" s="33">
        <v>5</v>
      </c>
      <c r="F3618" s="33"/>
      <c r="G3618" s="522"/>
      <c r="H3618" s="707"/>
      <c r="I3618" s="707">
        <f t="shared" si="112"/>
        <v>0</v>
      </c>
      <c r="J3618" s="707">
        <f t="shared" si="113"/>
        <v>0</v>
      </c>
      <c r="K3618" s="55"/>
    </row>
    <row r="3619" spans="1:11" ht="24" customHeight="1">
      <c r="A3619" s="59" t="s">
        <v>895</v>
      </c>
      <c r="B3619" s="59" t="s">
        <v>10</v>
      </c>
      <c r="C3619" s="59">
        <v>24</v>
      </c>
      <c r="D3619" s="33" t="s">
        <v>2624</v>
      </c>
      <c r="E3619" s="354">
        <v>5</v>
      </c>
      <c r="F3619" s="354"/>
      <c r="G3619" s="688"/>
      <c r="H3619" s="707"/>
      <c r="I3619" s="707">
        <f t="shared" si="112"/>
        <v>0</v>
      </c>
      <c r="J3619" s="707">
        <f t="shared" si="113"/>
        <v>0</v>
      </c>
      <c r="K3619" s="70"/>
    </row>
    <row r="3620" spans="1:11" ht="24" customHeight="1">
      <c r="A3620" s="74" t="s">
        <v>2096</v>
      </c>
      <c r="B3620" s="74" t="s">
        <v>10</v>
      </c>
      <c r="C3620" s="74">
        <v>1</v>
      </c>
      <c r="D3620" s="33" t="s">
        <v>2094</v>
      </c>
      <c r="E3620" s="33">
        <v>5</v>
      </c>
      <c r="F3620" s="33"/>
      <c r="G3620" s="522"/>
      <c r="H3620" s="707"/>
      <c r="I3620" s="707">
        <f t="shared" si="112"/>
        <v>0</v>
      </c>
      <c r="J3620" s="707">
        <f t="shared" si="113"/>
        <v>0</v>
      </c>
      <c r="K3620" s="70"/>
    </row>
    <row r="3621" spans="1:11" ht="24" customHeight="1">
      <c r="A3621" s="2" t="s">
        <v>1832</v>
      </c>
      <c r="B3621" s="2" t="s">
        <v>50</v>
      </c>
      <c r="C3621" s="2">
        <v>9</v>
      </c>
      <c r="D3621" s="2" t="s">
        <v>1785</v>
      </c>
      <c r="E3621" s="33">
        <v>2</v>
      </c>
      <c r="F3621" s="33"/>
      <c r="G3621" s="522"/>
      <c r="H3621" s="707">
        <v>10</v>
      </c>
      <c r="I3621" s="707">
        <f t="shared" si="112"/>
        <v>11.5</v>
      </c>
      <c r="J3621" s="707">
        <f t="shared" si="113"/>
        <v>13</v>
      </c>
      <c r="K3621" s="70"/>
    </row>
    <row r="3622" spans="1:11" ht="24" customHeight="1">
      <c r="A3622" s="2" t="s">
        <v>1872</v>
      </c>
      <c r="B3622" s="2" t="s">
        <v>50</v>
      </c>
      <c r="C3622" s="2">
        <v>7</v>
      </c>
      <c r="D3622" s="2" t="s">
        <v>1785</v>
      </c>
      <c r="E3622" s="33">
        <v>3</v>
      </c>
      <c r="F3622" s="33"/>
      <c r="G3622" s="522"/>
      <c r="H3622" s="707"/>
      <c r="I3622" s="707">
        <f t="shared" si="112"/>
        <v>0</v>
      </c>
      <c r="J3622" s="707">
        <f t="shared" si="113"/>
        <v>0</v>
      </c>
      <c r="K3622" s="70"/>
    </row>
    <row r="3623" spans="1:11" ht="24" customHeight="1">
      <c r="A3623" s="2" t="s">
        <v>581</v>
      </c>
      <c r="B3623" s="2" t="s">
        <v>50</v>
      </c>
      <c r="C3623" s="2">
        <v>9</v>
      </c>
      <c r="D3623" s="2" t="s">
        <v>536</v>
      </c>
      <c r="E3623" s="33">
        <v>5</v>
      </c>
      <c r="F3623" s="33"/>
      <c r="G3623" s="522"/>
      <c r="H3623" s="707"/>
      <c r="I3623" s="707">
        <f t="shared" si="112"/>
        <v>0</v>
      </c>
      <c r="J3623" s="707">
        <f t="shared" si="113"/>
        <v>0</v>
      </c>
      <c r="K3623" s="70"/>
    </row>
    <row r="3624" spans="1:11" ht="24" customHeight="1">
      <c r="A3624" s="33" t="s">
        <v>3270</v>
      </c>
      <c r="B3624" s="33" t="s">
        <v>10</v>
      </c>
      <c r="C3624" s="33">
        <v>9</v>
      </c>
      <c r="D3624" s="2" t="s">
        <v>3256</v>
      </c>
      <c r="E3624" s="33">
        <v>1</v>
      </c>
      <c r="F3624" s="33"/>
      <c r="G3624" s="522"/>
      <c r="H3624" s="707"/>
      <c r="I3624" s="707">
        <f t="shared" si="112"/>
        <v>0</v>
      </c>
      <c r="J3624" s="707">
        <f t="shared" si="113"/>
        <v>0</v>
      </c>
      <c r="K3624" s="70"/>
    </row>
    <row r="3625" spans="1:11" ht="24" customHeight="1">
      <c r="A3625" s="2" t="s">
        <v>344</v>
      </c>
      <c r="B3625" s="2" t="s">
        <v>50</v>
      </c>
      <c r="C3625" s="2">
        <v>12</v>
      </c>
      <c r="D3625" s="2" t="s">
        <v>274</v>
      </c>
      <c r="E3625" s="33">
        <v>1</v>
      </c>
      <c r="F3625" s="33"/>
      <c r="G3625" s="522"/>
      <c r="H3625" s="707"/>
      <c r="I3625" s="707">
        <f t="shared" si="112"/>
        <v>0</v>
      </c>
      <c r="J3625" s="707">
        <f t="shared" si="113"/>
        <v>0</v>
      </c>
      <c r="K3625" s="70"/>
    </row>
    <row r="3626" spans="1:11" ht="24" customHeight="1">
      <c r="A3626" s="33" t="s">
        <v>308</v>
      </c>
      <c r="B3626" s="33" t="s">
        <v>81</v>
      </c>
      <c r="C3626" s="33">
        <v>5</v>
      </c>
      <c r="D3626" s="71" t="s">
        <v>2947</v>
      </c>
      <c r="E3626" s="33">
        <v>3</v>
      </c>
      <c r="F3626" s="33"/>
      <c r="G3626" s="522"/>
      <c r="H3626" s="707">
        <v>1.5</v>
      </c>
      <c r="I3626" s="707">
        <f t="shared" si="112"/>
        <v>1.7249999999999999</v>
      </c>
      <c r="J3626" s="707">
        <f t="shared" si="113"/>
        <v>1.9500000000000002</v>
      </c>
      <c r="K3626" s="70" t="s">
        <v>51</v>
      </c>
    </row>
    <row r="3627" spans="1:11" ht="24" customHeight="1">
      <c r="A3627" s="33" t="s">
        <v>308</v>
      </c>
      <c r="B3627" s="33" t="s">
        <v>10</v>
      </c>
      <c r="C3627" s="33">
        <v>2</v>
      </c>
      <c r="D3627" s="2" t="s">
        <v>593</v>
      </c>
      <c r="E3627" s="33">
        <v>1</v>
      </c>
      <c r="F3627" s="33"/>
      <c r="G3627" s="522"/>
      <c r="H3627" s="707">
        <v>1.5</v>
      </c>
      <c r="I3627" s="707">
        <f t="shared" si="112"/>
        <v>1.7249999999999999</v>
      </c>
      <c r="J3627" s="707">
        <f t="shared" si="113"/>
        <v>1.9500000000000002</v>
      </c>
      <c r="K3627" s="70"/>
    </row>
    <row r="3628" spans="1:11" ht="24" customHeight="1">
      <c r="A3628" s="33" t="s">
        <v>308</v>
      </c>
      <c r="B3628" s="33" t="s">
        <v>10</v>
      </c>
      <c r="C3628" s="33">
        <v>4</v>
      </c>
      <c r="D3628" s="33" t="s">
        <v>2624</v>
      </c>
      <c r="E3628" s="33">
        <v>4</v>
      </c>
      <c r="F3628" s="33"/>
      <c r="G3628" s="522"/>
      <c r="H3628" s="707">
        <v>1.5</v>
      </c>
      <c r="I3628" s="707">
        <f t="shared" si="112"/>
        <v>1.7249999999999999</v>
      </c>
      <c r="J3628" s="707">
        <f t="shared" si="113"/>
        <v>1.9500000000000002</v>
      </c>
      <c r="K3628" s="70"/>
    </row>
    <row r="3629" spans="1:11" ht="24" customHeight="1">
      <c r="A3629" s="2" t="s">
        <v>308</v>
      </c>
      <c r="B3629" s="2" t="s">
        <v>10</v>
      </c>
      <c r="C3629" s="2">
        <v>100</v>
      </c>
      <c r="D3629" s="2" t="s">
        <v>3553</v>
      </c>
      <c r="E3629" s="33">
        <v>1</v>
      </c>
      <c r="F3629" s="33"/>
      <c r="G3629" s="522"/>
      <c r="H3629" s="707"/>
      <c r="I3629" s="707">
        <f t="shared" si="112"/>
        <v>0</v>
      </c>
      <c r="J3629" s="707">
        <f t="shared" si="113"/>
        <v>0</v>
      </c>
      <c r="K3629" s="70"/>
    </row>
    <row r="3630" spans="1:11" ht="24" customHeight="1">
      <c r="A3630" s="2" t="s">
        <v>3557</v>
      </c>
      <c r="B3630" s="2" t="s">
        <v>10</v>
      </c>
      <c r="C3630" s="2">
        <v>90</v>
      </c>
      <c r="D3630" s="2" t="s">
        <v>3553</v>
      </c>
      <c r="E3630" s="33">
        <v>1</v>
      </c>
      <c r="F3630" s="33"/>
      <c r="G3630" s="522"/>
      <c r="H3630" s="707"/>
      <c r="I3630" s="707">
        <f t="shared" si="112"/>
        <v>0</v>
      </c>
      <c r="J3630" s="707">
        <f t="shared" si="113"/>
        <v>0</v>
      </c>
      <c r="K3630" s="70"/>
    </row>
    <row r="3631" spans="1:11" ht="24" customHeight="1">
      <c r="A3631" s="33" t="s">
        <v>2628</v>
      </c>
      <c r="B3631" s="33" t="s">
        <v>10</v>
      </c>
      <c r="C3631" s="33">
        <v>12</v>
      </c>
      <c r="D3631" s="71" t="s">
        <v>2947</v>
      </c>
      <c r="E3631" s="33">
        <v>3</v>
      </c>
      <c r="F3631" s="33"/>
      <c r="G3631" s="522"/>
      <c r="H3631" s="707">
        <v>1</v>
      </c>
      <c r="I3631" s="707">
        <f t="shared" si="112"/>
        <v>1.1499999999999999</v>
      </c>
      <c r="J3631" s="707">
        <f t="shared" si="113"/>
        <v>1.3</v>
      </c>
      <c r="K3631" s="70"/>
    </row>
    <row r="3632" spans="1:11" ht="24" customHeight="1">
      <c r="A3632" s="33" t="s">
        <v>2628</v>
      </c>
      <c r="B3632" s="33" t="s">
        <v>10</v>
      </c>
      <c r="C3632" s="33">
        <v>31</v>
      </c>
      <c r="D3632" s="65" t="s">
        <v>3348</v>
      </c>
      <c r="E3632" s="33">
        <v>5</v>
      </c>
      <c r="F3632" s="33"/>
      <c r="G3632" s="522"/>
      <c r="H3632" s="707"/>
      <c r="I3632" s="707">
        <f t="shared" si="112"/>
        <v>0</v>
      </c>
      <c r="J3632" s="707">
        <f t="shared" si="113"/>
        <v>0</v>
      </c>
      <c r="K3632" s="70"/>
    </row>
    <row r="3633" spans="1:11" ht="24" customHeight="1">
      <c r="A3633" s="2" t="s">
        <v>1844</v>
      </c>
      <c r="B3633" s="2" t="s">
        <v>10</v>
      </c>
      <c r="C3633" s="2">
        <v>47</v>
      </c>
      <c r="D3633" s="2" t="s">
        <v>1785</v>
      </c>
      <c r="E3633" s="33">
        <v>2</v>
      </c>
      <c r="F3633" s="33"/>
      <c r="G3633" s="522"/>
      <c r="H3633" s="707">
        <v>2</v>
      </c>
      <c r="I3633" s="707">
        <f t="shared" si="112"/>
        <v>2.2999999999999998</v>
      </c>
      <c r="J3633" s="707">
        <f t="shared" si="113"/>
        <v>2.6</v>
      </c>
      <c r="K3633" s="70"/>
    </row>
    <row r="3634" spans="1:11" ht="24" customHeight="1">
      <c r="A3634" s="2" t="s">
        <v>1844</v>
      </c>
      <c r="B3634" s="2" t="s">
        <v>10</v>
      </c>
      <c r="C3634" s="2">
        <v>100</v>
      </c>
      <c r="D3634" s="2" t="s">
        <v>3553</v>
      </c>
      <c r="E3634" s="33">
        <v>1</v>
      </c>
      <c r="F3634" s="33"/>
      <c r="G3634" s="522"/>
      <c r="H3634" s="707"/>
      <c r="I3634" s="707">
        <f t="shared" si="112"/>
        <v>0</v>
      </c>
      <c r="J3634" s="707">
        <f t="shared" si="113"/>
        <v>0</v>
      </c>
      <c r="K3634" s="70"/>
    </row>
    <row r="3635" spans="1:11" ht="24" customHeight="1">
      <c r="A3635" s="74" t="s">
        <v>1674</v>
      </c>
      <c r="B3635" s="74" t="s">
        <v>10</v>
      </c>
      <c r="C3635" s="74">
        <v>1</v>
      </c>
      <c r="D3635" s="33" t="s">
        <v>1548</v>
      </c>
      <c r="E3635" s="33">
        <v>5</v>
      </c>
      <c r="F3635" s="33"/>
      <c r="G3635" s="522"/>
      <c r="H3635" s="707"/>
      <c r="I3635" s="707">
        <f t="shared" si="112"/>
        <v>0</v>
      </c>
      <c r="J3635" s="707">
        <f t="shared" si="113"/>
        <v>0</v>
      </c>
      <c r="K3635" s="70"/>
    </row>
    <row r="3636" spans="1:11" ht="24" customHeight="1">
      <c r="A3636" s="2" t="s">
        <v>1674</v>
      </c>
      <c r="B3636" s="2" t="s">
        <v>50</v>
      </c>
      <c r="C3636" s="2">
        <v>64</v>
      </c>
      <c r="D3636" s="2" t="s">
        <v>1785</v>
      </c>
      <c r="E3636" s="33">
        <v>1</v>
      </c>
      <c r="F3636" s="33"/>
      <c r="G3636" s="522"/>
      <c r="H3636" s="707"/>
      <c r="I3636" s="707">
        <f t="shared" si="112"/>
        <v>0</v>
      </c>
      <c r="J3636" s="707">
        <f t="shared" si="113"/>
        <v>0</v>
      </c>
      <c r="K3636" s="70"/>
    </row>
    <row r="3637" spans="1:11" ht="24" customHeight="1">
      <c r="A3637" s="33" t="s">
        <v>1674</v>
      </c>
      <c r="B3637" s="33" t="s">
        <v>10</v>
      </c>
      <c r="C3637" s="33">
        <v>2</v>
      </c>
      <c r="D3637" s="33" t="s">
        <v>2540</v>
      </c>
      <c r="E3637" s="33">
        <v>2</v>
      </c>
      <c r="F3637" s="33"/>
      <c r="G3637" s="522"/>
      <c r="H3637" s="707"/>
      <c r="I3637" s="707">
        <f t="shared" si="112"/>
        <v>0</v>
      </c>
      <c r="J3637" s="707">
        <f t="shared" si="113"/>
        <v>0</v>
      </c>
      <c r="K3637" s="70"/>
    </row>
    <row r="3638" spans="1:11" ht="24" customHeight="1">
      <c r="A3638" s="33" t="s">
        <v>1674</v>
      </c>
      <c r="B3638" s="33" t="s">
        <v>10</v>
      </c>
      <c r="C3638" s="33">
        <v>2</v>
      </c>
      <c r="D3638" s="33" t="s">
        <v>2624</v>
      </c>
      <c r="E3638" s="33">
        <v>4</v>
      </c>
      <c r="F3638" s="33"/>
      <c r="G3638" s="522"/>
      <c r="H3638" s="707"/>
      <c r="I3638" s="707">
        <f t="shared" si="112"/>
        <v>0</v>
      </c>
      <c r="J3638" s="707">
        <f t="shared" si="113"/>
        <v>0</v>
      </c>
      <c r="K3638" s="70"/>
    </row>
    <row r="3639" spans="1:11" ht="24" customHeight="1">
      <c r="A3639" s="2" t="s">
        <v>1674</v>
      </c>
      <c r="B3639" s="2" t="s">
        <v>50</v>
      </c>
      <c r="C3639" s="2">
        <v>26</v>
      </c>
      <c r="D3639" s="65" t="s">
        <v>3348</v>
      </c>
      <c r="E3639" s="33">
        <v>5</v>
      </c>
      <c r="F3639" s="33"/>
      <c r="G3639" s="522"/>
      <c r="H3639" s="707"/>
      <c r="I3639" s="707">
        <f t="shared" si="112"/>
        <v>0</v>
      </c>
      <c r="J3639" s="707">
        <f t="shared" si="113"/>
        <v>0</v>
      </c>
      <c r="K3639" s="70"/>
    </row>
    <row r="3640" spans="1:11" ht="24" customHeight="1">
      <c r="A3640" s="2" t="s">
        <v>1674</v>
      </c>
      <c r="B3640" s="2" t="s">
        <v>10</v>
      </c>
      <c r="C3640" s="2">
        <v>2</v>
      </c>
      <c r="D3640" s="2" t="s">
        <v>3671</v>
      </c>
      <c r="E3640" s="33">
        <v>2</v>
      </c>
      <c r="F3640" s="33"/>
      <c r="G3640" s="522"/>
      <c r="H3640" s="707"/>
      <c r="I3640" s="707">
        <f t="shared" si="112"/>
        <v>0</v>
      </c>
      <c r="J3640" s="707">
        <f t="shared" si="113"/>
        <v>0</v>
      </c>
      <c r="K3640" s="70"/>
    </row>
    <row r="3641" spans="1:11" ht="24" customHeight="1">
      <c r="A3641" s="74" t="s">
        <v>1666</v>
      </c>
      <c r="B3641" s="74" t="s">
        <v>10</v>
      </c>
      <c r="C3641" s="74">
        <v>2</v>
      </c>
      <c r="D3641" s="33" t="s">
        <v>1548</v>
      </c>
      <c r="E3641" s="33">
        <v>5</v>
      </c>
      <c r="F3641" s="33"/>
      <c r="G3641" s="522"/>
      <c r="H3641" s="707"/>
      <c r="I3641" s="707">
        <f t="shared" si="112"/>
        <v>0</v>
      </c>
      <c r="J3641" s="707">
        <f t="shared" si="113"/>
        <v>0</v>
      </c>
      <c r="K3641" s="70"/>
    </row>
    <row r="3642" spans="1:11" ht="24" customHeight="1">
      <c r="A3642" s="33" t="s">
        <v>1666</v>
      </c>
      <c r="B3642" s="33" t="s">
        <v>10</v>
      </c>
      <c r="C3642" s="33">
        <v>3</v>
      </c>
      <c r="D3642" s="33" t="s">
        <v>2191</v>
      </c>
      <c r="E3642" s="33">
        <v>4</v>
      </c>
      <c r="F3642" s="33"/>
      <c r="G3642" s="522"/>
      <c r="H3642" s="707"/>
      <c r="I3642" s="707">
        <f t="shared" si="112"/>
        <v>0</v>
      </c>
      <c r="J3642" s="707">
        <f t="shared" si="113"/>
        <v>0</v>
      </c>
      <c r="K3642" s="70"/>
    </row>
    <row r="3643" spans="1:11" ht="24" customHeight="1">
      <c r="A3643" s="2" t="s">
        <v>1666</v>
      </c>
      <c r="B3643" s="2" t="s">
        <v>10</v>
      </c>
      <c r="C3643" s="2">
        <v>18</v>
      </c>
      <c r="D3643" s="2" t="s">
        <v>3279</v>
      </c>
      <c r="E3643" s="33">
        <v>5</v>
      </c>
      <c r="F3643" s="33"/>
      <c r="G3643" s="522"/>
      <c r="H3643" s="707"/>
      <c r="I3643" s="707">
        <f t="shared" si="112"/>
        <v>0</v>
      </c>
      <c r="J3643" s="707">
        <f t="shared" si="113"/>
        <v>0</v>
      </c>
      <c r="K3643" s="70"/>
    </row>
    <row r="3644" spans="1:11" ht="24" customHeight="1">
      <c r="A3644" s="2" t="s">
        <v>1666</v>
      </c>
      <c r="B3644" s="2" t="s">
        <v>10</v>
      </c>
      <c r="C3644" s="2">
        <v>100</v>
      </c>
      <c r="D3644" s="2" t="s">
        <v>3548</v>
      </c>
      <c r="E3644" s="33">
        <v>5</v>
      </c>
      <c r="F3644" s="33"/>
      <c r="G3644" s="522"/>
      <c r="H3644" s="707"/>
      <c r="I3644" s="707">
        <f t="shared" si="112"/>
        <v>0</v>
      </c>
      <c r="J3644" s="707">
        <f t="shared" si="113"/>
        <v>0</v>
      </c>
      <c r="K3644" s="70"/>
    </row>
    <row r="3645" spans="1:11" ht="24" customHeight="1">
      <c r="A3645" s="33" t="s">
        <v>1666</v>
      </c>
      <c r="B3645" s="2" t="s">
        <v>10</v>
      </c>
      <c r="C3645" s="33">
        <v>100</v>
      </c>
      <c r="D3645" s="2" t="s">
        <v>3553</v>
      </c>
      <c r="E3645" s="33">
        <v>2</v>
      </c>
      <c r="F3645" s="33"/>
      <c r="G3645" s="522"/>
      <c r="H3645" s="707">
        <v>1.25</v>
      </c>
      <c r="I3645" s="707">
        <f t="shared" si="112"/>
        <v>1.4375</v>
      </c>
      <c r="J3645" s="707">
        <f t="shared" si="113"/>
        <v>1.625</v>
      </c>
      <c r="K3645" s="70"/>
    </row>
    <row r="3646" spans="1:11" ht="24" customHeight="1">
      <c r="A3646" s="2" t="s">
        <v>1786</v>
      </c>
      <c r="B3646" s="2" t="s">
        <v>10</v>
      </c>
      <c r="C3646" s="2">
        <v>88</v>
      </c>
      <c r="D3646" s="2" t="s">
        <v>1785</v>
      </c>
      <c r="E3646" s="33">
        <v>1</v>
      </c>
      <c r="F3646" s="33"/>
      <c r="G3646" s="522"/>
      <c r="H3646" s="707"/>
      <c r="I3646" s="707">
        <f t="shared" si="112"/>
        <v>0</v>
      </c>
      <c r="J3646" s="707">
        <f t="shared" si="113"/>
        <v>0</v>
      </c>
      <c r="K3646" s="70"/>
    </row>
    <row r="3647" spans="1:11" ht="24" customHeight="1">
      <c r="A3647" s="33" t="s">
        <v>2579</v>
      </c>
      <c r="B3647" s="33" t="s">
        <v>10</v>
      </c>
      <c r="C3647" s="33">
        <v>10</v>
      </c>
      <c r="D3647" s="33" t="s">
        <v>2540</v>
      </c>
      <c r="E3647" s="33">
        <v>2</v>
      </c>
      <c r="F3647" s="33"/>
      <c r="G3647" s="522"/>
      <c r="H3647" s="707">
        <v>0.5</v>
      </c>
      <c r="I3647" s="707">
        <f t="shared" si="112"/>
        <v>0.57499999999999996</v>
      </c>
      <c r="J3647" s="707">
        <f t="shared" si="113"/>
        <v>0.65</v>
      </c>
      <c r="K3647" s="70"/>
    </row>
    <row r="3648" spans="1:11" ht="24" customHeight="1">
      <c r="A3648" s="3" t="s">
        <v>2579</v>
      </c>
      <c r="B3648" s="3" t="s">
        <v>10</v>
      </c>
      <c r="C3648" s="3">
        <v>1</v>
      </c>
      <c r="D3648" s="58" t="s">
        <v>2802</v>
      </c>
      <c r="E3648" s="33">
        <v>2</v>
      </c>
      <c r="F3648" s="33"/>
      <c r="G3648" s="522"/>
      <c r="H3648" s="707"/>
      <c r="I3648" s="707">
        <f t="shared" si="112"/>
        <v>0</v>
      </c>
      <c r="J3648" s="707">
        <f t="shared" si="113"/>
        <v>0</v>
      </c>
      <c r="K3648" s="70"/>
    </row>
    <row r="3649" spans="1:11" ht="24" customHeight="1">
      <c r="A3649" s="33" t="s">
        <v>2579</v>
      </c>
      <c r="B3649" s="33" t="s">
        <v>10</v>
      </c>
      <c r="C3649" s="33">
        <v>73</v>
      </c>
      <c r="D3649" s="71" t="s">
        <v>2947</v>
      </c>
      <c r="E3649" s="33">
        <v>3</v>
      </c>
      <c r="F3649" s="33"/>
      <c r="G3649" s="522"/>
      <c r="H3649" s="707"/>
      <c r="I3649" s="707">
        <f t="shared" si="112"/>
        <v>0</v>
      </c>
      <c r="J3649" s="707">
        <f t="shared" si="113"/>
        <v>0</v>
      </c>
      <c r="K3649" s="70"/>
    </row>
    <row r="3650" spans="1:11" ht="24" customHeight="1">
      <c r="A3650" s="74" t="s">
        <v>491</v>
      </c>
      <c r="B3650" s="74" t="s">
        <v>10</v>
      </c>
      <c r="C3650" s="74">
        <v>7</v>
      </c>
      <c r="D3650" s="33" t="s">
        <v>2191</v>
      </c>
      <c r="E3650" s="33">
        <v>5</v>
      </c>
      <c r="F3650" s="33"/>
      <c r="G3650" s="522"/>
      <c r="H3650" s="707">
        <v>0.5</v>
      </c>
      <c r="I3650" s="707">
        <f t="shared" si="112"/>
        <v>0.57499999999999996</v>
      </c>
      <c r="J3650" s="707">
        <f t="shared" si="113"/>
        <v>0.65</v>
      </c>
      <c r="K3650" s="70" t="s">
        <v>51</v>
      </c>
    </row>
    <row r="3651" spans="1:11" ht="24" customHeight="1">
      <c r="A3651" s="2" t="s">
        <v>491</v>
      </c>
      <c r="B3651" s="2" t="s">
        <v>481</v>
      </c>
      <c r="C3651" s="2">
        <v>7</v>
      </c>
      <c r="D3651" s="2" t="s">
        <v>274</v>
      </c>
      <c r="E3651" s="33">
        <v>3</v>
      </c>
      <c r="F3651" s="33"/>
      <c r="G3651" s="522"/>
      <c r="H3651" s="707">
        <v>15</v>
      </c>
      <c r="I3651" s="707">
        <f t="shared" ref="I3651:I3714" si="114">H3651 * 1.15</f>
        <v>17.25</v>
      </c>
      <c r="J3651" s="707">
        <f t="shared" ref="J3651:J3714" si="115">H3651 * 1.3</f>
        <v>19.5</v>
      </c>
      <c r="K3651" s="70"/>
    </row>
    <row r="3652" spans="1:11" ht="24" customHeight="1">
      <c r="A3652" s="33" t="s">
        <v>2113</v>
      </c>
      <c r="B3652" s="33" t="s">
        <v>10</v>
      </c>
      <c r="C3652" s="33">
        <v>13</v>
      </c>
      <c r="D3652" s="33" t="s">
        <v>2111</v>
      </c>
      <c r="E3652" s="33">
        <v>1</v>
      </c>
      <c r="F3652" s="33"/>
      <c r="G3652" s="522"/>
      <c r="H3652" s="707">
        <v>6</v>
      </c>
      <c r="I3652" s="707">
        <f t="shared" si="114"/>
        <v>6.8999999999999995</v>
      </c>
      <c r="J3652" s="707">
        <f t="shared" si="115"/>
        <v>7.8000000000000007</v>
      </c>
      <c r="K3652" s="70"/>
    </row>
    <row r="3653" spans="1:11" ht="24" customHeight="1">
      <c r="A3653" s="33" t="s">
        <v>2113</v>
      </c>
      <c r="B3653" s="33" t="s">
        <v>83</v>
      </c>
      <c r="C3653" s="33">
        <v>2</v>
      </c>
      <c r="D3653" s="33" t="s">
        <v>2363</v>
      </c>
      <c r="E3653" s="33">
        <v>4</v>
      </c>
      <c r="F3653" s="33"/>
      <c r="G3653" s="522"/>
      <c r="H3653" s="707">
        <v>6</v>
      </c>
      <c r="I3653" s="707">
        <f t="shared" si="114"/>
        <v>6.8999999999999995</v>
      </c>
      <c r="J3653" s="707">
        <f t="shared" si="115"/>
        <v>7.8000000000000007</v>
      </c>
      <c r="K3653" s="70"/>
    </row>
    <row r="3654" spans="1:11" ht="24" customHeight="1">
      <c r="A3654" s="3" t="s">
        <v>2113</v>
      </c>
      <c r="B3654" s="3" t="s">
        <v>10</v>
      </c>
      <c r="C3654" s="3">
        <v>1</v>
      </c>
      <c r="D3654" s="58" t="s">
        <v>2802</v>
      </c>
      <c r="E3654" s="33">
        <v>2</v>
      </c>
      <c r="F3654" s="33"/>
      <c r="G3654" s="522"/>
      <c r="H3654" s="707">
        <v>6</v>
      </c>
      <c r="I3654" s="707">
        <f t="shared" si="114"/>
        <v>6.8999999999999995</v>
      </c>
      <c r="J3654" s="707">
        <f t="shared" si="115"/>
        <v>7.8000000000000007</v>
      </c>
      <c r="K3654" s="70"/>
    </row>
    <row r="3655" spans="1:11" ht="24" customHeight="1">
      <c r="A3655" s="33" t="s">
        <v>3343</v>
      </c>
      <c r="B3655" s="66" t="s">
        <v>10</v>
      </c>
      <c r="C3655" s="66">
        <v>114</v>
      </c>
      <c r="D3655" s="67" t="s">
        <v>3348</v>
      </c>
      <c r="E3655" s="66">
        <v>5</v>
      </c>
      <c r="F3655" s="66"/>
      <c r="G3655" s="689"/>
      <c r="H3655" s="707"/>
      <c r="I3655" s="707">
        <f t="shared" si="114"/>
        <v>0</v>
      </c>
      <c r="J3655" s="707">
        <f t="shared" si="115"/>
        <v>0</v>
      </c>
      <c r="K3655" s="70"/>
    </row>
    <row r="3656" spans="1:11" ht="24" customHeight="1">
      <c r="A3656" s="74" t="s">
        <v>2257</v>
      </c>
      <c r="B3656" s="74" t="s">
        <v>10</v>
      </c>
      <c r="C3656" s="74">
        <v>9</v>
      </c>
      <c r="D3656" s="33" t="s">
        <v>2191</v>
      </c>
      <c r="E3656" s="33">
        <v>5</v>
      </c>
      <c r="F3656" s="33"/>
      <c r="G3656" s="522"/>
      <c r="H3656" s="707">
        <v>1.5</v>
      </c>
      <c r="I3656" s="707">
        <f t="shared" si="114"/>
        <v>1.7249999999999999</v>
      </c>
      <c r="J3656" s="707">
        <f t="shared" si="115"/>
        <v>1.9500000000000002</v>
      </c>
      <c r="K3656" s="70" t="s">
        <v>51</v>
      </c>
    </row>
    <row r="3657" spans="1:11" ht="24" customHeight="1">
      <c r="A3657" s="2" t="s">
        <v>3556</v>
      </c>
      <c r="B3657" s="2" t="s">
        <v>10</v>
      </c>
      <c r="C3657" s="2">
        <v>100</v>
      </c>
      <c r="D3657" s="2" t="s">
        <v>3553</v>
      </c>
      <c r="E3657" s="33">
        <v>1</v>
      </c>
      <c r="F3657" s="33"/>
      <c r="G3657" s="522"/>
      <c r="H3657" s="707"/>
      <c r="I3657" s="707">
        <f t="shared" si="114"/>
        <v>0</v>
      </c>
      <c r="J3657" s="707">
        <f t="shared" si="115"/>
        <v>0</v>
      </c>
      <c r="K3657" s="70"/>
    </row>
    <row r="3658" spans="1:11" ht="24" customHeight="1">
      <c r="A3658" s="33" t="s">
        <v>419</v>
      </c>
      <c r="B3658" s="33" t="s">
        <v>420</v>
      </c>
      <c r="C3658" s="33">
        <v>6</v>
      </c>
      <c r="D3658" s="2" t="s">
        <v>274</v>
      </c>
      <c r="E3658" s="33">
        <v>2</v>
      </c>
      <c r="F3658" s="33"/>
      <c r="G3658" s="522"/>
      <c r="H3658" s="707">
        <v>1</v>
      </c>
      <c r="I3658" s="707">
        <f t="shared" si="114"/>
        <v>1.1499999999999999</v>
      </c>
      <c r="J3658" s="707">
        <f t="shared" si="115"/>
        <v>1.3</v>
      </c>
      <c r="K3658" s="70"/>
    </row>
    <row r="3659" spans="1:11" ht="24" customHeight="1">
      <c r="A3659" s="2" t="s">
        <v>419</v>
      </c>
      <c r="B3659" s="2" t="s">
        <v>10</v>
      </c>
      <c r="C3659" s="2">
        <v>49</v>
      </c>
      <c r="D3659" s="2" t="s">
        <v>1785</v>
      </c>
      <c r="E3659" s="33">
        <v>1</v>
      </c>
      <c r="F3659" s="33"/>
      <c r="G3659" s="522"/>
      <c r="H3659" s="707">
        <v>1</v>
      </c>
      <c r="I3659" s="707">
        <f t="shared" si="114"/>
        <v>1.1499999999999999</v>
      </c>
      <c r="J3659" s="707">
        <f t="shared" si="115"/>
        <v>1.3</v>
      </c>
      <c r="K3659" s="70"/>
    </row>
    <row r="3660" spans="1:11" ht="24" customHeight="1">
      <c r="A3660" s="33" t="s">
        <v>419</v>
      </c>
      <c r="B3660" s="33" t="s">
        <v>10</v>
      </c>
      <c r="C3660" s="33">
        <v>45</v>
      </c>
      <c r="D3660" s="33" t="s">
        <v>2026</v>
      </c>
      <c r="E3660" s="33">
        <v>5</v>
      </c>
      <c r="F3660" s="33"/>
      <c r="G3660" s="522"/>
      <c r="H3660" s="707">
        <v>1</v>
      </c>
      <c r="I3660" s="707">
        <f t="shared" si="114"/>
        <v>1.1499999999999999</v>
      </c>
      <c r="J3660" s="707">
        <f t="shared" si="115"/>
        <v>1.3</v>
      </c>
      <c r="K3660" s="70"/>
    </row>
    <row r="3661" spans="1:11" ht="24" customHeight="1">
      <c r="A3661" s="33" t="s">
        <v>419</v>
      </c>
      <c r="B3661" s="33" t="s">
        <v>10</v>
      </c>
      <c r="C3661" s="33">
        <v>67</v>
      </c>
      <c r="D3661" s="33" t="s">
        <v>2540</v>
      </c>
      <c r="E3661" s="33">
        <v>2</v>
      </c>
      <c r="F3661" s="33"/>
      <c r="G3661" s="522"/>
      <c r="H3661" s="707">
        <v>1</v>
      </c>
      <c r="I3661" s="707">
        <f t="shared" si="114"/>
        <v>1.1499999999999999</v>
      </c>
      <c r="J3661" s="707">
        <f t="shared" si="115"/>
        <v>1.3</v>
      </c>
      <c r="K3661" s="70"/>
    </row>
    <row r="3662" spans="1:11" ht="24" customHeight="1">
      <c r="A3662" s="33" t="s">
        <v>419</v>
      </c>
      <c r="B3662" s="33" t="s">
        <v>50</v>
      </c>
      <c r="C3662" s="33">
        <v>86</v>
      </c>
      <c r="D3662" s="33" t="s">
        <v>2624</v>
      </c>
      <c r="E3662" s="33">
        <v>3</v>
      </c>
      <c r="F3662" s="33"/>
      <c r="G3662" s="522"/>
      <c r="H3662" s="707">
        <v>1</v>
      </c>
      <c r="I3662" s="707">
        <f t="shared" si="114"/>
        <v>1.1499999999999999</v>
      </c>
      <c r="J3662" s="707">
        <f t="shared" si="115"/>
        <v>1.3</v>
      </c>
      <c r="K3662" s="70"/>
    </row>
    <row r="3663" spans="1:11" ht="24" customHeight="1">
      <c r="A3663" s="33" t="s">
        <v>419</v>
      </c>
      <c r="B3663" s="2" t="s">
        <v>10</v>
      </c>
      <c r="C3663" s="33">
        <v>14</v>
      </c>
      <c r="D3663" s="2" t="s">
        <v>3553</v>
      </c>
      <c r="E3663" s="33">
        <v>2</v>
      </c>
      <c r="F3663" s="33"/>
      <c r="G3663" s="522"/>
      <c r="H3663" s="707">
        <v>1</v>
      </c>
      <c r="I3663" s="707">
        <f t="shared" si="114"/>
        <v>1.1499999999999999</v>
      </c>
      <c r="J3663" s="707">
        <f t="shared" si="115"/>
        <v>1.3</v>
      </c>
      <c r="K3663" s="70"/>
    </row>
    <row r="3664" spans="1:11" ht="24" customHeight="1">
      <c r="A3664" s="33" t="s">
        <v>454</v>
      </c>
      <c r="B3664" s="33" t="s">
        <v>10</v>
      </c>
      <c r="C3664" s="33">
        <v>6</v>
      </c>
      <c r="D3664" s="2" t="s">
        <v>274</v>
      </c>
      <c r="E3664" s="33">
        <v>3</v>
      </c>
      <c r="F3664" s="33"/>
      <c r="G3664" s="522"/>
      <c r="H3664" s="707">
        <v>1</v>
      </c>
      <c r="I3664" s="707">
        <f t="shared" si="114"/>
        <v>1.1499999999999999</v>
      </c>
      <c r="J3664" s="707">
        <f t="shared" si="115"/>
        <v>1.3</v>
      </c>
      <c r="K3664" s="70"/>
    </row>
    <row r="3665" spans="1:11" ht="24" customHeight="1">
      <c r="A3665" s="33" t="s">
        <v>522</v>
      </c>
      <c r="B3665" s="33" t="s">
        <v>10</v>
      </c>
      <c r="C3665" s="33">
        <v>21</v>
      </c>
      <c r="D3665" s="2" t="s">
        <v>274</v>
      </c>
      <c r="E3665" s="33">
        <v>3</v>
      </c>
      <c r="F3665" s="33"/>
      <c r="G3665" s="522"/>
      <c r="H3665" s="707"/>
      <c r="I3665" s="707">
        <f t="shared" si="114"/>
        <v>0</v>
      </c>
      <c r="J3665" s="707">
        <f t="shared" si="115"/>
        <v>0</v>
      </c>
      <c r="K3665" s="70" t="s">
        <v>51</v>
      </c>
    </row>
    <row r="3666" spans="1:11" ht="24" customHeight="1">
      <c r="A3666" s="33" t="s">
        <v>556</v>
      </c>
      <c r="B3666" s="33" t="s">
        <v>481</v>
      </c>
      <c r="C3666" s="33">
        <v>65</v>
      </c>
      <c r="D3666" s="2" t="s">
        <v>536</v>
      </c>
      <c r="E3666" s="33">
        <v>5</v>
      </c>
      <c r="F3666" s="33"/>
      <c r="G3666" s="522"/>
      <c r="H3666" s="707">
        <v>1.5</v>
      </c>
      <c r="I3666" s="707">
        <f t="shared" si="114"/>
        <v>1.7249999999999999</v>
      </c>
      <c r="J3666" s="707">
        <f t="shared" si="115"/>
        <v>1.9500000000000002</v>
      </c>
      <c r="K3666" s="70"/>
    </row>
    <row r="3667" spans="1:11" ht="24" customHeight="1">
      <c r="A3667" s="33" t="s">
        <v>556</v>
      </c>
      <c r="B3667" s="33" t="s">
        <v>10</v>
      </c>
      <c r="C3667" s="33">
        <v>100</v>
      </c>
      <c r="D3667" s="2" t="s">
        <v>593</v>
      </c>
      <c r="E3667" s="33">
        <v>2</v>
      </c>
      <c r="F3667" s="33"/>
      <c r="G3667" s="522"/>
      <c r="H3667" s="707">
        <v>1.5</v>
      </c>
      <c r="I3667" s="707">
        <f t="shared" si="114"/>
        <v>1.7249999999999999</v>
      </c>
      <c r="J3667" s="707">
        <f t="shared" si="115"/>
        <v>1.9500000000000002</v>
      </c>
      <c r="K3667" s="70"/>
    </row>
    <row r="3668" spans="1:11" ht="24" customHeight="1">
      <c r="A3668" s="2" t="s">
        <v>556</v>
      </c>
      <c r="B3668" s="2" t="s">
        <v>10</v>
      </c>
      <c r="C3668" s="2">
        <v>3</v>
      </c>
      <c r="D3668" s="2" t="s">
        <v>593</v>
      </c>
      <c r="E3668" s="33">
        <v>3</v>
      </c>
      <c r="F3668" s="33"/>
      <c r="G3668" s="522"/>
      <c r="H3668" s="707">
        <v>1.5</v>
      </c>
      <c r="I3668" s="707">
        <f t="shared" si="114"/>
        <v>1.7249999999999999</v>
      </c>
      <c r="J3668" s="707">
        <f t="shared" si="115"/>
        <v>1.9500000000000002</v>
      </c>
      <c r="K3668" s="70"/>
    </row>
    <row r="3669" spans="1:11" ht="24" customHeight="1">
      <c r="A3669" s="2" t="s">
        <v>556</v>
      </c>
      <c r="B3669" s="2" t="s">
        <v>10</v>
      </c>
      <c r="C3669" s="2">
        <v>100</v>
      </c>
      <c r="D3669" s="2" t="s">
        <v>3548</v>
      </c>
      <c r="E3669" s="33">
        <v>5</v>
      </c>
      <c r="F3669" s="33"/>
      <c r="G3669" s="522"/>
      <c r="H3669" s="707">
        <v>1.5</v>
      </c>
      <c r="I3669" s="707">
        <f t="shared" si="114"/>
        <v>1.7249999999999999</v>
      </c>
      <c r="J3669" s="707">
        <f t="shared" si="115"/>
        <v>1.9500000000000002</v>
      </c>
      <c r="K3669" s="70"/>
    </row>
    <row r="3670" spans="1:11" ht="24" customHeight="1">
      <c r="A3670" s="2" t="s">
        <v>556</v>
      </c>
      <c r="B3670" s="2" t="s">
        <v>10</v>
      </c>
      <c r="C3670" s="2">
        <v>1</v>
      </c>
      <c r="D3670" s="2" t="s">
        <v>3671</v>
      </c>
      <c r="E3670" s="33">
        <v>2</v>
      </c>
      <c r="F3670" s="33"/>
      <c r="G3670" s="522"/>
      <c r="H3670" s="707">
        <v>1.5</v>
      </c>
      <c r="I3670" s="707">
        <f t="shared" si="114"/>
        <v>1.7249999999999999</v>
      </c>
      <c r="J3670" s="707">
        <f t="shared" si="115"/>
        <v>1.9500000000000002</v>
      </c>
      <c r="K3670" s="70"/>
    </row>
    <row r="3671" spans="1:11" ht="24" customHeight="1">
      <c r="A3671" s="2" t="s">
        <v>1787</v>
      </c>
      <c r="B3671" s="2" t="s">
        <v>10</v>
      </c>
      <c r="C3671" s="2">
        <v>81</v>
      </c>
      <c r="D3671" s="2" t="s">
        <v>1785</v>
      </c>
      <c r="E3671" s="33">
        <v>1</v>
      </c>
      <c r="F3671" s="33"/>
      <c r="G3671" s="522"/>
      <c r="H3671" s="707">
        <v>1.5</v>
      </c>
      <c r="I3671" s="707">
        <f t="shared" si="114"/>
        <v>1.7249999999999999</v>
      </c>
      <c r="J3671" s="707">
        <f t="shared" si="115"/>
        <v>1.9500000000000002</v>
      </c>
      <c r="K3671" s="70"/>
    </row>
    <row r="3672" spans="1:11" ht="24" customHeight="1">
      <c r="A3672" s="33" t="s">
        <v>3561</v>
      </c>
      <c r="B3672" s="33" t="s">
        <v>10</v>
      </c>
      <c r="C3672" s="33">
        <v>100</v>
      </c>
      <c r="D3672" s="2" t="s">
        <v>3553</v>
      </c>
      <c r="E3672" s="33">
        <v>2</v>
      </c>
      <c r="F3672" s="33"/>
      <c r="G3672" s="522"/>
      <c r="H3672" s="707">
        <v>1.5</v>
      </c>
      <c r="I3672" s="707">
        <f t="shared" si="114"/>
        <v>1.7249999999999999</v>
      </c>
      <c r="J3672" s="707">
        <f t="shared" si="115"/>
        <v>1.9500000000000002</v>
      </c>
      <c r="K3672" s="70"/>
    </row>
    <row r="3673" spans="1:11" ht="24" customHeight="1">
      <c r="A3673" s="33" t="s">
        <v>989</v>
      </c>
      <c r="B3673" s="33" t="s">
        <v>25</v>
      </c>
      <c r="C3673" s="33">
        <v>183</v>
      </c>
      <c r="D3673" s="33" t="s">
        <v>910</v>
      </c>
      <c r="E3673" s="33">
        <v>2</v>
      </c>
      <c r="F3673" s="33"/>
      <c r="G3673" s="522"/>
      <c r="H3673" s="707"/>
      <c r="I3673" s="707">
        <f t="shared" si="114"/>
        <v>0</v>
      </c>
      <c r="J3673" s="707">
        <f t="shared" si="115"/>
        <v>0</v>
      </c>
      <c r="K3673" s="70"/>
    </row>
    <row r="3674" spans="1:11" ht="24" customHeight="1">
      <c r="A3674" s="33" t="s">
        <v>2083</v>
      </c>
      <c r="B3674" s="33" t="s">
        <v>1473</v>
      </c>
      <c r="C3674" s="33">
        <v>4</v>
      </c>
      <c r="D3674" s="33" t="s">
        <v>2026</v>
      </c>
      <c r="E3674" s="33">
        <v>5</v>
      </c>
      <c r="F3674" s="33"/>
      <c r="G3674" s="522"/>
      <c r="H3674" s="707">
        <v>75</v>
      </c>
      <c r="I3674" s="707">
        <f t="shared" si="114"/>
        <v>86.25</v>
      </c>
      <c r="J3674" s="707">
        <f t="shared" si="115"/>
        <v>97.5</v>
      </c>
      <c r="K3674" s="70"/>
    </row>
    <row r="3675" spans="1:11" ht="24" customHeight="1">
      <c r="A3675" s="3" t="s">
        <v>2824</v>
      </c>
      <c r="B3675" s="3" t="s">
        <v>1473</v>
      </c>
      <c r="C3675" s="3">
        <v>1</v>
      </c>
      <c r="D3675" s="58" t="s">
        <v>2802</v>
      </c>
      <c r="E3675" s="33">
        <v>2</v>
      </c>
      <c r="F3675" s="33"/>
      <c r="G3675" s="522"/>
      <c r="H3675" s="707"/>
      <c r="I3675" s="707">
        <f t="shared" si="114"/>
        <v>0</v>
      </c>
      <c r="J3675" s="707">
        <f t="shared" si="115"/>
        <v>0</v>
      </c>
      <c r="K3675" s="70"/>
    </row>
    <row r="3676" spans="1:11" ht="24" customHeight="1">
      <c r="A3676" s="74" t="s">
        <v>1472</v>
      </c>
      <c r="B3676" s="74" t="s">
        <v>1473</v>
      </c>
      <c r="C3676" s="74">
        <v>3</v>
      </c>
      <c r="D3676" s="33" t="s">
        <v>1372</v>
      </c>
      <c r="E3676" s="33">
        <v>5</v>
      </c>
      <c r="F3676" s="33"/>
      <c r="G3676" s="522"/>
      <c r="H3676" s="707"/>
      <c r="I3676" s="707">
        <f t="shared" si="114"/>
        <v>0</v>
      </c>
      <c r="J3676" s="707">
        <f t="shared" si="115"/>
        <v>0</v>
      </c>
      <c r="K3676" s="70"/>
    </row>
    <row r="3677" spans="1:11" ht="14.4">
      <c r="A3677" s="33" t="s">
        <v>955</v>
      </c>
      <c r="B3677" s="33" t="s">
        <v>41</v>
      </c>
      <c r="C3677" s="33">
        <v>15</v>
      </c>
      <c r="D3677" s="33" t="s">
        <v>910</v>
      </c>
      <c r="E3677" s="33">
        <v>2</v>
      </c>
      <c r="F3677" s="33"/>
      <c r="G3677" s="522"/>
      <c r="H3677" s="707">
        <v>1</v>
      </c>
      <c r="I3677" s="707">
        <f t="shared" si="114"/>
        <v>1.1499999999999999</v>
      </c>
      <c r="J3677" s="707">
        <f t="shared" si="115"/>
        <v>1.3</v>
      </c>
      <c r="K3677" s="70"/>
    </row>
    <row r="3678" spans="1:11" ht="24" customHeight="1">
      <c r="A3678" s="33" t="s">
        <v>2371</v>
      </c>
      <c r="B3678" s="33" t="s">
        <v>41</v>
      </c>
      <c r="C3678" s="33">
        <v>100</v>
      </c>
      <c r="D3678" s="33" t="s">
        <v>2363</v>
      </c>
      <c r="E3678" s="33">
        <v>3</v>
      </c>
      <c r="F3678" s="33"/>
      <c r="G3678" s="522"/>
      <c r="H3678" s="707">
        <v>2</v>
      </c>
      <c r="I3678" s="707">
        <f t="shared" si="114"/>
        <v>2.2999999999999998</v>
      </c>
      <c r="J3678" s="707">
        <f t="shared" si="115"/>
        <v>2.6</v>
      </c>
      <c r="K3678" s="70"/>
    </row>
    <row r="3679" spans="1:11" ht="24" customHeight="1">
      <c r="A3679" s="74" t="s">
        <v>2526</v>
      </c>
      <c r="B3679" s="74" t="s">
        <v>41</v>
      </c>
      <c r="C3679" s="74">
        <v>15</v>
      </c>
      <c r="D3679" s="33" t="s">
        <v>2504</v>
      </c>
      <c r="E3679" s="33">
        <v>5</v>
      </c>
      <c r="F3679" s="33"/>
      <c r="G3679" s="522"/>
      <c r="H3679" s="707">
        <v>2.5</v>
      </c>
      <c r="I3679" s="707">
        <f t="shared" si="114"/>
        <v>2.875</v>
      </c>
      <c r="J3679" s="707">
        <f t="shared" si="115"/>
        <v>3.25</v>
      </c>
      <c r="K3679" s="70"/>
    </row>
    <row r="3680" spans="1:11" ht="24" customHeight="1">
      <c r="A3680" s="33" t="s">
        <v>224</v>
      </c>
      <c r="B3680" s="33" t="s">
        <v>41</v>
      </c>
      <c r="C3680" s="33">
        <v>44</v>
      </c>
      <c r="D3680" s="2" t="s">
        <v>188</v>
      </c>
      <c r="E3680" s="33">
        <v>4</v>
      </c>
      <c r="F3680" s="33"/>
      <c r="G3680" s="522"/>
      <c r="H3680" s="707"/>
      <c r="I3680" s="707">
        <f t="shared" si="114"/>
        <v>0</v>
      </c>
      <c r="J3680" s="707">
        <f t="shared" si="115"/>
        <v>0</v>
      </c>
      <c r="K3680" s="70"/>
    </row>
    <row r="3681" spans="1:11" ht="24" customHeight="1">
      <c r="A3681" s="74" t="s">
        <v>2533</v>
      </c>
      <c r="B3681" s="74" t="s">
        <v>41</v>
      </c>
      <c r="C3681" s="74">
        <v>13</v>
      </c>
      <c r="D3681" s="33" t="s">
        <v>2504</v>
      </c>
      <c r="E3681" s="33">
        <v>5</v>
      </c>
      <c r="F3681" s="33"/>
      <c r="G3681" s="522"/>
      <c r="H3681" s="707"/>
      <c r="I3681" s="707">
        <f t="shared" si="114"/>
        <v>0</v>
      </c>
      <c r="J3681" s="707">
        <f t="shared" si="115"/>
        <v>0</v>
      </c>
      <c r="K3681" s="70"/>
    </row>
    <row r="3682" spans="1:11" ht="24" customHeight="1">
      <c r="A3682" s="17" t="s">
        <v>2861</v>
      </c>
      <c r="B3682" s="17" t="s">
        <v>41</v>
      </c>
      <c r="C3682" s="17">
        <v>10</v>
      </c>
      <c r="D3682" s="131" t="s">
        <v>2802</v>
      </c>
      <c r="E3682" s="15">
        <v>3</v>
      </c>
      <c r="F3682" s="15"/>
      <c r="G3682" s="684"/>
      <c r="H3682" s="707"/>
      <c r="I3682" s="707">
        <f t="shared" si="114"/>
        <v>0</v>
      </c>
      <c r="J3682" s="707">
        <f t="shared" si="115"/>
        <v>0</v>
      </c>
      <c r="K3682" s="70"/>
    </row>
    <row r="3683" spans="1:11" ht="24" customHeight="1">
      <c r="A3683" s="2" t="s">
        <v>1860</v>
      </c>
      <c r="B3683" s="2" t="s">
        <v>27</v>
      </c>
      <c r="C3683" s="2">
        <v>96</v>
      </c>
      <c r="D3683" s="2" t="s">
        <v>1785</v>
      </c>
      <c r="E3683" s="33">
        <v>2</v>
      </c>
      <c r="F3683" s="33"/>
      <c r="G3683" s="522"/>
      <c r="H3683" s="707"/>
      <c r="I3683" s="707">
        <f t="shared" si="114"/>
        <v>0</v>
      </c>
      <c r="J3683" s="707">
        <f t="shared" si="115"/>
        <v>0</v>
      </c>
      <c r="K3683" s="70"/>
    </row>
    <row r="3684" spans="1:11" ht="24" customHeight="1">
      <c r="A3684" s="17" t="s">
        <v>2862</v>
      </c>
      <c r="B3684" s="17" t="s">
        <v>41</v>
      </c>
      <c r="C3684" s="17">
        <v>10</v>
      </c>
      <c r="D3684" s="131" t="s">
        <v>2802</v>
      </c>
      <c r="E3684" s="15">
        <v>3</v>
      </c>
      <c r="F3684" s="15"/>
      <c r="G3684" s="684"/>
      <c r="H3684" s="707"/>
      <c r="I3684" s="707">
        <f t="shared" si="114"/>
        <v>0</v>
      </c>
      <c r="J3684" s="707">
        <f t="shared" si="115"/>
        <v>0</v>
      </c>
      <c r="K3684" s="70"/>
    </row>
    <row r="3685" spans="1:11" ht="24" customHeight="1">
      <c r="A3685" s="33" t="s">
        <v>938</v>
      </c>
      <c r="B3685" s="33" t="s">
        <v>909</v>
      </c>
      <c r="C3685" s="33">
        <v>22</v>
      </c>
      <c r="D3685" s="33" t="s">
        <v>910</v>
      </c>
      <c r="E3685" s="33">
        <v>1</v>
      </c>
      <c r="F3685" s="33"/>
      <c r="G3685" s="522"/>
      <c r="H3685" s="711"/>
      <c r="I3685" s="711">
        <f t="shared" si="114"/>
        <v>0</v>
      </c>
      <c r="J3685" s="711">
        <f t="shared" si="115"/>
        <v>0</v>
      </c>
      <c r="K3685" s="70"/>
    </row>
    <row r="3686" spans="1:11" ht="24" customHeight="1">
      <c r="A3686" s="2" t="s">
        <v>1807</v>
      </c>
      <c r="B3686" s="2" t="s">
        <v>21</v>
      </c>
      <c r="C3686" s="2">
        <v>40</v>
      </c>
      <c r="D3686" s="2" t="s">
        <v>1785</v>
      </c>
      <c r="E3686" s="33">
        <v>1</v>
      </c>
      <c r="F3686" s="33"/>
      <c r="G3686" s="522"/>
      <c r="H3686" s="707"/>
      <c r="I3686" s="707">
        <f t="shared" si="114"/>
        <v>0</v>
      </c>
      <c r="J3686" s="707">
        <f t="shared" si="115"/>
        <v>0</v>
      </c>
      <c r="K3686" s="70"/>
    </row>
    <row r="3687" spans="1:11" ht="24" customHeight="1">
      <c r="A3687" s="33" t="s">
        <v>2211</v>
      </c>
      <c r="B3687" s="33" t="s">
        <v>21</v>
      </c>
      <c r="C3687" s="33">
        <v>1</v>
      </c>
      <c r="D3687" s="33" t="s">
        <v>2191</v>
      </c>
      <c r="E3687" s="33">
        <v>4</v>
      </c>
      <c r="F3687" s="33"/>
      <c r="G3687" s="522"/>
      <c r="H3687" s="707"/>
      <c r="I3687" s="707">
        <f t="shared" si="114"/>
        <v>0</v>
      </c>
      <c r="J3687" s="707">
        <f t="shared" si="115"/>
        <v>0</v>
      </c>
      <c r="K3687" s="70"/>
    </row>
    <row r="3688" spans="1:11" ht="24" customHeight="1">
      <c r="A3688" s="74" t="s">
        <v>2211</v>
      </c>
      <c r="B3688" s="74" t="s">
        <v>21</v>
      </c>
      <c r="C3688" s="74">
        <v>1</v>
      </c>
      <c r="D3688" s="33" t="s">
        <v>2504</v>
      </c>
      <c r="E3688" s="33">
        <v>5</v>
      </c>
      <c r="F3688" s="33"/>
      <c r="G3688" s="522"/>
      <c r="H3688" s="707"/>
      <c r="I3688" s="707">
        <f t="shared" si="114"/>
        <v>0</v>
      </c>
      <c r="J3688" s="707">
        <f t="shared" si="115"/>
        <v>0</v>
      </c>
      <c r="K3688" s="70"/>
    </row>
    <row r="3689" spans="1:11" ht="24" customHeight="1">
      <c r="A3689" s="33" t="s">
        <v>133</v>
      </c>
      <c r="B3689" s="84" t="s">
        <v>21</v>
      </c>
      <c r="C3689" s="33">
        <v>6</v>
      </c>
      <c r="D3689" s="2" t="s">
        <v>11</v>
      </c>
      <c r="E3689" s="33">
        <v>2</v>
      </c>
      <c r="F3689" s="33"/>
      <c r="G3689" s="522"/>
      <c r="H3689" s="707"/>
      <c r="I3689" s="707">
        <f t="shared" si="114"/>
        <v>0</v>
      </c>
      <c r="J3689" s="707">
        <f t="shared" si="115"/>
        <v>0</v>
      </c>
      <c r="K3689" s="70"/>
    </row>
    <row r="3690" spans="1:11" ht="24" customHeight="1">
      <c r="A3690" s="33" t="s">
        <v>252</v>
      </c>
      <c r="B3690" s="33" t="s">
        <v>21</v>
      </c>
      <c r="C3690" s="33">
        <v>8</v>
      </c>
      <c r="D3690" s="2" t="s">
        <v>188</v>
      </c>
      <c r="E3690" s="33">
        <v>5</v>
      </c>
      <c r="F3690" s="33"/>
      <c r="G3690" s="522"/>
      <c r="H3690" s="707"/>
      <c r="I3690" s="707">
        <f t="shared" si="114"/>
        <v>0</v>
      </c>
      <c r="J3690" s="707">
        <f t="shared" si="115"/>
        <v>0</v>
      </c>
      <c r="K3690" s="70"/>
    </row>
    <row r="3691" spans="1:11" ht="24" customHeight="1">
      <c r="A3691" s="33" t="s">
        <v>861</v>
      </c>
      <c r="B3691" s="33" t="s">
        <v>21</v>
      </c>
      <c r="C3691" s="33">
        <v>11</v>
      </c>
      <c r="D3691" s="2" t="s">
        <v>593</v>
      </c>
      <c r="E3691" s="33">
        <v>3</v>
      </c>
      <c r="F3691" s="33"/>
      <c r="G3691" s="522"/>
      <c r="H3691" s="707"/>
      <c r="I3691" s="707">
        <f t="shared" si="114"/>
        <v>0</v>
      </c>
      <c r="J3691" s="707">
        <f t="shared" si="115"/>
        <v>0</v>
      </c>
      <c r="K3691" s="70"/>
    </row>
    <row r="3692" spans="1:11" ht="24" customHeight="1">
      <c r="A3692" s="33" t="s">
        <v>248</v>
      </c>
      <c r="B3692" s="33" t="s">
        <v>41</v>
      </c>
      <c r="C3692" s="33">
        <v>10</v>
      </c>
      <c r="D3692" s="33" t="s">
        <v>188</v>
      </c>
      <c r="E3692" s="33">
        <v>5</v>
      </c>
      <c r="F3692" s="33"/>
      <c r="G3692" s="522"/>
      <c r="H3692" s="707">
        <v>4</v>
      </c>
      <c r="I3692" s="707">
        <f t="shared" si="114"/>
        <v>4.5999999999999996</v>
      </c>
      <c r="J3692" s="707">
        <f t="shared" si="115"/>
        <v>5.2</v>
      </c>
      <c r="K3692" s="70"/>
    </row>
    <row r="3693" spans="1:11" ht="24" customHeight="1">
      <c r="A3693" s="17" t="s">
        <v>1167</v>
      </c>
      <c r="B3693" s="17" t="s">
        <v>1732</v>
      </c>
      <c r="C3693" s="17">
        <v>16</v>
      </c>
      <c r="D3693" s="131" t="s">
        <v>1723</v>
      </c>
      <c r="E3693" s="15">
        <v>1</v>
      </c>
      <c r="F3693" s="15"/>
      <c r="G3693" s="684"/>
      <c r="H3693" s="707"/>
      <c r="I3693" s="707">
        <f t="shared" si="114"/>
        <v>0</v>
      </c>
      <c r="J3693" s="707">
        <f t="shared" si="115"/>
        <v>0</v>
      </c>
      <c r="K3693" s="70"/>
    </row>
    <row r="3694" spans="1:11" ht="24" customHeight="1">
      <c r="A3694" s="33" t="s">
        <v>1513</v>
      </c>
      <c r="B3694" s="33" t="s">
        <v>41</v>
      </c>
      <c r="C3694" s="33">
        <v>207</v>
      </c>
      <c r="D3694" s="33" t="s">
        <v>1494</v>
      </c>
      <c r="E3694" s="33">
        <v>1</v>
      </c>
      <c r="F3694" s="33"/>
      <c r="G3694" s="522"/>
      <c r="H3694" s="707"/>
      <c r="I3694" s="707">
        <f t="shared" si="114"/>
        <v>0</v>
      </c>
      <c r="J3694" s="707">
        <f t="shared" si="115"/>
        <v>0</v>
      </c>
      <c r="K3694" s="70"/>
    </row>
    <row r="3695" spans="1:11" ht="24" customHeight="1">
      <c r="A3695" s="33" t="s">
        <v>2545</v>
      </c>
      <c r="B3695" s="33" t="s">
        <v>41</v>
      </c>
      <c r="C3695" s="33">
        <v>40</v>
      </c>
      <c r="D3695" s="33" t="s">
        <v>2540</v>
      </c>
      <c r="E3695" s="33">
        <v>1</v>
      </c>
      <c r="F3695" s="33"/>
      <c r="G3695" s="522"/>
      <c r="H3695" s="707"/>
      <c r="I3695" s="707">
        <f t="shared" si="114"/>
        <v>0</v>
      </c>
      <c r="J3695" s="707">
        <f t="shared" si="115"/>
        <v>0</v>
      </c>
      <c r="K3695" s="70"/>
    </row>
    <row r="3696" spans="1:11" ht="24" customHeight="1">
      <c r="A3696" s="33" t="s">
        <v>1073</v>
      </c>
      <c r="B3696" s="33" t="s">
        <v>27</v>
      </c>
      <c r="C3696" s="33">
        <v>89</v>
      </c>
      <c r="D3696" s="33" t="s">
        <v>992</v>
      </c>
      <c r="E3696" s="33">
        <v>4</v>
      </c>
      <c r="F3696" s="33"/>
      <c r="G3696" s="522"/>
      <c r="H3696" s="707"/>
      <c r="I3696" s="707">
        <f t="shared" si="114"/>
        <v>0</v>
      </c>
      <c r="J3696" s="707">
        <f t="shared" si="115"/>
        <v>0</v>
      </c>
      <c r="K3696" s="70"/>
    </row>
    <row r="3697" spans="1:11" ht="24" customHeight="1">
      <c r="A3697" s="33" t="s">
        <v>693</v>
      </c>
      <c r="B3697" s="33" t="s">
        <v>27</v>
      </c>
      <c r="C3697" s="33">
        <v>700</v>
      </c>
      <c r="D3697" s="2" t="s">
        <v>593</v>
      </c>
      <c r="E3697" s="33">
        <v>2</v>
      </c>
      <c r="F3697" s="33"/>
      <c r="G3697" s="522"/>
      <c r="H3697" s="707">
        <v>1</v>
      </c>
      <c r="I3697" s="707">
        <f t="shared" si="114"/>
        <v>1.1499999999999999</v>
      </c>
      <c r="J3697" s="707">
        <f t="shared" si="115"/>
        <v>1.3</v>
      </c>
      <c r="K3697" s="70"/>
    </row>
    <row r="3698" spans="1:11" ht="24" customHeight="1">
      <c r="A3698" s="2" t="s">
        <v>693</v>
      </c>
      <c r="B3698" s="2" t="s">
        <v>41</v>
      </c>
      <c r="C3698" s="2">
        <v>200</v>
      </c>
      <c r="D3698" s="33" t="s">
        <v>3338</v>
      </c>
      <c r="E3698" s="33">
        <v>1</v>
      </c>
      <c r="F3698" s="33"/>
      <c r="G3698" s="522"/>
      <c r="H3698" s="707">
        <v>1</v>
      </c>
      <c r="I3698" s="707">
        <f t="shared" si="114"/>
        <v>1.1499999999999999</v>
      </c>
      <c r="J3698" s="707">
        <f t="shared" si="115"/>
        <v>1.3</v>
      </c>
      <c r="K3698" s="70"/>
    </row>
    <row r="3699" spans="1:11" ht="24" customHeight="1">
      <c r="A3699" s="33" t="s">
        <v>1183</v>
      </c>
      <c r="B3699" s="33" t="s">
        <v>19</v>
      </c>
      <c r="C3699" s="33">
        <v>75</v>
      </c>
      <c r="D3699" s="33" t="s">
        <v>1141</v>
      </c>
      <c r="E3699" s="33">
        <v>2</v>
      </c>
      <c r="F3699" s="33"/>
      <c r="G3699" s="522"/>
      <c r="H3699" s="707"/>
      <c r="I3699" s="707">
        <f t="shared" si="114"/>
        <v>0</v>
      </c>
      <c r="J3699" s="707">
        <f t="shared" si="115"/>
        <v>0</v>
      </c>
      <c r="K3699" s="70"/>
    </row>
    <row r="3700" spans="1:11" ht="24" customHeight="1">
      <c r="A3700" s="33" t="s">
        <v>2061</v>
      </c>
      <c r="B3700" s="33" t="s">
        <v>23</v>
      </c>
      <c r="C3700" s="33">
        <v>31</v>
      </c>
      <c r="D3700" s="33" t="s">
        <v>2026</v>
      </c>
      <c r="E3700" s="33">
        <v>4</v>
      </c>
      <c r="F3700" s="33"/>
      <c r="G3700" s="522"/>
      <c r="H3700" s="707">
        <v>1</v>
      </c>
      <c r="I3700" s="707">
        <f t="shared" si="114"/>
        <v>1.1499999999999999</v>
      </c>
      <c r="J3700" s="707">
        <f t="shared" si="115"/>
        <v>1.3</v>
      </c>
      <c r="K3700" s="70"/>
    </row>
    <row r="3701" spans="1:11" ht="24" customHeight="1">
      <c r="A3701" s="33" t="s">
        <v>2803</v>
      </c>
      <c r="B3701" s="33" t="s">
        <v>41</v>
      </c>
      <c r="C3701" s="33">
        <v>100</v>
      </c>
      <c r="D3701" s="58" t="s">
        <v>2802</v>
      </c>
      <c r="E3701" s="33">
        <v>2</v>
      </c>
      <c r="F3701" s="33"/>
      <c r="G3701" s="522"/>
      <c r="H3701" s="707"/>
      <c r="I3701" s="707">
        <f t="shared" si="114"/>
        <v>0</v>
      </c>
      <c r="J3701" s="707">
        <f t="shared" si="115"/>
        <v>0</v>
      </c>
      <c r="K3701" s="70"/>
    </row>
    <row r="3702" spans="1:11" ht="24" customHeight="1">
      <c r="A3702" s="33" t="s">
        <v>941</v>
      </c>
      <c r="B3702" s="33" t="s">
        <v>41</v>
      </c>
      <c r="C3702" s="33">
        <v>169</v>
      </c>
      <c r="D3702" s="33" t="s">
        <v>910</v>
      </c>
      <c r="E3702" s="33">
        <v>1</v>
      </c>
      <c r="F3702" s="33"/>
      <c r="G3702" s="522"/>
      <c r="H3702" s="711">
        <v>1</v>
      </c>
      <c r="I3702" s="711">
        <f t="shared" si="114"/>
        <v>1.1499999999999999</v>
      </c>
      <c r="J3702" s="711">
        <f t="shared" si="115"/>
        <v>1.3</v>
      </c>
      <c r="K3702" s="55"/>
    </row>
    <row r="3703" spans="1:11" ht="24" customHeight="1">
      <c r="A3703" s="33" t="s">
        <v>941</v>
      </c>
      <c r="B3703" s="33" t="s">
        <v>41</v>
      </c>
      <c r="C3703" s="33">
        <v>100</v>
      </c>
      <c r="D3703" s="33" t="s">
        <v>2540</v>
      </c>
      <c r="E3703" s="33">
        <v>1</v>
      </c>
      <c r="F3703" s="33"/>
      <c r="G3703" s="522"/>
      <c r="H3703" s="707">
        <v>1</v>
      </c>
      <c r="I3703" s="707">
        <f t="shared" si="114"/>
        <v>1.1499999999999999</v>
      </c>
      <c r="J3703" s="707">
        <f t="shared" si="115"/>
        <v>1.3</v>
      </c>
      <c r="K3703" s="70"/>
    </row>
    <row r="3704" spans="1:11" ht="24" customHeight="1">
      <c r="A3704" s="3" t="s">
        <v>941</v>
      </c>
      <c r="B3704" s="3" t="s">
        <v>27</v>
      </c>
      <c r="C3704" s="3">
        <v>7</v>
      </c>
      <c r="D3704" s="58" t="s">
        <v>2802</v>
      </c>
      <c r="E3704" s="33">
        <v>2</v>
      </c>
      <c r="F3704" s="33"/>
      <c r="G3704" s="522"/>
      <c r="H3704" s="707"/>
      <c r="I3704" s="707">
        <f t="shared" si="114"/>
        <v>0</v>
      </c>
      <c r="J3704" s="707">
        <f t="shared" si="115"/>
        <v>0</v>
      </c>
      <c r="K3704" s="70"/>
    </row>
    <row r="3705" spans="1:11" ht="24" customHeight="1">
      <c r="A3705" s="33" t="s">
        <v>1028</v>
      </c>
      <c r="B3705" s="33" t="s">
        <v>27</v>
      </c>
      <c r="C3705" s="33">
        <v>36</v>
      </c>
      <c r="D3705" s="33" t="s">
        <v>992</v>
      </c>
      <c r="E3705" s="33">
        <v>3</v>
      </c>
      <c r="F3705" s="33"/>
      <c r="G3705" s="522"/>
      <c r="H3705" s="707"/>
      <c r="I3705" s="707">
        <f t="shared" si="114"/>
        <v>0</v>
      </c>
      <c r="J3705" s="707">
        <f t="shared" si="115"/>
        <v>0</v>
      </c>
      <c r="K3705" s="70"/>
    </row>
    <row r="3706" spans="1:11" ht="24" customHeight="1">
      <c r="A3706" s="33" t="s">
        <v>2648</v>
      </c>
      <c r="B3706" s="33" t="s">
        <v>27</v>
      </c>
      <c r="C3706" s="33">
        <v>90</v>
      </c>
      <c r="D3706" s="33" t="s">
        <v>2624</v>
      </c>
      <c r="E3706" s="33">
        <v>4</v>
      </c>
      <c r="F3706" s="33"/>
      <c r="G3706" s="522"/>
      <c r="H3706" s="707"/>
      <c r="I3706" s="707">
        <f t="shared" si="114"/>
        <v>0</v>
      </c>
      <c r="J3706" s="707">
        <f t="shared" si="115"/>
        <v>0</v>
      </c>
      <c r="K3706" s="70"/>
    </row>
    <row r="3707" spans="1:11" ht="24" customHeight="1">
      <c r="A3707" s="33" t="s">
        <v>917</v>
      </c>
      <c r="B3707" s="33" t="s">
        <v>27</v>
      </c>
      <c r="C3707" s="33">
        <v>76</v>
      </c>
      <c r="D3707" s="33" t="s">
        <v>910</v>
      </c>
      <c r="E3707" s="33">
        <v>1</v>
      </c>
      <c r="F3707" s="33"/>
      <c r="G3707" s="522"/>
      <c r="H3707" s="711"/>
      <c r="I3707" s="711">
        <f t="shared" si="114"/>
        <v>0</v>
      </c>
      <c r="J3707" s="711">
        <f t="shared" si="115"/>
        <v>0</v>
      </c>
      <c r="K3707" s="70"/>
    </row>
    <row r="3708" spans="1:11" ht="24" customHeight="1">
      <c r="A3708" s="33" t="s">
        <v>2355</v>
      </c>
      <c r="B3708" s="33" t="s">
        <v>27</v>
      </c>
      <c r="C3708" s="33">
        <v>99</v>
      </c>
      <c r="D3708" s="33" t="s">
        <v>2276</v>
      </c>
      <c r="E3708" s="33">
        <v>1</v>
      </c>
      <c r="F3708" s="33"/>
      <c r="G3708" s="522"/>
      <c r="H3708" s="707"/>
      <c r="I3708" s="707">
        <f t="shared" si="114"/>
        <v>0</v>
      </c>
      <c r="J3708" s="707">
        <f t="shared" si="115"/>
        <v>0</v>
      </c>
      <c r="K3708" s="70"/>
    </row>
    <row r="3709" spans="1:11" ht="24" customHeight="1">
      <c r="A3709" s="33" t="s">
        <v>1348</v>
      </c>
      <c r="B3709" s="33" t="s">
        <v>27</v>
      </c>
      <c r="C3709" s="33">
        <v>50</v>
      </c>
      <c r="D3709" s="33" t="s">
        <v>1325</v>
      </c>
      <c r="E3709" s="33">
        <v>1</v>
      </c>
      <c r="F3709" s="33"/>
      <c r="G3709" s="522"/>
      <c r="H3709" s="707"/>
      <c r="I3709" s="707">
        <f t="shared" si="114"/>
        <v>0</v>
      </c>
      <c r="J3709" s="707">
        <f t="shared" si="115"/>
        <v>0</v>
      </c>
      <c r="K3709" s="70"/>
    </row>
    <row r="3710" spans="1:11" ht="24" customHeight="1">
      <c r="A3710" s="33" t="s">
        <v>1403</v>
      </c>
      <c r="B3710" s="33" t="s">
        <v>27</v>
      </c>
      <c r="C3710" s="33">
        <v>19</v>
      </c>
      <c r="D3710" s="33" t="s">
        <v>1372</v>
      </c>
      <c r="E3710" s="33">
        <v>4</v>
      </c>
      <c r="F3710" s="33"/>
      <c r="G3710" s="522"/>
      <c r="H3710" s="707"/>
      <c r="I3710" s="707">
        <f t="shared" si="114"/>
        <v>0</v>
      </c>
      <c r="J3710" s="707">
        <f t="shared" si="115"/>
        <v>0</v>
      </c>
      <c r="K3710" s="70"/>
    </row>
    <row r="3711" spans="1:11" ht="24" customHeight="1">
      <c r="A3711" s="33" t="s">
        <v>1057</v>
      </c>
      <c r="B3711" s="33" t="s">
        <v>27</v>
      </c>
      <c r="C3711" s="33">
        <v>14</v>
      </c>
      <c r="D3711" s="33" t="s">
        <v>992</v>
      </c>
      <c r="E3711" s="33">
        <v>4</v>
      </c>
      <c r="F3711" s="33"/>
      <c r="G3711" s="522"/>
      <c r="H3711" s="707"/>
      <c r="I3711" s="707">
        <f t="shared" si="114"/>
        <v>0</v>
      </c>
      <c r="J3711" s="707">
        <f t="shared" si="115"/>
        <v>0</v>
      </c>
      <c r="K3711" s="70"/>
    </row>
    <row r="3712" spans="1:11" ht="24" customHeight="1">
      <c r="A3712" s="33" t="s">
        <v>925</v>
      </c>
      <c r="B3712" s="33" t="s">
        <v>41</v>
      </c>
      <c r="C3712" s="33">
        <v>2500</v>
      </c>
      <c r="D3712" s="33" t="s">
        <v>910</v>
      </c>
      <c r="E3712" s="33">
        <v>1</v>
      </c>
      <c r="F3712" s="33"/>
      <c r="G3712" s="522"/>
      <c r="H3712" s="711">
        <v>0.5</v>
      </c>
      <c r="I3712" s="711">
        <f t="shared" si="114"/>
        <v>0.57499999999999996</v>
      </c>
      <c r="J3712" s="711">
        <f t="shared" si="115"/>
        <v>0.65</v>
      </c>
      <c r="K3712" s="70"/>
    </row>
    <row r="3713" spans="1:11" ht="24" customHeight="1">
      <c r="A3713" s="33" t="s">
        <v>925</v>
      </c>
      <c r="B3713" s="33" t="s">
        <v>41</v>
      </c>
      <c r="C3713" s="33">
        <v>2391</v>
      </c>
      <c r="D3713" s="33" t="s">
        <v>1141</v>
      </c>
      <c r="E3713" s="33">
        <v>2</v>
      </c>
      <c r="F3713" s="33"/>
      <c r="G3713" s="522"/>
      <c r="H3713" s="707"/>
      <c r="I3713" s="707">
        <f t="shared" si="114"/>
        <v>0</v>
      </c>
      <c r="J3713" s="707">
        <f t="shared" si="115"/>
        <v>0</v>
      </c>
      <c r="K3713" s="70"/>
    </row>
    <row r="3714" spans="1:11" ht="24" customHeight="1">
      <c r="A3714" s="33" t="s">
        <v>2973</v>
      </c>
      <c r="B3714" s="33" t="s">
        <v>41</v>
      </c>
      <c r="C3714" s="33">
        <v>135</v>
      </c>
      <c r="D3714" s="71" t="s">
        <v>2947</v>
      </c>
      <c r="E3714" s="33">
        <v>4</v>
      </c>
      <c r="F3714" s="33"/>
      <c r="G3714" s="522"/>
      <c r="H3714" s="707"/>
      <c r="I3714" s="707">
        <f t="shared" si="114"/>
        <v>0</v>
      </c>
      <c r="J3714" s="707">
        <f t="shared" si="115"/>
        <v>0</v>
      </c>
      <c r="K3714" s="70"/>
    </row>
    <row r="3715" spans="1:11" ht="24" customHeight="1">
      <c r="A3715" s="11" t="s">
        <v>2775</v>
      </c>
      <c r="B3715" s="11" t="s">
        <v>41</v>
      </c>
      <c r="C3715" s="11">
        <v>289</v>
      </c>
      <c r="D3715" s="131" t="s">
        <v>2772</v>
      </c>
      <c r="E3715" s="17">
        <v>4</v>
      </c>
      <c r="F3715" s="17"/>
      <c r="G3715" s="687"/>
      <c r="H3715" s="707">
        <v>2</v>
      </c>
      <c r="I3715" s="707">
        <f t="shared" ref="I3715:I3778" si="116">H3715 * 1.15</f>
        <v>2.2999999999999998</v>
      </c>
      <c r="J3715" s="707">
        <f t="shared" ref="J3715:J3778" si="117">H3715 * 1.3</f>
        <v>2.6</v>
      </c>
      <c r="K3715" s="70"/>
    </row>
    <row r="3716" spans="1:11" ht="24" customHeight="1">
      <c r="A3716" s="33" t="s">
        <v>1228</v>
      </c>
      <c r="B3716" s="33" t="s">
        <v>27</v>
      </c>
      <c r="C3716" s="33">
        <v>2</v>
      </c>
      <c r="D3716" s="33" t="s">
        <v>1201</v>
      </c>
      <c r="E3716" s="33">
        <v>3</v>
      </c>
      <c r="F3716" s="33"/>
      <c r="G3716" s="522"/>
      <c r="H3716" s="707"/>
      <c r="I3716" s="707">
        <f t="shared" si="116"/>
        <v>0</v>
      </c>
      <c r="J3716" s="707">
        <f t="shared" si="117"/>
        <v>0</v>
      </c>
      <c r="K3716" s="70"/>
    </row>
    <row r="3717" spans="1:11" ht="24" customHeight="1">
      <c r="A3717" s="3" t="s">
        <v>2815</v>
      </c>
      <c r="B3717" s="3" t="s">
        <v>41</v>
      </c>
      <c r="C3717" s="3">
        <v>96</v>
      </c>
      <c r="D3717" s="58" t="s">
        <v>2802</v>
      </c>
      <c r="E3717" s="33">
        <v>2</v>
      </c>
      <c r="F3717" s="33"/>
      <c r="G3717" s="522"/>
      <c r="H3717" s="707"/>
      <c r="I3717" s="707">
        <f t="shared" si="116"/>
        <v>0</v>
      </c>
      <c r="J3717" s="707">
        <f t="shared" si="117"/>
        <v>0</v>
      </c>
      <c r="K3717" s="70"/>
    </row>
    <row r="3718" spans="1:11" ht="24" customHeight="1">
      <c r="A3718" s="33" t="s">
        <v>3304</v>
      </c>
      <c r="B3718" s="33" t="s">
        <v>27</v>
      </c>
      <c r="C3718" s="33">
        <v>45</v>
      </c>
      <c r="D3718" s="33" t="s">
        <v>3279</v>
      </c>
      <c r="E3718" s="33">
        <v>3</v>
      </c>
      <c r="F3718" s="33"/>
      <c r="G3718" s="522"/>
      <c r="H3718" s="707"/>
      <c r="I3718" s="707">
        <f t="shared" si="116"/>
        <v>0</v>
      </c>
      <c r="J3718" s="707">
        <f t="shared" si="117"/>
        <v>0</v>
      </c>
      <c r="K3718" s="70"/>
    </row>
    <row r="3719" spans="1:11" ht="24" customHeight="1">
      <c r="A3719" s="33" t="s">
        <v>1349</v>
      </c>
      <c r="B3719" s="33" t="s">
        <v>27</v>
      </c>
      <c r="C3719" s="33">
        <v>25</v>
      </c>
      <c r="D3719" s="33" t="s">
        <v>1325</v>
      </c>
      <c r="E3719" s="33">
        <v>1</v>
      </c>
      <c r="F3719" s="33"/>
      <c r="G3719" s="522"/>
      <c r="H3719" s="707"/>
      <c r="I3719" s="707">
        <f t="shared" si="116"/>
        <v>0</v>
      </c>
      <c r="J3719" s="707">
        <f t="shared" si="117"/>
        <v>0</v>
      </c>
      <c r="K3719" s="70"/>
    </row>
    <row r="3720" spans="1:11" ht="24" customHeight="1">
      <c r="A3720" s="33" t="s">
        <v>1076</v>
      </c>
      <c r="B3720" s="33" t="s">
        <v>27</v>
      </c>
      <c r="C3720" s="33">
        <v>74</v>
      </c>
      <c r="D3720" s="33" t="s">
        <v>992</v>
      </c>
      <c r="E3720" s="33">
        <v>4</v>
      </c>
      <c r="F3720" s="33"/>
      <c r="G3720" s="522"/>
      <c r="H3720" s="707">
        <v>1</v>
      </c>
      <c r="I3720" s="707">
        <f t="shared" si="116"/>
        <v>1.1499999999999999</v>
      </c>
      <c r="J3720" s="707">
        <f t="shared" si="117"/>
        <v>1.3</v>
      </c>
      <c r="K3720" s="70"/>
    </row>
    <row r="3721" spans="1:11" ht="24" customHeight="1">
      <c r="A3721" s="33" t="s">
        <v>1388</v>
      </c>
      <c r="B3721" s="33" t="s">
        <v>27</v>
      </c>
      <c r="C3721" s="33">
        <v>100</v>
      </c>
      <c r="D3721" s="33" t="s">
        <v>1372</v>
      </c>
      <c r="E3721" s="33">
        <v>3</v>
      </c>
      <c r="F3721" s="33"/>
      <c r="G3721" s="522"/>
      <c r="H3721" s="707">
        <v>1</v>
      </c>
      <c r="I3721" s="707">
        <f t="shared" si="116"/>
        <v>1.1499999999999999</v>
      </c>
      <c r="J3721" s="707">
        <f t="shared" si="117"/>
        <v>1.3</v>
      </c>
      <c r="K3721" s="70"/>
    </row>
    <row r="3722" spans="1:11" ht="24" customHeight="1">
      <c r="A3722" s="33" t="s">
        <v>1388</v>
      </c>
      <c r="B3722" s="33" t="s">
        <v>27</v>
      </c>
      <c r="C3722" s="33">
        <v>76</v>
      </c>
      <c r="D3722" s="33" t="s">
        <v>1372</v>
      </c>
      <c r="E3722" s="33">
        <v>3</v>
      </c>
      <c r="F3722" s="33"/>
      <c r="G3722" s="522"/>
      <c r="H3722" s="707">
        <v>1</v>
      </c>
      <c r="I3722" s="707">
        <f t="shared" si="116"/>
        <v>1.1499999999999999</v>
      </c>
      <c r="J3722" s="707">
        <f t="shared" si="117"/>
        <v>1.3</v>
      </c>
      <c r="K3722" s="70"/>
    </row>
    <row r="3723" spans="1:11" ht="24" customHeight="1">
      <c r="A3723" s="33" t="s">
        <v>1064</v>
      </c>
      <c r="B3723" s="33" t="s">
        <v>27</v>
      </c>
      <c r="C3723" s="33">
        <v>3</v>
      </c>
      <c r="D3723" s="33" t="s">
        <v>992</v>
      </c>
      <c r="E3723" s="33">
        <v>4</v>
      </c>
      <c r="F3723" s="33"/>
      <c r="G3723" s="522"/>
      <c r="H3723" s="707"/>
      <c r="I3723" s="707">
        <f t="shared" si="116"/>
        <v>0</v>
      </c>
      <c r="J3723" s="707">
        <f t="shared" si="117"/>
        <v>0</v>
      </c>
      <c r="K3723" s="70"/>
    </row>
    <row r="3724" spans="1:11" ht="24" customHeight="1">
      <c r="A3724" s="33" t="s">
        <v>1376</v>
      </c>
      <c r="B3724" s="33" t="s">
        <v>27</v>
      </c>
      <c r="C3724" s="33">
        <v>27</v>
      </c>
      <c r="D3724" s="33" t="s">
        <v>1372</v>
      </c>
      <c r="E3724" s="33">
        <v>3</v>
      </c>
      <c r="F3724" s="33"/>
      <c r="G3724" s="522"/>
      <c r="H3724" s="707"/>
      <c r="I3724" s="707">
        <f t="shared" si="116"/>
        <v>0</v>
      </c>
      <c r="J3724" s="707">
        <f t="shared" si="117"/>
        <v>0</v>
      </c>
      <c r="K3724" s="70"/>
    </row>
    <row r="3725" spans="1:11" ht="24" customHeight="1">
      <c r="A3725" s="11" t="s">
        <v>3150</v>
      </c>
      <c r="B3725" s="34" t="s">
        <v>27</v>
      </c>
      <c r="C3725" s="11">
        <v>7</v>
      </c>
      <c r="D3725" s="33" t="s">
        <v>3053</v>
      </c>
      <c r="E3725" s="33">
        <v>3</v>
      </c>
      <c r="F3725" s="33"/>
      <c r="G3725" s="522"/>
      <c r="H3725" s="707"/>
      <c r="I3725" s="707">
        <f t="shared" si="116"/>
        <v>0</v>
      </c>
      <c r="J3725" s="707">
        <f t="shared" si="117"/>
        <v>0</v>
      </c>
      <c r="K3725" s="70"/>
    </row>
    <row r="3726" spans="1:11" ht="24" customHeight="1">
      <c r="A3726" s="33" t="s">
        <v>2667</v>
      </c>
      <c r="B3726" s="33" t="s">
        <v>19</v>
      </c>
      <c r="C3726" s="33">
        <v>19</v>
      </c>
      <c r="D3726" s="33" t="s">
        <v>2624</v>
      </c>
      <c r="E3726" s="33">
        <v>4</v>
      </c>
      <c r="F3726" s="33"/>
      <c r="G3726" s="522"/>
      <c r="H3726" s="707"/>
      <c r="I3726" s="707">
        <f t="shared" si="116"/>
        <v>0</v>
      </c>
      <c r="J3726" s="707">
        <f t="shared" si="117"/>
        <v>0</v>
      </c>
      <c r="K3726" s="70"/>
    </row>
    <row r="3727" spans="1:11" ht="24" customHeight="1">
      <c r="A3727" s="33" t="s">
        <v>2359</v>
      </c>
      <c r="B3727" s="33" t="s">
        <v>27</v>
      </c>
      <c r="C3727" s="33">
        <v>6</v>
      </c>
      <c r="D3727" s="33" t="s">
        <v>2276</v>
      </c>
      <c r="E3727" s="33">
        <v>1</v>
      </c>
      <c r="F3727" s="33"/>
      <c r="G3727" s="522"/>
      <c r="H3727" s="707"/>
      <c r="I3727" s="707">
        <f t="shared" si="116"/>
        <v>0</v>
      </c>
      <c r="J3727" s="707">
        <f t="shared" si="117"/>
        <v>0</v>
      </c>
      <c r="K3727" s="70"/>
    </row>
    <row r="3728" spans="1:11" ht="24" customHeight="1">
      <c r="A3728" s="2" t="s">
        <v>817</v>
      </c>
      <c r="B3728" s="2" t="s">
        <v>27</v>
      </c>
      <c r="C3728" s="2">
        <v>10</v>
      </c>
      <c r="D3728" s="2" t="s">
        <v>593</v>
      </c>
      <c r="E3728" s="33">
        <v>3</v>
      </c>
      <c r="F3728" s="33"/>
      <c r="G3728" s="522"/>
      <c r="H3728" s="707"/>
      <c r="I3728" s="707">
        <f t="shared" si="116"/>
        <v>0</v>
      </c>
      <c r="J3728" s="707">
        <f t="shared" si="117"/>
        <v>0</v>
      </c>
      <c r="K3728" s="70"/>
    </row>
    <row r="3729" spans="1:11" ht="24" customHeight="1">
      <c r="A3729" s="33" t="s">
        <v>1659</v>
      </c>
      <c r="B3729" s="33" t="s">
        <v>27</v>
      </c>
      <c r="C3729" s="33">
        <v>3</v>
      </c>
      <c r="D3729" s="33" t="s">
        <v>1548</v>
      </c>
      <c r="E3729" s="33">
        <v>4</v>
      </c>
      <c r="F3729" s="33"/>
      <c r="G3729" s="522"/>
      <c r="H3729" s="707"/>
      <c r="I3729" s="707">
        <f t="shared" si="116"/>
        <v>0</v>
      </c>
      <c r="J3729" s="707">
        <f t="shared" si="117"/>
        <v>0</v>
      </c>
      <c r="K3729" s="70"/>
    </row>
    <row r="3730" spans="1:11" ht="24" customHeight="1">
      <c r="A3730" s="33" t="s">
        <v>3354</v>
      </c>
      <c r="B3730" s="33" t="s">
        <v>558</v>
      </c>
      <c r="C3730" s="33">
        <v>3</v>
      </c>
      <c r="D3730" s="33" t="s">
        <v>3348</v>
      </c>
      <c r="E3730" s="33">
        <v>3</v>
      </c>
      <c r="F3730" s="33"/>
      <c r="G3730" s="522"/>
      <c r="H3730" s="707"/>
      <c r="I3730" s="707">
        <f t="shared" si="116"/>
        <v>0</v>
      </c>
      <c r="J3730" s="707">
        <f t="shared" si="117"/>
        <v>0</v>
      </c>
      <c r="K3730" s="70"/>
    </row>
    <row r="3731" spans="1:11" ht="24" customHeight="1">
      <c r="A3731" s="33" t="s">
        <v>3115</v>
      </c>
      <c r="B3731" s="33" t="s">
        <v>558</v>
      </c>
      <c r="C3731" s="33">
        <v>47</v>
      </c>
      <c r="D3731" s="33" t="s">
        <v>3053</v>
      </c>
      <c r="E3731" s="33">
        <v>3</v>
      </c>
      <c r="F3731" s="33"/>
      <c r="G3731" s="522"/>
      <c r="H3731" s="707"/>
      <c r="I3731" s="707">
        <f t="shared" si="116"/>
        <v>0</v>
      </c>
      <c r="J3731" s="707">
        <f t="shared" si="117"/>
        <v>0</v>
      </c>
      <c r="K3731" s="70"/>
    </row>
    <row r="3732" spans="1:11" ht="24" customHeight="1">
      <c r="A3732" s="33" t="s">
        <v>3103</v>
      </c>
      <c r="B3732" s="71" t="s">
        <v>558</v>
      </c>
      <c r="C3732" s="71">
        <v>48</v>
      </c>
      <c r="D3732" s="33" t="s">
        <v>3053</v>
      </c>
      <c r="E3732" s="71">
        <v>3</v>
      </c>
      <c r="F3732" s="71"/>
      <c r="G3732" s="686"/>
      <c r="H3732" s="709"/>
      <c r="I3732" s="709">
        <f t="shared" si="116"/>
        <v>0</v>
      </c>
      <c r="J3732" s="709">
        <f t="shared" si="117"/>
        <v>0</v>
      </c>
      <c r="K3732" s="70"/>
    </row>
    <row r="3733" spans="1:11" ht="24" customHeight="1">
      <c r="A3733" s="11" t="s">
        <v>3149</v>
      </c>
      <c r="B3733" s="34" t="s">
        <v>558</v>
      </c>
      <c r="C3733" s="11">
        <v>49</v>
      </c>
      <c r="D3733" s="33" t="s">
        <v>3053</v>
      </c>
      <c r="E3733" s="33">
        <v>3</v>
      </c>
      <c r="F3733" s="33"/>
      <c r="G3733" s="522"/>
      <c r="H3733" s="707"/>
      <c r="I3733" s="707">
        <f t="shared" si="116"/>
        <v>0</v>
      </c>
      <c r="J3733" s="707">
        <f t="shared" si="117"/>
        <v>0</v>
      </c>
      <c r="K3733" s="70"/>
    </row>
    <row r="3734" spans="1:11" ht="24" customHeight="1">
      <c r="A3734" s="33" t="s">
        <v>3111</v>
      </c>
      <c r="B3734" s="33" t="s">
        <v>558</v>
      </c>
      <c r="C3734" s="33">
        <v>165</v>
      </c>
      <c r="D3734" s="33" t="s">
        <v>3053</v>
      </c>
      <c r="E3734" s="33">
        <v>3</v>
      </c>
      <c r="F3734" s="33"/>
      <c r="G3734" s="522"/>
      <c r="H3734" s="707">
        <v>0.5</v>
      </c>
      <c r="I3734" s="707">
        <f t="shared" si="116"/>
        <v>0.57499999999999996</v>
      </c>
      <c r="J3734" s="707">
        <f t="shared" si="117"/>
        <v>0.65</v>
      </c>
      <c r="K3734" s="70"/>
    </row>
    <row r="3735" spans="1:11" ht="24" customHeight="1">
      <c r="A3735" s="33" t="s">
        <v>667</v>
      </c>
      <c r="B3735" s="33" t="s">
        <v>558</v>
      </c>
      <c r="C3735" s="33">
        <v>251</v>
      </c>
      <c r="D3735" s="2" t="s">
        <v>593</v>
      </c>
      <c r="E3735" s="33">
        <v>1</v>
      </c>
      <c r="F3735" s="33"/>
      <c r="G3735" s="522"/>
      <c r="H3735" s="707">
        <v>0.5</v>
      </c>
      <c r="I3735" s="707">
        <f t="shared" si="116"/>
        <v>0.57499999999999996</v>
      </c>
      <c r="J3735" s="707">
        <f t="shared" si="117"/>
        <v>0.65</v>
      </c>
      <c r="K3735" s="70"/>
    </row>
    <row r="3736" spans="1:11" ht="24" customHeight="1">
      <c r="A3736" s="33" t="s">
        <v>1078</v>
      </c>
      <c r="B3736" s="33" t="s">
        <v>558</v>
      </c>
      <c r="C3736" s="33">
        <v>216</v>
      </c>
      <c r="D3736" s="33" t="s">
        <v>992</v>
      </c>
      <c r="E3736" s="33">
        <v>4</v>
      </c>
      <c r="F3736" s="33"/>
      <c r="G3736" s="522"/>
      <c r="H3736" s="707">
        <v>0.5</v>
      </c>
      <c r="I3736" s="707">
        <f t="shared" si="116"/>
        <v>0.57499999999999996</v>
      </c>
      <c r="J3736" s="707">
        <f t="shared" si="117"/>
        <v>0.65</v>
      </c>
      <c r="K3736" s="70"/>
    </row>
    <row r="3737" spans="1:11" ht="24" customHeight="1">
      <c r="A3737" s="33" t="s">
        <v>1949</v>
      </c>
      <c r="B3737" s="33" t="s">
        <v>558</v>
      </c>
      <c r="C3737" s="33">
        <v>13</v>
      </c>
      <c r="D3737" s="33" t="s">
        <v>1938</v>
      </c>
      <c r="E3737" s="33">
        <v>1</v>
      </c>
      <c r="F3737" s="33"/>
      <c r="G3737" s="522"/>
      <c r="H3737" s="707">
        <v>1</v>
      </c>
      <c r="I3737" s="707">
        <f t="shared" si="116"/>
        <v>1.1499999999999999</v>
      </c>
      <c r="J3737" s="707">
        <f t="shared" si="117"/>
        <v>1.3</v>
      </c>
      <c r="K3737" s="70"/>
    </row>
    <row r="3738" spans="1:11" ht="24" customHeight="1">
      <c r="A3738" s="33" t="s">
        <v>3107</v>
      </c>
      <c r="B3738" s="33" t="s">
        <v>558</v>
      </c>
      <c r="C3738" s="33">
        <v>85</v>
      </c>
      <c r="D3738" s="33" t="s">
        <v>3053</v>
      </c>
      <c r="E3738" s="33">
        <v>3</v>
      </c>
      <c r="F3738" s="33"/>
      <c r="G3738" s="522"/>
      <c r="H3738" s="707"/>
      <c r="I3738" s="707">
        <f t="shared" si="116"/>
        <v>0</v>
      </c>
      <c r="J3738" s="707">
        <f t="shared" si="117"/>
        <v>0</v>
      </c>
      <c r="K3738" s="70"/>
    </row>
    <row r="3739" spans="1:11" ht="24" customHeight="1">
      <c r="A3739" s="33" t="s">
        <v>3106</v>
      </c>
      <c r="B3739" s="33" t="s">
        <v>558</v>
      </c>
      <c r="C3739" s="33">
        <v>93</v>
      </c>
      <c r="D3739" s="33" t="s">
        <v>3053</v>
      </c>
      <c r="E3739" s="33">
        <v>3</v>
      </c>
      <c r="F3739" s="33"/>
      <c r="G3739" s="522"/>
      <c r="H3739" s="707"/>
      <c r="I3739" s="707">
        <f t="shared" si="116"/>
        <v>0</v>
      </c>
      <c r="J3739" s="707">
        <f t="shared" si="117"/>
        <v>0</v>
      </c>
      <c r="K3739" s="70"/>
    </row>
    <row r="3740" spans="1:11" ht="24" customHeight="1">
      <c r="A3740" s="33" t="s">
        <v>2486</v>
      </c>
      <c r="B3740" s="33" t="s">
        <v>2238</v>
      </c>
      <c r="C3740" s="33">
        <v>10</v>
      </c>
      <c r="D3740" s="33" t="s">
        <v>2363</v>
      </c>
      <c r="E3740" s="33">
        <v>5</v>
      </c>
      <c r="F3740" s="33"/>
      <c r="G3740" s="522"/>
      <c r="H3740" s="707"/>
      <c r="I3740" s="707">
        <f t="shared" si="116"/>
        <v>0</v>
      </c>
      <c r="J3740" s="707">
        <f t="shared" si="117"/>
        <v>0</v>
      </c>
      <c r="K3740" s="70"/>
    </row>
    <row r="3741" spans="1:11" ht="24" customHeight="1">
      <c r="A3741" s="11" t="s">
        <v>3140</v>
      </c>
      <c r="B3741" s="34" t="s">
        <v>558</v>
      </c>
      <c r="C3741" s="11">
        <v>70</v>
      </c>
      <c r="D3741" s="33" t="s">
        <v>3053</v>
      </c>
      <c r="E3741" s="33">
        <v>3</v>
      </c>
      <c r="F3741" s="33"/>
      <c r="G3741" s="522"/>
      <c r="H3741" s="707"/>
      <c r="I3741" s="707">
        <f t="shared" si="116"/>
        <v>0</v>
      </c>
      <c r="J3741" s="707">
        <f t="shared" si="117"/>
        <v>0</v>
      </c>
      <c r="K3741" s="70"/>
    </row>
    <row r="3742" spans="1:11" ht="24" customHeight="1">
      <c r="A3742" s="33" t="s">
        <v>3295</v>
      </c>
      <c r="B3742" s="33" t="s">
        <v>558</v>
      </c>
      <c r="C3742" s="33">
        <v>24</v>
      </c>
      <c r="D3742" s="33" t="s">
        <v>3279</v>
      </c>
      <c r="E3742" s="33">
        <v>3</v>
      </c>
      <c r="F3742" s="33"/>
      <c r="G3742" s="522"/>
      <c r="H3742" s="707"/>
      <c r="I3742" s="707">
        <f t="shared" si="116"/>
        <v>0</v>
      </c>
      <c r="J3742" s="707">
        <f t="shared" si="117"/>
        <v>0</v>
      </c>
      <c r="K3742" s="70"/>
    </row>
    <row r="3743" spans="1:11" ht="24" customHeight="1">
      <c r="A3743" s="33" t="s">
        <v>3309</v>
      </c>
      <c r="B3743" s="33" t="s">
        <v>558</v>
      </c>
      <c r="C3743" s="33">
        <v>39</v>
      </c>
      <c r="D3743" s="33" t="s">
        <v>3279</v>
      </c>
      <c r="E3743" s="33">
        <v>3</v>
      </c>
      <c r="F3743" s="33"/>
      <c r="G3743" s="522"/>
      <c r="H3743" s="707"/>
      <c r="I3743" s="707">
        <f t="shared" si="116"/>
        <v>0</v>
      </c>
      <c r="J3743" s="707">
        <f t="shared" si="117"/>
        <v>0</v>
      </c>
      <c r="K3743" s="70"/>
    </row>
    <row r="3744" spans="1:11" ht="24" customHeight="1">
      <c r="A3744" s="74" t="s">
        <v>2148</v>
      </c>
      <c r="B3744" s="74" t="s">
        <v>105</v>
      </c>
      <c r="C3744" s="74">
        <v>14</v>
      </c>
      <c r="D3744" s="33" t="s">
        <v>2111</v>
      </c>
      <c r="E3744" s="33">
        <v>2</v>
      </c>
      <c r="F3744" s="33"/>
      <c r="G3744" s="522"/>
      <c r="H3744" s="707"/>
      <c r="I3744" s="707">
        <f t="shared" si="116"/>
        <v>0</v>
      </c>
      <c r="J3744" s="707">
        <f t="shared" si="117"/>
        <v>0</v>
      </c>
      <c r="K3744" s="70"/>
    </row>
    <row r="3745" spans="1:11" ht="24" customHeight="1">
      <c r="A3745" s="33" t="s">
        <v>1533</v>
      </c>
      <c r="B3745" s="33" t="s">
        <v>27</v>
      </c>
      <c r="C3745" s="33">
        <v>4</v>
      </c>
      <c r="D3745" s="33" t="s">
        <v>1494</v>
      </c>
      <c r="E3745" s="33">
        <v>2</v>
      </c>
      <c r="F3745" s="33"/>
      <c r="G3745" s="522"/>
      <c r="H3745" s="707"/>
      <c r="I3745" s="707">
        <f t="shared" si="116"/>
        <v>0</v>
      </c>
      <c r="J3745" s="707">
        <f t="shared" si="117"/>
        <v>0</v>
      </c>
      <c r="K3745" s="70"/>
    </row>
    <row r="3746" spans="1:11" ht="24" customHeight="1">
      <c r="A3746" s="33" t="s">
        <v>2372</v>
      </c>
      <c r="B3746" s="33" t="s">
        <v>27</v>
      </c>
      <c r="C3746" s="33">
        <v>1</v>
      </c>
      <c r="D3746" s="33" t="s">
        <v>2363</v>
      </c>
      <c r="E3746" s="33">
        <v>3</v>
      </c>
      <c r="F3746" s="33"/>
      <c r="G3746" s="522"/>
      <c r="H3746" s="707"/>
      <c r="I3746" s="707">
        <f t="shared" si="116"/>
        <v>0</v>
      </c>
      <c r="J3746" s="707">
        <f t="shared" si="117"/>
        <v>0</v>
      </c>
      <c r="K3746" s="70"/>
    </row>
    <row r="3747" spans="1:11" ht="24" customHeight="1">
      <c r="A3747" s="33" t="s">
        <v>1214</v>
      </c>
      <c r="B3747" s="33" t="s">
        <v>21</v>
      </c>
      <c r="C3747" s="33">
        <v>2</v>
      </c>
      <c r="D3747" s="33" t="s">
        <v>1201</v>
      </c>
      <c r="E3747" s="33">
        <v>3</v>
      </c>
      <c r="F3747" s="33"/>
      <c r="G3747" s="522"/>
      <c r="H3747" s="707"/>
      <c r="I3747" s="707">
        <f t="shared" si="116"/>
        <v>0</v>
      </c>
      <c r="J3747" s="707">
        <f t="shared" si="117"/>
        <v>0</v>
      </c>
      <c r="K3747" s="70"/>
    </row>
    <row r="3748" spans="1:11" ht="24" customHeight="1">
      <c r="A3748" s="17" t="s">
        <v>1764</v>
      </c>
      <c r="B3748" s="17" t="s">
        <v>21</v>
      </c>
      <c r="C3748" s="17">
        <v>6</v>
      </c>
      <c r="D3748" s="131" t="s">
        <v>1723</v>
      </c>
      <c r="E3748" s="15">
        <v>2</v>
      </c>
      <c r="F3748" s="15"/>
      <c r="G3748" s="684"/>
      <c r="H3748" s="707"/>
      <c r="I3748" s="707">
        <f t="shared" si="116"/>
        <v>0</v>
      </c>
      <c r="J3748" s="707">
        <f t="shared" si="117"/>
        <v>0</v>
      </c>
      <c r="K3748" s="70"/>
    </row>
    <row r="3749" spans="1:11" ht="24" customHeight="1">
      <c r="A3749" s="33" t="s">
        <v>1616</v>
      </c>
      <c r="B3749" s="33" t="s">
        <v>19</v>
      </c>
      <c r="C3749" s="33">
        <v>9</v>
      </c>
      <c r="D3749" s="33" t="s">
        <v>1548</v>
      </c>
      <c r="E3749" s="33">
        <v>3</v>
      </c>
      <c r="F3749" s="33"/>
      <c r="G3749" s="522"/>
      <c r="H3749" s="707"/>
      <c r="I3749" s="707">
        <f t="shared" si="116"/>
        <v>0</v>
      </c>
      <c r="J3749" s="707">
        <f t="shared" si="117"/>
        <v>0</v>
      </c>
      <c r="K3749" s="70"/>
    </row>
    <row r="3750" spans="1:11" ht="24" customHeight="1">
      <c r="A3750" s="33" t="s">
        <v>2365</v>
      </c>
      <c r="B3750" s="33" t="s">
        <v>21</v>
      </c>
      <c r="C3750" s="33">
        <v>3</v>
      </c>
      <c r="D3750" s="33" t="s">
        <v>2363</v>
      </c>
      <c r="E3750" s="33">
        <v>3</v>
      </c>
      <c r="F3750" s="33"/>
      <c r="G3750" s="522"/>
      <c r="H3750" s="707"/>
      <c r="I3750" s="707">
        <f t="shared" si="116"/>
        <v>0</v>
      </c>
      <c r="J3750" s="707">
        <f t="shared" si="117"/>
        <v>0</v>
      </c>
      <c r="K3750" s="70"/>
    </row>
    <row r="3751" spans="1:11" ht="24" customHeight="1">
      <c r="A3751" s="33" t="s">
        <v>1267</v>
      </c>
      <c r="B3751" s="33" t="s">
        <v>19</v>
      </c>
      <c r="C3751" s="33">
        <v>4</v>
      </c>
      <c r="D3751" s="33" t="s">
        <v>1201</v>
      </c>
      <c r="E3751" s="33">
        <v>4</v>
      </c>
      <c r="F3751" s="33"/>
      <c r="G3751" s="522"/>
      <c r="H3751" s="707"/>
      <c r="I3751" s="707">
        <f t="shared" si="116"/>
        <v>0</v>
      </c>
      <c r="J3751" s="707">
        <f t="shared" si="117"/>
        <v>0</v>
      </c>
      <c r="K3751" s="70"/>
    </row>
    <row r="3752" spans="1:11" ht="24" customHeight="1">
      <c r="A3752" s="74" t="s">
        <v>1132</v>
      </c>
      <c r="B3752" s="74" t="s">
        <v>10</v>
      </c>
      <c r="C3752" s="74">
        <v>8</v>
      </c>
      <c r="D3752" s="33" t="s">
        <v>992</v>
      </c>
      <c r="E3752" s="33">
        <v>5</v>
      </c>
      <c r="F3752" s="33"/>
      <c r="G3752" s="522"/>
      <c r="H3752" s="707">
        <v>3</v>
      </c>
      <c r="I3752" s="707">
        <f t="shared" si="116"/>
        <v>3.4499999999999997</v>
      </c>
      <c r="J3752" s="707">
        <f t="shared" si="117"/>
        <v>3.9000000000000004</v>
      </c>
      <c r="K3752" s="70"/>
    </row>
    <row r="3753" spans="1:11" ht="24" customHeight="1">
      <c r="A3753" s="33" t="s">
        <v>1511</v>
      </c>
      <c r="B3753" s="33" t="s">
        <v>41</v>
      </c>
      <c r="C3753" s="33">
        <v>71</v>
      </c>
      <c r="D3753" s="33" t="s">
        <v>1494</v>
      </c>
      <c r="E3753" s="33">
        <v>1</v>
      </c>
      <c r="F3753" s="33"/>
      <c r="G3753" s="522"/>
      <c r="H3753" s="707">
        <v>1</v>
      </c>
      <c r="I3753" s="707">
        <f t="shared" si="116"/>
        <v>1.1499999999999999</v>
      </c>
      <c r="J3753" s="707">
        <f t="shared" si="117"/>
        <v>1.3</v>
      </c>
      <c r="K3753" s="70"/>
    </row>
    <row r="3754" spans="1:11" ht="24" customHeight="1">
      <c r="A3754" s="11" t="s">
        <v>3151</v>
      </c>
      <c r="B3754" s="34" t="s">
        <v>41</v>
      </c>
      <c r="C3754" s="11">
        <v>100</v>
      </c>
      <c r="D3754" s="33" t="s">
        <v>3053</v>
      </c>
      <c r="E3754" s="33">
        <v>3</v>
      </c>
      <c r="F3754" s="33"/>
      <c r="G3754" s="522"/>
      <c r="H3754" s="707">
        <v>2</v>
      </c>
      <c r="I3754" s="707">
        <f t="shared" si="116"/>
        <v>2.2999999999999998</v>
      </c>
      <c r="J3754" s="707">
        <f t="shared" si="117"/>
        <v>2.6</v>
      </c>
      <c r="K3754" s="70"/>
    </row>
    <row r="3755" spans="1:11" ht="24" customHeight="1">
      <c r="A3755" s="33" t="s">
        <v>3293</v>
      </c>
      <c r="B3755" s="33" t="s">
        <v>41</v>
      </c>
      <c r="C3755" s="33">
        <v>49</v>
      </c>
      <c r="D3755" s="33" t="s">
        <v>3279</v>
      </c>
      <c r="E3755" s="33">
        <v>3</v>
      </c>
      <c r="F3755" s="33"/>
      <c r="G3755" s="522"/>
      <c r="H3755" s="707">
        <v>0.5</v>
      </c>
      <c r="I3755" s="707">
        <f t="shared" si="116"/>
        <v>0.57499999999999996</v>
      </c>
      <c r="J3755" s="707">
        <f t="shared" si="117"/>
        <v>0.65</v>
      </c>
      <c r="K3755" s="70"/>
    </row>
    <row r="3756" spans="1:11" ht="24" customHeight="1">
      <c r="A3756" s="33" t="s">
        <v>2034</v>
      </c>
      <c r="B3756" s="33" t="s">
        <v>41</v>
      </c>
      <c r="C3756" s="33">
        <v>80</v>
      </c>
      <c r="D3756" s="33" t="s">
        <v>2026</v>
      </c>
      <c r="E3756" s="33">
        <v>3</v>
      </c>
      <c r="F3756" s="33"/>
      <c r="G3756" s="522"/>
      <c r="H3756" s="707"/>
      <c r="I3756" s="707">
        <f t="shared" si="116"/>
        <v>0</v>
      </c>
      <c r="J3756" s="707">
        <f t="shared" si="117"/>
        <v>0</v>
      </c>
      <c r="K3756" s="70"/>
    </row>
    <row r="3757" spans="1:11" ht="24" customHeight="1">
      <c r="A3757" s="33" t="s">
        <v>3292</v>
      </c>
      <c r="B3757" s="33" t="s">
        <v>41</v>
      </c>
      <c r="C3757" s="33">
        <v>50</v>
      </c>
      <c r="D3757" s="33" t="s">
        <v>3279</v>
      </c>
      <c r="E3757" s="33">
        <v>3</v>
      </c>
      <c r="F3757" s="33"/>
      <c r="G3757" s="522"/>
      <c r="H3757" s="707">
        <v>1</v>
      </c>
      <c r="I3757" s="707">
        <f t="shared" si="116"/>
        <v>1.1499999999999999</v>
      </c>
      <c r="J3757" s="707">
        <f t="shared" si="117"/>
        <v>1.3</v>
      </c>
      <c r="K3757" s="70"/>
    </row>
    <row r="3758" spans="1:11" ht="24" customHeight="1">
      <c r="A3758" s="33" t="s">
        <v>2322</v>
      </c>
      <c r="B3758" s="33" t="s">
        <v>41</v>
      </c>
      <c r="C3758" s="33">
        <v>2</v>
      </c>
      <c r="D3758" s="33" t="s">
        <v>2276</v>
      </c>
      <c r="E3758" s="33">
        <v>1</v>
      </c>
      <c r="F3758" s="33"/>
      <c r="G3758" s="522"/>
      <c r="H3758" s="707">
        <v>1</v>
      </c>
      <c r="I3758" s="707">
        <f t="shared" si="116"/>
        <v>1.1499999999999999</v>
      </c>
      <c r="J3758" s="707">
        <f t="shared" si="117"/>
        <v>1.3</v>
      </c>
      <c r="K3758" s="70"/>
    </row>
    <row r="3759" spans="1:11" ht="24" customHeight="1">
      <c r="A3759" s="33" t="s">
        <v>951</v>
      </c>
      <c r="B3759" s="33" t="s">
        <v>41</v>
      </c>
      <c r="C3759" s="33">
        <v>96</v>
      </c>
      <c r="D3759" s="33" t="s">
        <v>910</v>
      </c>
      <c r="E3759" s="33">
        <v>2</v>
      </c>
      <c r="F3759" s="33"/>
      <c r="G3759" s="522"/>
      <c r="H3759" s="707"/>
      <c r="I3759" s="707">
        <f t="shared" si="116"/>
        <v>0</v>
      </c>
      <c r="J3759" s="707">
        <f t="shared" si="117"/>
        <v>0</v>
      </c>
      <c r="K3759" s="70"/>
    </row>
    <row r="3760" spans="1:11" ht="24" customHeight="1">
      <c r="A3760" s="33" t="s">
        <v>1273</v>
      </c>
      <c r="B3760" s="33" t="s">
        <v>41</v>
      </c>
      <c r="C3760" s="33">
        <v>398</v>
      </c>
      <c r="D3760" s="33" t="s">
        <v>1201</v>
      </c>
      <c r="E3760" s="33">
        <v>4</v>
      </c>
      <c r="F3760" s="33"/>
      <c r="G3760" s="522"/>
      <c r="H3760" s="707"/>
      <c r="I3760" s="707">
        <f t="shared" si="116"/>
        <v>0</v>
      </c>
      <c r="J3760" s="707">
        <f t="shared" si="117"/>
        <v>0</v>
      </c>
      <c r="K3760" s="70"/>
    </row>
    <row r="3761" spans="1:11" ht="24" customHeight="1">
      <c r="A3761" s="33" t="s">
        <v>1065</v>
      </c>
      <c r="B3761" s="33" t="s">
        <v>41</v>
      </c>
      <c r="C3761" s="33">
        <v>145</v>
      </c>
      <c r="D3761" s="33" t="s">
        <v>992</v>
      </c>
      <c r="E3761" s="33">
        <v>4</v>
      </c>
      <c r="F3761" s="33"/>
      <c r="G3761" s="522"/>
      <c r="H3761" s="707"/>
      <c r="I3761" s="707">
        <f t="shared" si="116"/>
        <v>0</v>
      </c>
      <c r="J3761" s="707">
        <f t="shared" si="117"/>
        <v>0</v>
      </c>
      <c r="K3761" s="70"/>
    </row>
    <row r="3762" spans="1:11" ht="24" customHeight="1">
      <c r="A3762" s="33" t="s">
        <v>2554</v>
      </c>
      <c r="B3762" s="33" t="s">
        <v>41</v>
      </c>
      <c r="C3762" s="33">
        <v>45</v>
      </c>
      <c r="D3762" s="33" t="s">
        <v>2540</v>
      </c>
      <c r="E3762" s="33">
        <v>1</v>
      </c>
      <c r="F3762" s="33"/>
      <c r="G3762" s="522"/>
      <c r="H3762" s="707">
        <v>1</v>
      </c>
      <c r="I3762" s="707">
        <f t="shared" si="116"/>
        <v>1.1499999999999999</v>
      </c>
      <c r="J3762" s="707">
        <f t="shared" si="117"/>
        <v>1.3</v>
      </c>
      <c r="K3762" s="70"/>
    </row>
    <row r="3763" spans="1:11" ht="24" customHeight="1">
      <c r="A3763" s="33" t="s">
        <v>1154</v>
      </c>
      <c r="B3763" s="33" t="s">
        <v>41</v>
      </c>
      <c r="C3763" s="33">
        <v>25</v>
      </c>
      <c r="D3763" s="33" t="s">
        <v>1141</v>
      </c>
      <c r="E3763" s="33">
        <v>1</v>
      </c>
      <c r="F3763" s="33"/>
      <c r="G3763" s="522"/>
      <c r="H3763" s="707"/>
      <c r="I3763" s="707">
        <f t="shared" si="116"/>
        <v>0</v>
      </c>
      <c r="J3763" s="707">
        <f t="shared" si="117"/>
        <v>0</v>
      </c>
      <c r="K3763" s="70"/>
    </row>
    <row r="3764" spans="1:11" ht="24" customHeight="1">
      <c r="A3764" s="33" t="s">
        <v>3382</v>
      </c>
      <c r="B3764" s="33" t="s">
        <v>41</v>
      </c>
      <c r="C3764" s="33">
        <v>400</v>
      </c>
      <c r="D3764" s="33" t="s">
        <v>3348</v>
      </c>
      <c r="E3764" s="33">
        <v>3</v>
      </c>
      <c r="F3764" s="33"/>
      <c r="G3764" s="522"/>
      <c r="H3764" s="707">
        <v>1</v>
      </c>
      <c r="I3764" s="707">
        <f t="shared" si="116"/>
        <v>1.1499999999999999</v>
      </c>
      <c r="J3764" s="707">
        <f t="shared" si="117"/>
        <v>1.3</v>
      </c>
      <c r="K3764" s="70"/>
    </row>
    <row r="3765" spans="1:11" ht="24" customHeight="1">
      <c r="A3765" s="33" t="s">
        <v>2580</v>
      </c>
      <c r="B3765" s="33" t="s">
        <v>27</v>
      </c>
      <c r="C3765" s="33">
        <v>51</v>
      </c>
      <c r="D3765" s="33" t="s">
        <v>2540</v>
      </c>
      <c r="E3765" s="33">
        <v>2</v>
      </c>
      <c r="F3765" s="33"/>
      <c r="G3765" s="522"/>
      <c r="H3765" s="707">
        <v>0.5</v>
      </c>
      <c r="I3765" s="707">
        <f t="shared" si="116"/>
        <v>0.57499999999999996</v>
      </c>
      <c r="J3765" s="707">
        <f t="shared" si="117"/>
        <v>0.65</v>
      </c>
      <c r="K3765" s="70"/>
    </row>
    <row r="3766" spans="1:11" ht="24" customHeight="1">
      <c r="A3766" s="33" t="s">
        <v>2559</v>
      </c>
      <c r="B3766" s="33" t="s">
        <v>41</v>
      </c>
      <c r="C3766" s="33">
        <v>144</v>
      </c>
      <c r="D3766" s="33" t="s">
        <v>2540</v>
      </c>
      <c r="E3766" s="33">
        <v>1</v>
      </c>
      <c r="F3766" s="33"/>
      <c r="G3766" s="522"/>
      <c r="H3766" s="707">
        <v>0.5</v>
      </c>
      <c r="I3766" s="707">
        <f t="shared" si="116"/>
        <v>0.57499999999999996</v>
      </c>
      <c r="J3766" s="707">
        <f t="shared" si="117"/>
        <v>0.65</v>
      </c>
      <c r="K3766" s="70"/>
    </row>
    <row r="3767" spans="1:11" ht="24" customHeight="1">
      <c r="A3767" s="33" t="s">
        <v>2213</v>
      </c>
      <c r="B3767" s="33" t="s">
        <v>27</v>
      </c>
      <c r="C3767" s="33">
        <v>17</v>
      </c>
      <c r="D3767" s="33" t="s">
        <v>2191</v>
      </c>
      <c r="E3767" s="33">
        <v>4</v>
      </c>
      <c r="F3767" s="33"/>
      <c r="G3767" s="522"/>
      <c r="H3767" s="707"/>
      <c r="I3767" s="707">
        <f t="shared" si="116"/>
        <v>0</v>
      </c>
      <c r="J3767" s="707">
        <f t="shared" si="117"/>
        <v>0</v>
      </c>
      <c r="K3767" s="70"/>
    </row>
    <row r="3768" spans="1:11" ht="24" customHeight="1">
      <c r="A3768" s="74" t="s">
        <v>2474</v>
      </c>
      <c r="B3768" s="74" t="s">
        <v>41</v>
      </c>
      <c r="C3768" s="74">
        <v>12</v>
      </c>
      <c r="D3768" s="33" t="s">
        <v>2363</v>
      </c>
      <c r="E3768" s="33">
        <v>5</v>
      </c>
      <c r="F3768" s="33"/>
      <c r="G3768" s="522"/>
      <c r="H3768" s="707"/>
      <c r="I3768" s="707">
        <f t="shared" si="116"/>
        <v>0</v>
      </c>
      <c r="J3768" s="707">
        <f t="shared" si="117"/>
        <v>0</v>
      </c>
      <c r="K3768" s="70"/>
    </row>
    <row r="3769" spans="1:11" ht="24" customHeight="1">
      <c r="A3769" s="33" t="s">
        <v>1953</v>
      </c>
      <c r="B3769" s="33" t="s">
        <v>41</v>
      </c>
      <c r="C3769" s="33">
        <v>9</v>
      </c>
      <c r="D3769" s="33" t="s">
        <v>1938</v>
      </c>
      <c r="E3769" s="33">
        <v>1</v>
      </c>
      <c r="F3769" s="33"/>
      <c r="G3769" s="522"/>
      <c r="H3769" s="707">
        <v>20</v>
      </c>
      <c r="I3769" s="707">
        <f t="shared" si="116"/>
        <v>23</v>
      </c>
      <c r="J3769" s="707">
        <f t="shared" si="117"/>
        <v>26</v>
      </c>
      <c r="K3769" s="70"/>
    </row>
    <row r="3770" spans="1:11" ht="24" customHeight="1">
      <c r="A3770" s="33" t="s">
        <v>2334</v>
      </c>
      <c r="B3770" s="33" t="s">
        <v>41</v>
      </c>
      <c r="C3770" s="33">
        <v>24</v>
      </c>
      <c r="D3770" s="33" t="s">
        <v>2276</v>
      </c>
      <c r="E3770" s="33">
        <v>1</v>
      </c>
      <c r="F3770" s="33"/>
      <c r="G3770" s="522"/>
      <c r="H3770" s="707"/>
      <c r="I3770" s="707">
        <f t="shared" si="116"/>
        <v>0</v>
      </c>
      <c r="J3770" s="707">
        <f t="shared" si="117"/>
        <v>0</v>
      </c>
      <c r="K3770" s="70"/>
    </row>
    <row r="3771" spans="1:11" ht="24" customHeight="1">
      <c r="A3771" s="33" t="s">
        <v>2029</v>
      </c>
      <c r="B3771" s="33" t="s">
        <v>41</v>
      </c>
      <c r="C3771" s="33">
        <v>67</v>
      </c>
      <c r="D3771" s="33" t="s">
        <v>2026</v>
      </c>
      <c r="E3771" s="33">
        <v>3</v>
      </c>
      <c r="F3771" s="33"/>
      <c r="G3771" s="522"/>
      <c r="H3771" s="707"/>
      <c r="I3771" s="707">
        <f t="shared" si="116"/>
        <v>0</v>
      </c>
      <c r="J3771" s="707">
        <f t="shared" si="117"/>
        <v>0</v>
      </c>
      <c r="K3771" s="70"/>
    </row>
    <row r="3772" spans="1:11" ht="24" customHeight="1">
      <c r="A3772" s="33" t="s">
        <v>1277</v>
      </c>
      <c r="B3772" s="33" t="s">
        <v>41</v>
      </c>
      <c r="C3772" s="33">
        <v>90</v>
      </c>
      <c r="D3772" s="33" t="s">
        <v>1201</v>
      </c>
      <c r="E3772" s="33">
        <v>4</v>
      </c>
      <c r="F3772" s="33"/>
      <c r="G3772" s="522"/>
      <c r="H3772" s="707"/>
      <c r="I3772" s="707">
        <f t="shared" si="116"/>
        <v>0</v>
      </c>
      <c r="J3772" s="707">
        <f t="shared" si="117"/>
        <v>0</v>
      </c>
      <c r="K3772" s="70"/>
    </row>
    <row r="3773" spans="1:11" ht="24" customHeight="1">
      <c r="A3773" s="33" t="s">
        <v>1510</v>
      </c>
      <c r="B3773" s="33" t="s">
        <v>41</v>
      </c>
      <c r="C3773" s="33">
        <v>8</v>
      </c>
      <c r="D3773" s="33" t="s">
        <v>1494</v>
      </c>
      <c r="E3773" s="33">
        <v>1</v>
      </c>
      <c r="F3773" s="33"/>
      <c r="G3773" s="522"/>
      <c r="H3773" s="707"/>
      <c r="I3773" s="707">
        <f t="shared" si="116"/>
        <v>0</v>
      </c>
      <c r="J3773" s="707">
        <f t="shared" si="117"/>
        <v>0</v>
      </c>
      <c r="K3773" s="70"/>
    </row>
    <row r="3774" spans="1:11" ht="24" customHeight="1">
      <c r="A3774" s="467" t="s">
        <v>1271</v>
      </c>
      <c r="B3774" s="33" t="s">
        <v>23</v>
      </c>
      <c r="C3774" s="33">
        <v>97</v>
      </c>
      <c r="D3774" s="33" t="s">
        <v>1201</v>
      </c>
      <c r="E3774" s="33">
        <v>4</v>
      </c>
      <c r="F3774" s="33"/>
      <c r="G3774" s="522"/>
      <c r="H3774" s="707"/>
      <c r="I3774" s="707">
        <f t="shared" si="116"/>
        <v>0</v>
      </c>
      <c r="J3774" s="707">
        <f t="shared" si="117"/>
        <v>0</v>
      </c>
      <c r="K3774" s="70"/>
    </row>
    <row r="3775" spans="1:11" ht="24" customHeight="1">
      <c r="A3775" s="2" t="s">
        <v>378</v>
      </c>
      <c r="B3775" s="2" t="s">
        <v>379</v>
      </c>
      <c r="C3775" s="2">
        <v>2</v>
      </c>
      <c r="D3775" s="2" t="s">
        <v>274</v>
      </c>
      <c r="E3775" s="33">
        <v>2</v>
      </c>
      <c r="F3775" s="33"/>
      <c r="G3775" s="522"/>
      <c r="H3775" s="707"/>
      <c r="I3775" s="707">
        <f t="shared" si="116"/>
        <v>0</v>
      </c>
      <c r="J3775" s="707">
        <f t="shared" si="117"/>
        <v>0</v>
      </c>
      <c r="K3775" s="70"/>
    </row>
    <row r="3776" spans="1:11" ht="24" customHeight="1">
      <c r="A3776" s="2" t="s">
        <v>112</v>
      </c>
      <c r="B3776" s="2" t="s">
        <v>27</v>
      </c>
      <c r="C3776" s="2">
        <v>30</v>
      </c>
      <c r="D3776" s="2" t="s">
        <v>11</v>
      </c>
      <c r="E3776" s="33">
        <v>2</v>
      </c>
      <c r="F3776" s="33"/>
      <c r="G3776" s="522"/>
      <c r="H3776" s="707">
        <v>4</v>
      </c>
      <c r="I3776" s="707">
        <f t="shared" si="116"/>
        <v>4.5999999999999996</v>
      </c>
      <c r="J3776" s="707">
        <f t="shared" si="117"/>
        <v>5.2</v>
      </c>
      <c r="K3776" s="70" t="s">
        <v>99</v>
      </c>
    </row>
    <row r="3777" spans="1:11" ht="24" customHeight="1">
      <c r="A3777" s="2" t="s">
        <v>3646</v>
      </c>
      <c r="B3777" s="2" t="s">
        <v>27</v>
      </c>
      <c r="C3777" s="2">
        <v>100</v>
      </c>
      <c r="D3777" s="2" t="s">
        <v>3636</v>
      </c>
      <c r="E3777" s="33">
        <v>2</v>
      </c>
      <c r="F3777" s="33"/>
      <c r="G3777" s="522"/>
      <c r="H3777" s="707"/>
      <c r="I3777" s="707">
        <f t="shared" si="116"/>
        <v>0</v>
      </c>
      <c r="J3777" s="707">
        <f t="shared" si="117"/>
        <v>0</v>
      </c>
      <c r="K3777" s="55"/>
    </row>
    <row r="3778" spans="1:11" ht="24" customHeight="1">
      <c r="A3778" s="2" t="s">
        <v>3648</v>
      </c>
      <c r="B3778" s="2" t="s">
        <v>27</v>
      </c>
      <c r="C3778" s="2">
        <v>50</v>
      </c>
      <c r="D3778" s="2" t="s">
        <v>3636</v>
      </c>
      <c r="E3778" s="33">
        <v>2</v>
      </c>
      <c r="F3778" s="33"/>
      <c r="G3778" s="522"/>
      <c r="H3778" s="707"/>
      <c r="I3778" s="707">
        <f t="shared" si="116"/>
        <v>0</v>
      </c>
      <c r="J3778" s="707">
        <f t="shared" si="117"/>
        <v>0</v>
      </c>
      <c r="K3778" s="55"/>
    </row>
    <row r="3779" spans="1:11" ht="24" customHeight="1">
      <c r="A3779" s="2" t="s">
        <v>3651</v>
      </c>
      <c r="B3779" s="2" t="s">
        <v>27</v>
      </c>
      <c r="C3779" s="2">
        <v>48</v>
      </c>
      <c r="D3779" s="2" t="s">
        <v>3636</v>
      </c>
      <c r="E3779" s="33">
        <v>2</v>
      </c>
      <c r="F3779" s="33"/>
      <c r="G3779" s="522"/>
      <c r="H3779" s="707"/>
      <c r="I3779" s="707">
        <f t="shared" ref="I3779:I3842" si="118">H3779 * 1.15</f>
        <v>0</v>
      </c>
      <c r="J3779" s="707">
        <f t="shared" ref="J3779:J3842" si="119">H3779 * 1.3</f>
        <v>0</v>
      </c>
      <c r="K3779" s="55"/>
    </row>
    <row r="3780" spans="1:11" ht="24" customHeight="1">
      <c r="A3780" s="33" t="s">
        <v>1557</v>
      </c>
      <c r="B3780" s="33" t="s">
        <v>1558</v>
      </c>
      <c r="C3780" s="33">
        <v>15</v>
      </c>
      <c r="D3780" s="33" t="s">
        <v>1548</v>
      </c>
      <c r="E3780" s="33">
        <v>3</v>
      </c>
      <c r="F3780" s="33"/>
      <c r="G3780" s="522"/>
      <c r="H3780" s="707">
        <v>5</v>
      </c>
      <c r="I3780" s="707">
        <f t="shared" si="118"/>
        <v>5.75</v>
      </c>
      <c r="J3780" s="707">
        <f t="shared" si="119"/>
        <v>6.5</v>
      </c>
      <c r="K3780" s="70"/>
    </row>
    <row r="3781" spans="1:11" ht="24" customHeight="1">
      <c r="A3781" s="33" t="s">
        <v>1341</v>
      </c>
      <c r="B3781" s="33" t="s">
        <v>41</v>
      </c>
      <c r="C3781" s="33">
        <v>6</v>
      </c>
      <c r="D3781" s="33" t="s">
        <v>1325</v>
      </c>
      <c r="E3781" s="33">
        <v>1</v>
      </c>
      <c r="F3781" s="33"/>
      <c r="G3781" s="522"/>
      <c r="H3781" s="707"/>
      <c r="I3781" s="707">
        <f t="shared" si="118"/>
        <v>0</v>
      </c>
      <c r="J3781" s="707">
        <f t="shared" si="119"/>
        <v>0</v>
      </c>
      <c r="K3781" s="70"/>
    </row>
    <row r="3782" spans="1:11" ht="24" customHeight="1">
      <c r="A3782" s="33" t="s">
        <v>2288</v>
      </c>
      <c r="B3782" s="33" t="s">
        <v>27</v>
      </c>
      <c r="C3782" s="33">
        <v>2</v>
      </c>
      <c r="D3782" s="33" t="s">
        <v>2276</v>
      </c>
      <c r="E3782" s="33">
        <v>1</v>
      </c>
      <c r="F3782" s="33"/>
      <c r="G3782" s="522"/>
      <c r="H3782" s="707"/>
      <c r="I3782" s="707">
        <f t="shared" si="118"/>
        <v>0</v>
      </c>
      <c r="J3782" s="707">
        <f t="shared" si="119"/>
        <v>0</v>
      </c>
      <c r="K3782" s="70"/>
    </row>
    <row r="3783" spans="1:11" ht="24" customHeight="1">
      <c r="A3783" s="33" t="s">
        <v>3319</v>
      </c>
      <c r="B3783" s="33" t="s">
        <v>41</v>
      </c>
      <c r="C3783" s="33">
        <v>102</v>
      </c>
      <c r="D3783" s="33" t="s">
        <v>3279</v>
      </c>
      <c r="E3783" s="33">
        <v>4</v>
      </c>
      <c r="F3783" s="33"/>
      <c r="G3783" s="522"/>
      <c r="H3783" s="707"/>
      <c r="I3783" s="707">
        <f t="shared" si="118"/>
        <v>0</v>
      </c>
      <c r="J3783" s="707">
        <f t="shared" si="119"/>
        <v>0</v>
      </c>
      <c r="K3783" s="70"/>
    </row>
    <row r="3784" spans="1:11" ht="24" customHeight="1">
      <c r="A3784" s="33" t="s">
        <v>1339</v>
      </c>
      <c r="B3784" s="33" t="s">
        <v>41</v>
      </c>
      <c r="C3784" s="33">
        <v>50</v>
      </c>
      <c r="D3784" s="33" t="s">
        <v>1325</v>
      </c>
      <c r="E3784" s="33">
        <v>1</v>
      </c>
      <c r="F3784" s="33"/>
      <c r="G3784" s="522"/>
      <c r="H3784" s="707"/>
      <c r="I3784" s="707">
        <f t="shared" si="118"/>
        <v>0</v>
      </c>
      <c r="J3784" s="707">
        <f t="shared" si="119"/>
        <v>0</v>
      </c>
      <c r="K3784" s="70"/>
    </row>
    <row r="3785" spans="1:11" ht="24" customHeight="1">
      <c r="A3785" s="33" t="s">
        <v>1608</v>
      </c>
      <c r="B3785" s="33" t="s">
        <v>41</v>
      </c>
      <c r="C3785" s="33">
        <v>18</v>
      </c>
      <c r="D3785" s="33" t="s">
        <v>1548</v>
      </c>
      <c r="E3785" s="33">
        <v>3</v>
      </c>
      <c r="F3785" s="33"/>
      <c r="G3785" s="522"/>
      <c r="H3785" s="707"/>
      <c r="I3785" s="707">
        <f t="shared" si="118"/>
        <v>0</v>
      </c>
      <c r="J3785" s="707">
        <f t="shared" si="119"/>
        <v>0</v>
      </c>
      <c r="K3785" s="70"/>
    </row>
    <row r="3786" spans="1:11" ht="24" customHeight="1">
      <c r="A3786" s="33" t="s">
        <v>1607</v>
      </c>
      <c r="B3786" s="33" t="s">
        <v>41</v>
      </c>
      <c r="C3786" s="33">
        <v>59</v>
      </c>
      <c r="D3786" s="33" t="s">
        <v>1548</v>
      </c>
      <c r="E3786" s="33">
        <v>3</v>
      </c>
      <c r="F3786" s="33"/>
      <c r="G3786" s="522"/>
      <c r="H3786" s="707"/>
      <c r="I3786" s="707">
        <f t="shared" si="118"/>
        <v>0</v>
      </c>
      <c r="J3786" s="707">
        <f t="shared" si="119"/>
        <v>0</v>
      </c>
      <c r="K3786" s="70"/>
    </row>
    <row r="3787" spans="1:11" ht="24" customHeight="1">
      <c r="A3787" s="33" t="s">
        <v>924</v>
      </c>
      <c r="B3787" s="33" t="s">
        <v>27</v>
      </c>
      <c r="C3787" s="33">
        <v>1495</v>
      </c>
      <c r="D3787" s="33" t="s">
        <v>910</v>
      </c>
      <c r="E3787" s="33">
        <v>1</v>
      </c>
      <c r="F3787" s="33"/>
      <c r="G3787" s="522"/>
      <c r="H3787" s="711">
        <v>1</v>
      </c>
      <c r="I3787" s="711">
        <f t="shared" si="118"/>
        <v>1.1499999999999999</v>
      </c>
      <c r="J3787" s="711">
        <f t="shared" si="119"/>
        <v>1.3</v>
      </c>
      <c r="K3787" s="70"/>
    </row>
    <row r="3788" spans="1:11" ht="24" customHeight="1">
      <c r="A3788" s="33" t="s">
        <v>924</v>
      </c>
      <c r="B3788" s="33" t="s">
        <v>41</v>
      </c>
      <c r="C3788" s="33">
        <v>500</v>
      </c>
      <c r="D3788" s="33" t="s">
        <v>2026</v>
      </c>
      <c r="E3788" s="33">
        <v>3</v>
      </c>
      <c r="F3788" s="33"/>
      <c r="G3788" s="522"/>
      <c r="H3788" s="707">
        <v>1</v>
      </c>
      <c r="I3788" s="707">
        <f t="shared" si="118"/>
        <v>1.1499999999999999</v>
      </c>
      <c r="J3788" s="707">
        <f t="shared" si="119"/>
        <v>1.3</v>
      </c>
      <c r="K3788" s="70"/>
    </row>
    <row r="3789" spans="1:11" ht="24" customHeight="1">
      <c r="A3789" s="2" t="s">
        <v>40</v>
      </c>
      <c r="B3789" s="2" t="s">
        <v>41</v>
      </c>
      <c r="C3789" s="2">
        <v>100</v>
      </c>
      <c r="D3789" s="2" t="s">
        <v>11</v>
      </c>
      <c r="E3789" s="33">
        <v>1</v>
      </c>
      <c r="F3789" s="33"/>
      <c r="G3789" s="522"/>
      <c r="H3789" s="707">
        <v>1</v>
      </c>
      <c r="I3789" s="707">
        <f t="shared" si="118"/>
        <v>1.1499999999999999</v>
      </c>
      <c r="J3789" s="707">
        <f t="shared" si="119"/>
        <v>1.3</v>
      </c>
      <c r="K3789" s="70"/>
    </row>
    <row r="3790" spans="1:11" ht="24" customHeight="1">
      <c r="A3790" s="33" t="s">
        <v>1176</v>
      </c>
      <c r="B3790" s="33" t="s">
        <v>41</v>
      </c>
      <c r="C3790" s="33">
        <v>595</v>
      </c>
      <c r="D3790" s="33" t="s">
        <v>1141</v>
      </c>
      <c r="E3790" s="33">
        <v>2</v>
      </c>
      <c r="F3790" s="33"/>
      <c r="G3790" s="522"/>
      <c r="H3790" s="707"/>
      <c r="I3790" s="707">
        <f t="shared" si="118"/>
        <v>0</v>
      </c>
      <c r="J3790" s="707">
        <f t="shared" si="119"/>
        <v>0</v>
      </c>
      <c r="K3790" s="70"/>
    </row>
    <row r="3791" spans="1:11" ht="24" customHeight="1">
      <c r="A3791" s="3" t="s">
        <v>2935</v>
      </c>
      <c r="B3791" s="725" t="s">
        <v>14</v>
      </c>
      <c r="C3791" s="3">
        <v>30</v>
      </c>
      <c r="D3791" s="15" t="s">
        <v>2918</v>
      </c>
      <c r="E3791" s="15">
        <v>1</v>
      </c>
      <c r="F3791" s="15"/>
      <c r="G3791" s="684"/>
      <c r="H3791" s="707"/>
      <c r="I3791" s="707">
        <f t="shared" si="118"/>
        <v>0</v>
      </c>
      <c r="J3791" s="707">
        <f t="shared" si="119"/>
        <v>0</v>
      </c>
      <c r="K3791" s="70" t="s">
        <v>51</v>
      </c>
    </row>
    <row r="3792" spans="1:11" ht="24" customHeight="1">
      <c r="A3792" s="33" t="s">
        <v>1061</v>
      </c>
      <c r="B3792" s="33" t="s">
        <v>10</v>
      </c>
      <c r="C3792" s="33">
        <v>48</v>
      </c>
      <c r="D3792" s="33" t="s">
        <v>992</v>
      </c>
      <c r="E3792" s="33">
        <v>4</v>
      </c>
      <c r="F3792" s="33"/>
      <c r="G3792" s="522"/>
      <c r="H3792" s="707"/>
      <c r="I3792" s="707">
        <f t="shared" si="118"/>
        <v>0</v>
      </c>
      <c r="J3792" s="707">
        <f t="shared" si="119"/>
        <v>0</v>
      </c>
      <c r="K3792" s="70" t="s">
        <v>1062</v>
      </c>
    </row>
    <row r="3793" spans="1:11" ht="24" customHeight="1">
      <c r="A3793" s="74" t="s">
        <v>1461</v>
      </c>
      <c r="B3793" s="74" t="s">
        <v>10</v>
      </c>
      <c r="C3793" s="74">
        <v>51</v>
      </c>
      <c r="D3793" s="33" t="s">
        <v>1372</v>
      </c>
      <c r="E3793" s="33">
        <v>5</v>
      </c>
      <c r="F3793" s="33"/>
      <c r="G3793" s="522"/>
      <c r="H3793" s="707"/>
      <c r="I3793" s="707">
        <f t="shared" si="118"/>
        <v>0</v>
      </c>
      <c r="J3793" s="707">
        <f t="shared" si="119"/>
        <v>0</v>
      </c>
      <c r="K3793" s="70" t="s">
        <v>51</v>
      </c>
    </row>
    <row r="3794" spans="1:11" ht="24" customHeight="1">
      <c r="A3794" s="2" t="s">
        <v>3673</v>
      </c>
      <c r="B3794" s="2" t="s">
        <v>81</v>
      </c>
      <c r="C3794" s="2">
        <v>23</v>
      </c>
      <c r="D3794" s="2" t="s">
        <v>3671</v>
      </c>
      <c r="E3794" s="33">
        <v>2</v>
      </c>
      <c r="F3794" s="33"/>
      <c r="G3794" s="522"/>
      <c r="H3794" s="707"/>
      <c r="I3794" s="707">
        <f t="shared" si="118"/>
        <v>0</v>
      </c>
      <c r="J3794" s="707">
        <f t="shared" si="119"/>
        <v>0</v>
      </c>
      <c r="K3794" s="70"/>
    </row>
    <row r="3795" spans="1:11" ht="24" customHeight="1">
      <c r="A3795" s="33" t="s">
        <v>3108</v>
      </c>
      <c r="B3795" s="33" t="s">
        <v>19</v>
      </c>
      <c r="C3795" s="33">
        <v>687</v>
      </c>
      <c r="D3795" s="33" t="s">
        <v>3053</v>
      </c>
      <c r="E3795" s="33">
        <v>3</v>
      </c>
      <c r="F3795" s="33"/>
      <c r="G3795" s="522"/>
      <c r="H3795" s="707">
        <v>0.5</v>
      </c>
      <c r="I3795" s="707">
        <f t="shared" si="118"/>
        <v>0.57499999999999996</v>
      </c>
      <c r="J3795" s="707">
        <f t="shared" si="119"/>
        <v>0.65</v>
      </c>
      <c r="K3795" s="70"/>
    </row>
    <row r="3796" spans="1:11" ht="14.4">
      <c r="A3796" s="33" t="s">
        <v>2739</v>
      </c>
      <c r="B3796" s="33" t="s">
        <v>2740</v>
      </c>
      <c r="C3796" s="33">
        <v>35</v>
      </c>
      <c r="D3796" s="33" t="s">
        <v>2716</v>
      </c>
      <c r="E3796" s="354">
        <v>3</v>
      </c>
      <c r="F3796" s="354"/>
      <c r="G3796" s="688"/>
      <c r="H3796" s="708"/>
      <c r="I3796" s="707">
        <f t="shared" si="118"/>
        <v>0</v>
      </c>
      <c r="J3796" s="708">
        <f t="shared" si="119"/>
        <v>0</v>
      </c>
      <c r="K3796" s="70" t="s">
        <v>2727</v>
      </c>
    </row>
    <row r="3797" spans="1:11" ht="15.6">
      <c r="A3797" s="74" t="s">
        <v>2475</v>
      </c>
      <c r="B3797" s="74" t="s">
        <v>41</v>
      </c>
      <c r="C3797" s="74">
        <v>14</v>
      </c>
      <c r="D3797" s="33" t="s">
        <v>2363</v>
      </c>
      <c r="E3797" s="33">
        <v>5</v>
      </c>
      <c r="F3797" s="33"/>
      <c r="G3797" s="522"/>
      <c r="H3797" s="707">
        <v>7</v>
      </c>
      <c r="I3797" s="707">
        <f t="shared" si="118"/>
        <v>8.0499999999999989</v>
      </c>
      <c r="J3797" s="707">
        <f t="shared" si="119"/>
        <v>9.1</v>
      </c>
      <c r="K3797" s="70"/>
    </row>
    <row r="3798" spans="1:11" ht="14.4">
      <c r="A3798" s="11" t="s">
        <v>2475</v>
      </c>
      <c r="B3798" s="11" t="s">
        <v>41</v>
      </c>
      <c r="C3798" s="11">
        <v>10</v>
      </c>
      <c r="D3798" s="131" t="s">
        <v>2802</v>
      </c>
      <c r="E3798" s="15">
        <v>3</v>
      </c>
      <c r="F3798" s="15"/>
      <c r="G3798" s="684"/>
      <c r="H3798" s="707">
        <v>7</v>
      </c>
      <c r="I3798" s="707">
        <f t="shared" si="118"/>
        <v>8.0499999999999989</v>
      </c>
      <c r="J3798" s="707">
        <f t="shared" si="119"/>
        <v>9.1</v>
      </c>
      <c r="K3798" s="70"/>
    </row>
    <row r="3799" spans="1:11" ht="14.4">
      <c r="A3799" s="3" t="s">
        <v>2475</v>
      </c>
      <c r="B3799" s="3" t="s">
        <v>41</v>
      </c>
      <c r="C3799" s="3">
        <v>6</v>
      </c>
      <c r="D3799" s="15" t="s">
        <v>2918</v>
      </c>
      <c r="E3799" s="15">
        <v>1</v>
      </c>
      <c r="F3799" s="15"/>
      <c r="G3799" s="684"/>
      <c r="H3799" s="707">
        <v>7</v>
      </c>
      <c r="I3799" s="707">
        <f t="shared" si="118"/>
        <v>8.0499999999999989</v>
      </c>
      <c r="J3799" s="707">
        <f t="shared" si="119"/>
        <v>9.1</v>
      </c>
      <c r="K3799" s="70"/>
    </row>
    <row r="3800" spans="1:11" ht="14.4">
      <c r="A3800" s="33" t="s">
        <v>906</v>
      </c>
      <c r="B3800" s="33" t="s">
        <v>27</v>
      </c>
      <c r="C3800" s="33">
        <v>10</v>
      </c>
      <c r="D3800" s="2" t="s">
        <v>888</v>
      </c>
      <c r="E3800" s="33">
        <v>5</v>
      </c>
      <c r="F3800" s="33"/>
      <c r="G3800" s="522"/>
      <c r="H3800" s="707"/>
      <c r="I3800" s="707">
        <f t="shared" si="118"/>
        <v>0</v>
      </c>
      <c r="J3800" s="707">
        <f t="shared" si="119"/>
        <v>0</v>
      </c>
      <c r="K3800" s="70"/>
    </row>
    <row r="3801" spans="1:11" ht="14.4">
      <c r="A3801" s="33" t="s">
        <v>1617</v>
      </c>
      <c r="B3801" s="33" t="s">
        <v>27</v>
      </c>
      <c r="C3801" s="33">
        <v>4</v>
      </c>
      <c r="D3801" s="33" t="s">
        <v>1548</v>
      </c>
      <c r="E3801" s="33">
        <v>3</v>
      </c>
      <c r="F3801" s="33"/>
      <c r="G3801" s="522"/>
      <c r="H3801" s="707"/>
      <c r="I3801" s="707">
        <f t="shared" si="118"/>
        <v>0</v>
      </c>
      <c r="J3801" s="707">
        <f t="shared" si="119"/>
        <v>0</v>
      </c>
      <c r="K3801" s="70"/>
    </row>
    <row r="3802" spans="1:11" ht="14.4">
      <c r="A3802" s="33" t="s">
        <v>968</v>
      </c>
      <c r="B3802" s="33" t="s">
        <v>27</v>
      </c>
      <c r="C3802" s="33">
        <v>10</v>
      </c>
      <c r="D3802" s="33" t="s">
        <v>910</v>
      </c>
      <c r="E3802" s="33">
        <v>2</v>
      </c>
      <c r="F3802" s="33"/>
      <c r="G3802" s="522"/>
      <c r="H3802" s="707">
        <v>5</v>
      </c>
      <c r="I3802" s="707">
        <f t="shared" si="118"/>
        <v>5.75</v>
      </c>
      <c r="J3802" s="707">
        <f t="shared" si="119"/>
        <v>6.5</v>
      </c>
      <c r="K3802" s="70"/>
    </row>
    <row r="3803" spans="1:11" ht="14.4">
      <c r="A3803" s="17" t="s">
        <v>3514</v>
      </c>
      <c r="B3803" s="17" t="s">
        <v>41</v>
      </c>
      <c r="C3803" s="17">
        <v>12</v>
      </c>
      <c r="D3803" s="131" t="s">
        <v>3451</v>
      </c>
      <c r="E3803" s="15">
        <v>3</v>
      </c>
      <c r="F3803" s="15"/>
      <c r="G3803" s="684"/>
      <c r="H3803" s="707"/>
      <c r="I3803" s="707">
        <f t="shared" si="118"/>
        <v>0</v>
      </c>
      <c r="J3803" s="707">
        <f t="shared" si="119"/>
        <v>0</v>
      </c>
      <c r="K3803" s="70"/>
    </row>
    <row r="3804" spans="1:11" ht="14.4">
      <c r="A3804" s="33" t="s">
        <v>1396</v>
      </c>
      <c r="B3804" s="33" t="s">
        <v>27</v>
      </c>
      <c r="C3804" s="33">
        <v>11</v>
      </c>
      <c r="D3804" s="33" t="s">
        <v>1372</v>
      </c>
      <c r="E3804" s="33">
        <v>4</v>
      </c>
      <c r="F3804" s="33"/>
      <c r="G3804" s="522"/>
      <c r="H3804" s="707"/>
      <c r="I3804" s="707">
        <f t="shared" si="118"/>
        <v>0</v>
      </c>
      <c r="J3804" s="707">
        <f t="shared" si="119"/>
        <v>0</v>
      </c>
      <c r="K3804" s="70"/>
    </row>
    <row r="3805" spans="1:11" ht="24" customHeight="1">
      <c r="A3805" s="33" t="s">
        <v>2546</v>
      </c>
      <c r="B3805" s="33" t="s">
        <v>27</v>
      </c>
      <c r="C3805" s="33">
        <v>5</v>
      </c>
      <c r="D3805" s="33" t="s">
        <v>2540</v>
      </c>
      <c r="E3805" s="33">
        <v>1</v>
      </c>
      <c r="F3805" s="33"/>
      <c r="G3805" s="522"/>
      <c r="H3805" s="707">
        <v>1</v>
      </c>
      <c r="I3805" s="707">
        <f t="shared" si="118"/>
        <v>1.1499999999999999</v>
      </c>
      <c r="J3805" s="707">
        <f t="shared" si="119"/>
        <v>1.3</v>
      </c>
      <c r="K3805" s="70"/>
    </row>
    <row r="3806" spans="1:11" ht="24" customHeight="1">
      <c r="A3806" s="385" t="s">
        <v>878</v>
      </c>
      <c r="B3806" s="33" t="s">
        <v>27</v>
      </c>
      <c r="C3806" s="33">
        <v>15</v>
      </c>
      <c r="D3806" s="2" t="s">
        <v>593</v>
      </c>
      <c r="E3806" s="33">
        <v>3</v>
      </c>
      <c r="F3806" s="33"/>
      <c r="G3806" s="522"/>
      <c r="H3806" s="707">
        <v>4</v>
      </c>
      <c r="I3806" s="707">
        <f t="shared" si="118"/>
        <v>4.5999999999999996</v>
      </c>
      <c r="J3806" s="707">
        <f t="shared" si="119"/>
        <v>5.2</v>
      </c>
      <c r="K3806" s="70"/>
    </row>
    <row r="3807" spans="1:11" ht="24" customHeight="1">
      <c r="A3807" s="2" t="s">
        <v>26</v>
      </c>
      <c r="B3807" s="2" t="s">
        <v>27</v>
      </c>
      <c r="C3807" s="2">
        <v>14</v>
      </c>
      <c r="D3807" s="2" t="s">
        <v>11</v>
      </c>
      <c r="E3807" s="33">
        <v>1</v>
      </c>
      <c r="F3807" s="33"/>
      <c r="G3807" s="522"/>
      <c r="H3807" s="707"/>
      <c r="I3807" s="707">
        <f t="shared" si="118"/>
        <v>0</v>
      </c>
      <c r="J3807" s="707">
        <f t="shared" si="119"/>
        <v>0</v>
      </c>
      <c r="K3807" s="70"/>
    </row>
    <row r="3808" spans="1:11" ht="24" customHeight="1">
      <c r="A3808" s="2" t="s">
        <v>316</v>
      </c>
      <c r="B3808" s="2" t="s">
        <v>108</v>
      </c>
      <c r="C3808" s="2">
        <v>8</v>
      </c>
      <c r="D3808" s="2" t="s">
        <v>274</v>
      </c>
      <c r="E3808" s="33">
        <v>1</v>
      </c>
      <c r="F3808" s="33"/>
      <c r="G3808" s="522"/>
      <c r="H3808" s="707"/>
      <c r="I3808" s="707">
        <f t="shared" si="118"/>
        <v>0</v>
      </c>
      <c r="J3808" s="707">
        <f t="shared" si="119"/>
        <v>0</v>
      </c>
      <c r="K3808" s="70"/>
    </row>
    <row r="3809" spans="1:11" ht="24" customHeight="1">
      <c r="A3809" s="59" t="s">
        <v>316</v>
      </c>
      <c r="B3809" s="59" t="s">
        <v>27</v>
      </c>
      <c r="C3809" s="59">
        <v>7</v>
      </c>
      <c r="D3809" s="33" t="s">
        <v>2624</v>
      </c>
      <c r="E3809" s="354">
        <v>5</v>
      </c>
      <c r="F3809" s="354"/>
      <c r="G3809" s="688"/>
      <c r="H3809" s="707"/>
      <c r="I3809" s="707">
        <f t="shared" si="118"/>
        <v>0</v>
      </c>
      <c r="J3809" s="707">
        <f t="shared" si="119"/>
        <v>0</v>
      </c>
      <c r="K3809" s="70"/>
    </row>
    <row r="3810" spans="1:11" ht="24" customHeight="1">
      <c r="A3810" s="33" t="s">
        <v>2043</v>
      </c>
      <c r="B3810" s="33" t="s">
        <v>27</v>
      </c>
      <c r="C3810" s="33">
        <v>9</v>
      </c>
      <c r="D3810" s="33" t="s">
        <v>2026</v>
      </c>
      <c r="E3810" s="33">
        <v>3</v>
      </c>
      <c r="F3810" s="33"/>
      <c r="G3810" s="522"/>
      <c r="H3810" s="707"/>
      <c r="I3810" s="707">
        <f t="shared" si="118"/>
        <v>0</v>
      </c>
      <c r="J3810" s="707">
        <f t="shared" si="119"/>
        <v>0</v>
      </c>
      <c r="K3810" s="70"/>
    </row>
    <row r="3811" spans="1:11" ht="24" customHeight="1">
      <c r="A3811" s="33" t="s">
        <v>3193</v>
      </c>
      <c r="B3811" s="71" t="s">
        <v>27</v>
      </c>
      <c r="C3811" s="71">
        <v>3</v>
      </c>
      <c r="D3811" s="33" t="s">
        <v>3053</v>
      </c>
      <c r="E3811" s="71">
        <v>4</v>
      </c>
      <c r="F3811" s="71"/>
      <c r="G3811" s="686"/>
      <c r="H3811" s="707"/>
      <c r="I3811" s="707">
        <f t="shared" si="118"/>
        <v>0</v>
      </c>
      <c r="J3811" s="707">
        <f t="shared" si="119"/>
        <v>0</v>
      </c>
      <c r="K3811" s="70"/>
    </row>
    <row r="3812" spans="1:11" ht="24" customHeight="1">
      <c r="A3812" s="33" t="s">
        <v>2320</v>
      </c>
      <c r="B3812" s="33" t="s">
        <v>1988</v>
      </c>
      <c r="C3812" s="33">
        <v>249</v>
      </c>
      <c r="D3812" s="33" t="s">
        <v>2276</v>
      </c>
      <c r="E3812" s="33">
        <v>1</v>
      </c>
      <c r="F3812" s="33"/>
      <c r="G3812" s="522"/>
      <c r="H3812" s="707"/>
      <c r="I3812" s="707">
        <f t="shared" si="118"/>
        <v>0</v>
      </c>
      <c r="J3812" s="707">
        <f t="shared" si="119"/>
        <v>0</v>
      </c>
      <c r="K3812" s="70"/>
    </row>
    <row r="3813" spans="1:11" ht="24" customHeight="1">
      <c r="A3813" s="33" t="s">
        <v>2965</v>
      </c>
      <c r="B3813" s="33" t="s">
        <v>19</v>
      </c>
      <c r="C3813" s="33">
        <v>161</v>
      </c>
      <c r="D3813" s="71" t="s">
        <v>2947</v>
      </c>
      <c r="E3813" s="33">
        <v>4</v>
      </c>
      <c r="F3813" s="33"/>
      <c r="G3813" s="522"/>
      <c r="H3813" s="707"/>
      <c r="I3813" s="707">
        <f t="shared" si="118"/>
        <v>0</v>
      </c>
      <c r="J3813" s="707">
        <f t="shared" si="119"/>
        <v>0</v>
      </c>
      <c r="K3813" s="70"/>
    </row>
    <row r="3814" spans="1:11" ht="24" customHeight="1">
      <c r="A3814" s="33" t="s">
        <v>1986</v>
      </c>
      <c r="B3814" s="33" t="s">
        <v>19</v>
      </c>
      <c r="C3814" s="33">
        <v>905</v>
      </c>
      <c r="D3814" s="33" t="s">
        <v>1938</v>
      </c>
      <c r="E3814" s="33">
        <v>2</v>
      </c>
      <c r="F3814" s="33"/>
      <c r="G3814" s="522"/>
      <c r="H3814" s="707">
        <v>1</v>
      </c>
      <c r="I3814" s="707">
        <f t="shared" si="118"/>
        <v>1.1499999999999999</v>
      </c>
      <c r="J3814" s="707">
        <f t="shared" si="119"/>
        <v>1.3</v>
      </c>
      <c r="K3814" s="70"/>
    </row>
    <row r="3815" spans="1:11" ht="24" customHeight="1">
      <c r="A3815" s="33" t="s">
        <v>1107</v>
      </c>
      <c r="B3815" s="33" t="s">
        <v>19</v>
      </c>
      <c r="C3815" s="33">
        <v>16</v>
      </c>
      <c r="D3815" s="33" t="s">
        <v>992</v>
      </c>
      <c r="E3815" s="33">
        <v>5</v>
      </c>
      <c r="F3815" s="33"/>
      <c r="G3815" s="522"/>
      <c r="H3815" s="707"/>
      <c r="I3815" s="707">
        <f t="shared" si="118"/>
        <v>0</v>
      </c>
      <c r="J3815" s="707">
        <f t="shared" si="119"/>
        <v>0</v>
      </c>
      <c r="K3815" s="70"/>
    </row>
    <row r="3816" spans="1:11" ht="24" customHeight="1">
      <c r="A3816" s="33" t="s">
        <v>1058</v>
      </c>
      <c r="B3816" s="71" t="s">
        <v>19</v>
      </c>
      <c r="C3816" s="71">
        <v>95</v>
      </c>
      <c r="D3816" s="33" t="s">
        <v>992</v>
      </c>
      <c r="E3816" s="71">
        <v>4</v>
      </c>
      <c r="F3816" s="71"/>
      <c r="G3816" s="686"/>
      <c r="H3816" s="707">
        <v>5</v>
      </c>
      <c r="I3816" s="707">
        <f t="shared" si="118"/>
        <v>5.75</v>
      </c>
      <c r="J3816" s="707">
        <f t="shared" si="119"/>
        <v>6.5</v>
      </c>
      <c r="K3816" s="70"/>
    </row>
    <row r="3817" spans="1:11" ht="24" customHeight="1">
      <c r="A3817" s="33" t="s">
        <v>2127</v>
      </c>
      <c r="B3817" s="33" t="s">
        <v>19</v>
      </c>
      <c r="C3817" s="33">
        <v>600</v>
      </c>
      <c r="D3817" s="33" t="s">
        <v>2111</v>
      </c>
      <c r="E3817" s="33">
        <v>1</v>
      </c>
      <c r="F3817" s="33"/>
      <c r="G3817" s="522"/>
      <c r="H3817" s="707">
        <v>10</v>
      </c>
      <c r="I3817" s="707">
        <f t="shared" si="118"/>
        <v>11.5</v>
      </c>
      <c r="J3817" s="707">
        <f t="shared" si="119"/>
        <v>13</v>
      </c>
      <c r="K3817" s="70"/>
    </row>
    <row r="3818" spans="1:11" ht="24" customHeight="1">
      <c r="A3818" s="33" t="s">
        <v>2071</v>
      </c>
      <c r="B3818" s="33" t="s">
        <v>27</v>
      </c>
      <c r="C3818" s="33">
        <v>1</v>
      </c>
      <c r="D3818" s="33" t="s">
        <v>2026</v>
      </c>
      <c r="E3818" s="33">
        <v>4</v>
      </c>
      <c r="F3818" s="33"/>
      <c r="G3818" s="522"/>
      <c r="H3818" s="707"/>
      <c r="I3818" s="707">
        <f t="shared" si="118"/>
        <v>0</v>
      </c>
      <c r="J3818" s="707">
        <f t="shared" si="119"/>
        <v>0</v>
      </c>
      <c r="K3818" s="70"/>
    </row>
    <row r="3819" spans="1:11" ht="24" customHeight="1">
      <c r="A3819" s="33" t="s">
        <v>2321</v>
      </c>
      <c r="B3819" s="33" t="s">
        <v>41</v>
      </c>
      <c r="C3819" s="33">
        <v>32</v>
      </c>
      <c r="D3819" s="33" t="s">
        <v>2276</v>
      </c>
      <c r="E3819" s="33">
        <v>1</v>
      </c>
      <c r="F3819" s="33"/>
      <c r="G3819" s="522"/>
      <c r="H3819" s="707"/>
      <c r="I3819" s="707">
        <f t="shared" si="118"/>
        <v>0</v>
      </c>
      <c r="J3819" s="707">
        <f t="shared" si="119"/>
        <v>0</v>
      </c>
      <c r="K3819" s="70"/>
    </row>
    <row r="3820" spans="1:11" ht="24" customHeight="1">
      <c r="A3820" s="33" t="s">
        <v>3313</v>
      </c>
      <c r="B3820" s="33" t="s">
        <v>41</v>
      </c>
      <c r="C3820" s="33">
        <v>26</v>
      </c>
      <c r="D3820" s="33" t="s">
        <v>3279</v>
      </c>
      <c r="E3820" s="33">
        <v>4</v>
      </c>
      <c r="F3820" s="33"/>
      <c r="G3820" s="522"/>
      <c r="H3820" s="707">
        <v>1</v>
      </c>
      <c r="I3820" s="707">
        <f t="shared" si="118"/>
        <v>1.1499999999999999</v>
      </c>
      <c r="J3820" s="707">
        <f t="shared" si="119"/>
        <v>1.3</v>
      </c>
      <c r="K3820" s="70"/>
    </row>
    <row r="3821" spans="1:11" ht="24" customHeight="1">
      <c r="A3821" s="33" t="s">
        <v>945</v>
      </c>
      <c r="B3821" s="33" t="s">
        <v>41</v>
      </c>
      <c r="C3821" s="33">
        <v>26</v>
      </c>
      <c r="D3821" s="33" t="s">
        <v>910</v>
      </c>
      <c r="E3821" s="33">
        <v>1</v>
      </c>
      <c r="F3821" s="33"/>
      <c r="G3821" s="522"/>
      <c r="H3821" s="707"/>
      <c r="I3821" s="707">
        <f t="shared" si="118"/>
        <v>0</v>
      </c>
      <c r="J3821" s="707">
        <f t="shared" si="119"/>
        <v>0</v>
      </c>
      <c r="K3821" s="70"/>
    </row>
    <row r="3822" spans="1:11" ht="24" customHeight="1">
      <c r="A3822" s="33" t="s">
        <v>945</v>
      </c>
      <c r="B3822" s="33" t="s">
        <v>27</v>
      </c>
      <c r="C3822" s="33">
        <v>32</v>
      </c>
      <c r="D3822" s="33" t="s">
        <v>1201</v>
      </c>
      <c r="E3822" s="33">
        <v>3</v>
      </c>
      <c r="F3822" s="33"/>
      <c r="G3822" s="522"/>
      <c r="H3822" s="707"/>
      <c r="I3822" s="707">
        <f t="shared" si="118"/>
        <v>0</v>
      </c>
      <c r="J3822" s="707">
        <f t="shared" si="119"/>
        <v>0</v>
      </c>
      <c r="K3822" s="70"/>
    </row>
    <row r="3823" spans="1:11" ht="24" customHeight="1">
      <c r="A3823" s="33" t="s">
        <v>945</v>
      </c>
      <c r="B3823" s="33" t="s">
        <v>41</v>
      </c>
      <c r="C3823" s="33">
        <v>2</v>
      </c>
      <c r="D3823" s="33" t="s">
        <v>2276</v>
      </c>
      <c r="E3823" s="33">
        <v>1</v>
      </c>
      <c r="F3823" s="33"/>
      <c r="G3823" s="522"/>
      <c r="H3823" s="707"/>
      <c r="I3823" s="707">
        <f t="shared" si="118"/>
        <v>0</v>
      </c>
      <c r="J3823" s="707">
        <f t="shared" si="119"/>
        <v>0</v>
      </c>
      <c r="K3823" s="70"/>
    </row>
    <row r="3824" spans="1:11" ht="24" customHeight="1">
      <c r="A3824" s="17" t="s">
        <v>1705</v>
      </c>
      <c r="B3824" s="17" t="s">
        <v>41</v>
      </c>
      <c r="C3824" s="17">
        <v>132</v>
      </c>
      <c r="D3824" s="131" t="s">
        <v>1681</v>
      </c>
      <c r="E3824" s="15">
        <v>1</v>
      </c>
      <c r="F3824" s="15"/>
      <c r="G3824" s="684"/>
      <c r="H3824" s="707"/>
      <c r="I3824" s="707">
        <f t="shared" si="118"/>
        <v>0</v>
      </c>
      <c r="J3824" s="707">
        <f t="shared" si="119"/>
        <v>0</v>
      </c>
      <c r="K3824" s="70"/>
    </row>
    <row r="3825" spans="1:11" ht="24" customHeight="1">
      <c r="A3825" s="33" t="s">
        <v>973</v>
      </c>
      <c r="B3825" s="33" t="s">
        <v>41</v>
      </c>
      <c r="C3825" s="33">
        <v>97</v>
      </c>
      <c r="D3825" s="33" t="s">
        <v>910</v>
      </c>
      <c r="E3825" s="33">
        <v>2</v>
      </c>
      <c r="F3825" s="33"/>
      <c r="G3825" s="522"/>
      <c r="H3825" s="707"/>
      <c r="I3825" s="707">
        <f t="shared" si="118"/>
        <v>0</v>
      </c>
      <c r="J3825" s="707">
        <f t="shared" si="119"/>
        <v>0</v>
      </c>
      <c r="K3825" s="70"/>
    </row>
    <row r="3826" spans="1:11" ht="24" customHeight="1">
      <c r="A3826" s="33" t="s">
        <v>973</v>
      </c>
      <c r="B3826" s="33" t="s">
        <v>27</v>
      </c>
      <c r="C3826" s="33">
        <v>8</v>
      </c>
      <c r="D3826" s="33" t="s">
        <v>1201</v>
      </c>
      <c r="E3826" s="33">
        <v>3</v>
      </c>
      <c r="F3826" s="33"/>
      <c r="G3826" s="522"/>
      <c r="H3826" s="707"/>
      <c r="I3826" s="707">
        <f t="shared" si="118"/>
        <v>0</v>
      </c>
      <c r="J3826" s="707">
        <f t="shared" si="119"/>
        <v>0</v>
      </c>
      <c r="K3826" s="70"/>
    </row>
    <row r="3827" spans="1:11" ht="24" customHeight="1">
      <c r="A3827" s="33" t="s">
        <v>973</v>
      </c>
      <c r="B3827" s="33" t="s">
        <v>27</v>
      </c>
      <c r="C3827" s="33">
        <v>64</v>
      </c>
      <c r="D3827" s="33" t="s">
        <v>1325</v>
      </c>
      <c r="E3827" s="33">
        <v>1</v>
      </c>
      <c r="F3827" s="33"/>
      <c r="G3827" s="522"/>
      <c r="H3827" s="707"/>
      <c r="I3827" s="707">
        <f t="shared" si="118"/>
        <v>0</v>
      </c>
      <c r="J3827" s="707">
        <f t="shared" si="119"/>
        <v>0</v>
      </c>
      <c r="K3827" s="70"/>
    </row>
    <row r="3828" spans="1:11" ht="24" customHeight="1">
      <c r="A3828" s="33" t="s">
        <v>973</v>
      </c>
      <c r="B3828" s="33" t="s">
        <v>41</v>
      </c>
      <c r="C3828" s="33">
        <v>100</v>
      </c>
      <c r="D3828" s="33" t="s">
        <v>1325</v>
      </c>
      <c r="E3828" s="33">
        <v>1</v>
      </c>
      <c r="F3828" s="33"/>
      <c r="G3828" s="522"/>
      <c r="H3828" s="707"/>
      <c r="I3828" s="707">
        <f t="shared" si="118"/>
        <v>0</v>
      </c>
      <c r="J3828" s="707">
        <f t="shared" si="119"/>
        <v>0</v>
      </c>
      <c r="K3828" s="70"/>
    </row>
    <row r="3829" spans="1:11" ht="24" customHeight="1">
      <c r="A3829" s="33" t="s">
        <v>973</v>
      </c>
      <c r="B3829" s="33" t="s">
        <v>27</v>
      </c>
      <c r="C3829" s="33">
        <v>8</v>
      </c>
      <c r="D3829" s="33" t="s">
        <v>2276</v>
      </c>
      <c r="E3829" s="33">
        <v>1</v>
      </c>
      <c r="F3829" s="33"/>
      <c r="G3829" s="522"/>
      <c r="H3829" s="707"/>
      <c r="I3829" s="707">
        <f t="shared" si="118"/>
        <v>0</v>
      </c>
      <c r="J3829" s="707">
        <f t="shared" si="119"/>
        <v>0</v>
      </c>
      <c r="K3829" s="70"/>
    </row>
    <row r="3830" spans="1:11" ht="24" customHeight="1">
      <c r="A3830" s="33" t="s">
        <v>930</v>
      </c>
      <c r="B3830" s="33" t="s">
        <v>41</v>
      </c>
      <c r="C3830" s="33">
        <v>100</v>
      </c>
      <c r="D3830" s="33" t="s">
        <v>910</v>
      </c>
      <c r="E3830" s="33">
        <v>1</v>
      </c>
      <c r="F3830" s="33"/>
      <c r="G3830" s="522"/>
      <c r="H3830" s="711"/>
      <c r="I3830" s="711">
        <f t="shared" si="118"/>
        <v>0</v>
      </c>
      <c r="J3830" s="711">
        <f t="shared" si="119"/>
        <v>0</v>
      </c>
      <c r="K3830" s="70"/>
    </row>
    <row r="3831" spans="1:11" ht="24" customHeight="1">
      <c r="A3831" s="33" t="s">
        <v>1391</v>
      </c>
      <c r="B3831" s="33" t="s">
        <v>27</v>
      </c>
      <c r="C3831" s="33">
        <v>8</v>
      </c>
      <c r="D3831" s="33" t="s">
        <v>1372</v>
      </c>
      <c r="E3831" s="33">
        <v>3</v>
      </c>
      <c r="F3831" s="33"/>
      <c r="G3831" s="522"/>
      <c r="H3831" s="707">
        <v>2</v>
      </c>
      <c r="I3831" s="707">
        <f t="shared" si="118"/>
        <v>2.2999999999999998</v>
      </c>
      <c r="J3831" s="707">
        <f t="shared" si="119"/>
        <v>2.6</v>
      </c>
      <c r="K3831" s="70"/>
    </row>
    <row r="3832" spans="1:11" ht="24" customHeight="1">
      <c r="A3832" s="33" t="s">
        <v>3118</v>
      </c>
      <c r="B3832" s="33" t="s">
        <v>27</v>
      </c>
      <c r="C3832" s="33">
        <v>1</v>
      </c>
      <c r="D3832" s="33" t="s">
        <v>3053</v>
      </c>
      <c r="E3832" s="33">
        <v>3</v>
      </c>
      <c r="F3832" s="33"/>
      <c r="G3832" s="522"/>
      <c r="H3832" s="707"/>
      <c r="I3832" s="707">
        <f t="shared" si="118"/>
        <v>0</v>
      </c>
      <c r="J3832" s="707">
        <f t="shared" si="119"/>
        <v>0</v>
      </c>
      <c r="K3832" s="70"/>
    </row>
    <row r="3833" spans="1:11" ht="24" customHeight="1">
      <c r="A3833" s="33" t="s">
        <v>2037</v>
      </c>
      <c r="B3833" s="33" t="s">
        <v>27</v>
      </c>
      <c r="C3833" s="33">
        <v>2</v>
      </c>
      <c r="D3833" s="33" t="s">
        <v>2026</v>
      </c>
      <c r="E3833" s="33">
        <v>3</v>
      </c>
      <c r="F3833" s="33"/>
      <c r="G3833" s="522"/>
      <c r="H3833" s="707"/>
      <c r="I3833" s="707">
        <f t="shared" si="118"/>
        <v>0</v>
      </c>
      <c r="J3833" s="707">
        <f t="shared" si="119"/>
        <v>0</v>
      </c>
      <c r="K3833" s="70"/>
    </row>
    <row r="3834" spans="1:11" ht="24" customHeight="1">
      <c r="A3834" s="33" t="s">
        <v>2364</v>
      </c>
      <c r="B3834" s="33" t="s">
        <v>27</v>
      </c>
      <c r="C3834" s="33">
        <v>2</v>
      </c>
      <c r="D3834" s="33" t="s">
        <v>2363</v>
      </c>
      <c r="E3834" s="33">
        <v>3</v>
      </c>
      <c r="F3834" s="33"/>
      <c r="G3834" s="522"/>
      <c r="H3834" s="707"/>
      <c r="I3834" s="707">
        <f t="shared" si="118"/>
        <v>0</v>
      </c>
      <c r="J3834" s="707">
        <f t="shared" si="119"/>
        <v>0</v>
      </c>
      <c r="K3834" s="70"/>
    </row>
    <row r="3835" spans="1:11" ht="24" customHeight="1">
      <c r="A3835" s="33" t="s">
        <v>1589</v>
      </c>
      <c r="B3835" s="33" t="s">
        <v>27</v>
      </c>
      <c r="C3835" s="33">
        <v>1</v>
      </c>
      <c r="D3835" s="33" t="s">
        <v>1548</v>
      </c>
      <c r="E3835" s="33">
        <v>3</v>
      </c>
      <c r="F3835" s="33"/>
      <c r="G3835" s="522"/>
      <c r="H3835" s="707"/>
      <c r="I3835" s="707">
        <f t="shared" si="118"/>
        <v>0</v>
      </c>
      <c r="J3835" s="707">
        <f t="shared" si="119"/>
        <v>0</v>
      </c>
      <c r="K3835" s="70"/>
    </row>
    <row r="3836" spans="1:11" ht="24" customHeight="1">
      <c r="A3836" s="33" t="s">
        <v>1593</v>
      </c>
      <c r="B3836" s="33" t="s">
        <v>27</v>
      </c>
      <c r="C3836" s="33">
        <v>2</v>
      </c>
      <c r="D3836" s="33" t="s">
        <v>1548</v>
      </c>
      <c r="E3836" s="33">
        <v>3</v>
      </c>
      <c r="F3836" s="33"/>
      <c r="G3836" s="522"/>
      <c r="H3836" s="707"/>
      <c r="I3836" s="707">
        <f t="shared" si="118"/>
        <v>0</v>
      </c>
      <c r="J3836" s="707">
        <f t="shared" si="119"/>
        <v>0</v>
      </c>
      <c r="K3836" s="70"/>
    </row>
    <row r="3837" spans="1:11" ht="24" customHeight="1">
      <c r="A3837" s="33" t="s">
        <v>1407</v>
      </c>
      <c r="B3837" s="33" t="s">
        <v>27</v>
      </c>
      <c r="C3837" s="33">
        <v>2</v>
      </c>
      <c r="D3837" s="33" t="s">
        <v>1372</v>
      </c>
      <c r="E3837" s="33">
        <v>4</v>
      </c>
      <c r="F3837" s="33"/>
      <c r="G3837" s="522"/>
      <c r="H3837" s="707">
        <v>15</v>
      </c>
      <c r="I3837" s="707">
        <f t="shared" si="118"/>
        <v>17.25</v>
      </c>
      <c r="J3837" s="707">
        <f t="shared" si="119"/>
        <v>19.5</v>
      </c>
      <c r="K3837" s="70"/>
    </row>
    <row r="3838" spans="1:11" ht="24" customHeight="1">
      <c r="A3838" s="33" t="s">
        <v>1407</v>
      </c>
      <c r="B3838" s="33" t="s">
        <v>27</v>
      </c>
      <c r="C3838" s="33">
        <v>4</v>
      </c>
      <c r="D3838" s="33" t="s">
        <v>2191</v>
      </c>
      <c r="E3838" s="33">
        <v>3</v>
      </c>
      <c r="F3838" s="33"/>
      <c r="G3838" s="522"/>
      <c r="H3838" s="707"/>
      <c r="I3838" s="707">
        <f t="shared" si="118"/>
        <v>0</v>
      </c>
      <c r="J3838" s="707">
        <f t="shared" si="119"/>
        <v>0</v>
      </c>
      <c r="K3838" s="70"/>
    </row>
    <row r="3839" spans="1:11" ht="24" customHeight="1">
      <c r="A3839" s="33" t="s">
        <v>1496</v>
      </c>
      <c r="B3839" s="33" t="s">
        <v>27</v>
      </c>
      <c r="C3839" s="33">
        <v>98</v>
      </c>
      <c r="D3839" s="33" t="s">
        <v>1494</v>
      </c>
      <c r="E3839" s="33">
        <v>1</v>
      </c>
      <c r="F3839" s="33"/>
      <c r="G3839" s="522"/>
      <c r="H3839" s="707"/>
      <c r="I3839" s="707">
        <f t="shared" si="118"/>
        <v>0</v>
      </c>
      <c r="J3839" s="707">
        <f t="shared" si="119"/>
        <v>0</v>
      </c>
      <c r="K3839" s="70"/>
    </row>
    <row r="3840" spans="1:11" ht="24" customHeight="1">
      <c r="A3840" s="33" t="s">
        <v>3408</v>
      </c>
      <c r="B3840" s="33" t="s">
        <v>108</v>
      </c>
      <c r="C3840" s="33">
        <v>1</v>
      </c>
      <c r="D3840" s="33" t="s">
        <v>3348</v>
      </c>
      <c r="E3840" s="33">
        <v>4</v>
      </c>
      <c r="F3840" s="33"/>
      <c r="G3840" s="522"/>
      <c r="H3840" s="707"/>
      <c r="I3840" s="707">
        <f t="shared" si="118"/>
        <v>0</v>
      </c>
      <c r="J3840" s="707">
        <f t="shared" si="119"/>
        <v>0</v>
      </c>
      <c r="K3840" s="70"/>
    </row>
    <row r="3841" spans="1:11" ht="24" customHeight="1">
      <c r="A3841" s="2" t="s">
        <v>107</v>
      </c>
      <c r="B3841" s="2" t="s">
        <v>108</v>
      </c>
      <c r="C3841" s="2">
        <v>187</v>
      </c>
      <c r="D3841" s="2" t="s">
        <v>11</v>
      </c>
      <c r="E3841" s="33">
        <v>2</v>
      </c>
      <c r="F3841" s="33"/>
      <c r="G3841" s="522"/>
      <c r="H3841" s="707"/>
      <c r="I3841" s="707">
        <f t="shared" si="118"/>
        <v>0</v>
      </c>
      <c r="J3841" s="707">
        <f t="shared" si="119"/>
        <v>0</v>
      </c>
      <c r="K3841" s="70"/>
    </row>
    <row r="3842" spans="1:11" ht="24" customHeight="1">
      <c r="A3842" s="33" t="s">
        <v>1530</v>
      </c>
      <c r="B3842" s="33" t="s">
        <v>27</v>
      </c>
      <c r="C3842" s="33">
        <v>14</v>
      </c>
      <c r="D3842" s="33" t="s">
        <v>1494</v>
      </c>
      <c r="E3842" s="33">
        <v>2</v>
      </c>
      <c r="F3842" s="33"/>
      <c r="G3842" s="522"/>
      <c r="H3842" s="707">
        <v>15</v>
      </c>
      <c r="I3842" s="707">
        <f t="shared" si="118"/>
        <v>17.25</v>
      </c>
      <c r="J3842" s="707">
        <f t="shared" si="119"/>
        <v>19.5</v>
      </c>
      <c r="K3842" s="70"/>
    </row>
    <row r="3843" spans="1:11" ht="24" customHeight="1">
      <c r="A3843" s="74" t="s">
        <v>2439</v>
      </c>
      <c r="B3843" s="74" t="s">
        <v>27</v>
      </c>
      <c r="C3843" s="74">
        <v>11</v>
      </c>
      <c r="D3843" s="33" t="s">
        <v>2363</v>
      </c>
      <c r="E3843" s="33">
        <v>5</v>
      </c>
      <c r="F3843" s="33"/>
      <c r="G3843" s="522"/>
      <c r="H3843" s="707"/>
      <c r="I3843" s="707">
        <f t="shared" ref="I3843:I3906" si="120">H3843 * 1.15</f>
        <v>0</v>
      </c>
      <c r="J3843" s="707">
        <f t="shared" ref="J3843:J3906" si="121">H3843 * 1.3</f>
        <v>0</v>
      </c>
      <c r="K3843" s="70"/>
    </row>
    <row r="3844" spans="1:11" ht="24" customHeight="1">
      <c r="A3844" s="2" t="s">
        <v>3652</v>
      </c>
      <c r="B3844" s="2" t="s">
        <v>27</v>
      </c>
      <c r="C3844" s="2">
        <v>40</v>
      </c>
      <c r="D3844" s="2" t="s">
        <v>3636</v>
      </c>
      <c r="E3844" s="33">
        <v>2</v>
      </c>
      <c r="F3844" s="33"/>
      <c r="G3844" s="522"/>
      <c r="H3844" s="707"/>
      <c r="I3844" s="707">
        <f t="shared" si="120"/>
        <v>0</v>
      </c>
      <c r="J3844" s="707">
        <f t="shared" si="121"/>
        <v>0</v>
      </c>
      <c r="K3844" s="55"/>
    </row>
    <row r="3845" spans="1:11" ht="24" customHeight="1">
      <c r="A3845" s="33" t="s">
        <v>1343</v>
      </c>
      <c r="B3845" s="33" t="s">
        <v>27</v>
      </c>
      <c r="C3845" s="33">
        <v>19</v>
      </c>
      <c r="D3845" s="33" t="s">
        <v>1325</v>
      </c>
      <c r="E3845" s="33">
        <v>1</v>
      </c>
      <c r="F3845" s="33"/>
      <c r="G3845" s="522"/>
      <c r="H3845" s="707"/>
      <c r="I3845" s="707">
        <f t="shared" si="120"/>
        <v>0</v>
      </c>
      <c r="J3845" s="707">
        <f t="shared" si="121"/>
        <v>0</v>
      </c>
      <c r="K3845" s="70"/>
    </row>
    <row r="3846" spans="1:11" ht="24" customHeight="1">
      <c r="A3846" s="33" t="s">
        <v>1343</v>
      </c>
      <c r="B3846" s="33" t="s">
        <v>27</v>
      </c>
      <c r="C3846" s="33">
        <v>2</v>
      </c>
      <c r="D3846" s="33" t="s">
        <v>1372</v>
      </c>
      <c r="E3846" s="33">
        <v>4</v>
      </c>
      <c r="F3846" s="33"/>
      <c r="G3846" s="522"/>
      <c r="H3846" s="707"/>
      <c r="I3846" s="707">
        <f t="shared" si="120"/>
        <v>0</v>
      </c>
      <c r="J3846" s="707">
        <f t="shared" si="121"/>
        <v>0</v>
      </c>
      <c r="K3846" s="70"/>
    </row>
    <row r="3847" spans="1:11" ht="24" customHeight="1">
      <c r="A3847" s="74" t="s">
        <v>2480</v>
      </c>
      <c r="B3847" s="74" t="s">
        <v>27</v>
      </c>
      <c r="C3847" s="74">
        <v>2</v>
      </c>
      <c r="D3847" s="33" t="s">
        <v>2363</v>
      </c>
      <c r="E3847" s="33">
        <v>5</v>
      </c>
      <c r="F3847" s="33"/>
      <c r="G3847" s="522"/>
      <c r="H3847" s="707"/>
      <c r="I3847" s="707">
        <f t="shared" si="120"/>
        <v>0</v>
      </c>
      <c r="J3847" s="707">
        <f t="shared" si="121"/>
        <v>0</v>
      </c>
      <c r="K3847" s="70"/>
    </row>
    <row r="3848" spans="1:11" ht="24" customHeight="1">
      <c r="A3848" s="33" t="s">
        <v>1498</v>
      </c>
      <c r="B3848" s="33" t="s">
        <v>27</v>
      </c>
      <c r="C3848" s="33">
        <v>13</v>
      </c>
      <c r="D3848" s="33" t="s">
        <v>1494</v>
      </c>
      <c r="E3848" s="33">
        <v>1</v>
      </c>
      <c r="F3848" s="33"/>
      <c r="G3848" s="522"/>
      <c r="H3848" s="707"/>
      <c r="I3848" s="707">
        <f t="shared" si="120"/>
        <v>0</v>
      </c>
      <c r="J3848" s="707">
        <f t="shared" si="121"/>
        <v>0</v>
      </c>
      <c r="K3848" s="70"/>
    </row>
    <row r="3849" spans="1:11" ht="24" customHeight="1">
      <c r="A3849" s="33" t="s">
        <v>3381</v>
      </c>
      <c r="B3849" s="33" t="s">
        <v>27</v>
      </c>
      <c r="C3849" s="33">
        <v>36</v>
      </c>
      <c r="D3849" s="33" t="s">
        <v>3348</v>
      </c>
      <c r="E3849" s="33">
        <v>3</v>
      </c>
      <c r="F3849" s="33"/>
      <c r="G3849" s="522"/>
      <c r="H3849" s="707"/>
      <c r="I3849" s="707">
        <f t="shared" si="120"/>
        <v>0</v>
      </c>
      <c r="J3849" s="707">
        <f t="shared" si="121"/>
        <v>0</v>
      </c>
      <c r="K3849" s="70"/>
    </row>
    <row r="3850" spans="1:11" ht="24" customHeight="1">
      <c r="A3850" s="33" t="s">
        <v>3378</v>
      </c>
      <c r="B3850" s="33" t="s">
        <v>27</v>
      </c>
      <c r="C3850" s="33">
        <v>20</v>
      </c>
      <c r="D3850" s="33" t="s">
        <v>3348</v>
      </c>
      <c r="E3850" s="33">
        <v>3</v>
      </c>
      <c r="F3850" s="33"/>
      <c r="G3850" s="522"/>
      <c r="H3850" s="707">
        <v>4</v>
      </c>
      <c r="I3850" s="707">
        <f t="shared" si="120"/>
        <v>4.5999999999999996</v>
      </c>
      <c r="J3850" s="707">
        <f t="shared" si="121"/>
        <v>5.2</v>
      </c>
      <c r="K3850" s="70"/>
    </row>
    <row r="3851" spans="1:11" ht="24" customHeight="1">
      <c r="A3851" s="2" t="s">
        <v>789</v>
      </c>
      <c r="B3851" s="2" t="s">
        <v>27</v>
      </c>
      <c r="C3851" s="2">
        <v>6</v>
      </c>
      <c r="D3851" s="2" t="s">
        <v>593</v>
      </c>
      <c r="E3851" s="33">
        <v>3</v>
      </c>
      <c r="F3851" s="33"/>
      <c r="G3851" s="522"/>
      <c r="H3851" s="707">
        <v>4</v>
      </c>
      <c r="I3851" s="707">
        <f t="shared" si="120"/>
        <v>4.5999999999999996</v>
      </c>
      <c r="J3851" s="707">
        <f t="shared" si="121"/>
        <v>5.2</v>
      </c>
      <c r="K3851" s="70"/>
    </row>
    <row r="3852" spans="1:11" ht="24" customHeight="1">
      <c r="A3852" s="33" t="s">
        <v>1997</v>
      </c>
      <c r="B3852" s="33" t="s">
        <v>27</v>
      </c>
      <c r="C3852" s="33">
        <v>19</v>
      </c>
      <c r="D3852" s="33" t="s">
        <v>1938</v>
      </c>
      <c r="E3852" s="33">
        <v>2</v>
      </c>
      <c r="F3852" s="33"/>
      <c r="G3852" s="522"/>
      <c r="H3852" s="707">
        <v>3</v>
      </c>
      <c r="I3852" s="707">
        <f t="shared" si="120"/>
        <v>3.4499999999999997</v>
      </c>
      <c r="J3852" s="707">
        <f t="shared" si="121"/>
        <v>3.9000000000000004</v>
      </c>
      <c r="K3852" s="70"/>
    </row>
    <row r="3853" spans="1:11" ht="24" customHeight="1">
      <c r="A3853" s="11" t="s">
        <v>3164</v>
      </c>
      <c r="B3853" s="34" t="s">
        <v>41</v>
      </c>
      <c r="C3853" s="11">
        <v>6</v>
      </c>
      <c r="D3853" s="33" t="s">
        <v>3053</v>
      </c>
      <c r="E3853" s="33">
        <v>3</v>
      </c>
      <c r="F3853" s="33"/>
      <c r="G3853" s="522"/>
      <c r="H3853" s="707"/>
      <c r="I3853" s="707">
        <f t="shared" si="120"/>
        <v>0</v>
      </c>
      <c r="J3853" s="707">
        <f t="shared" si="121"/>
        <v>0</v>
      </c>
      <c r="K3853" s="70"/>
    </row>
    <row r="3854" spans="1:11" ht="24" customHeight="1">
      <c r="A3854" s="74" t="s">
        <v>1112</v>
      </c>
      <c r="B3854" s="33" t="s">
        <v>27</v>
      </c>
      <c r="C3854" s="33">
        <v>2</v>
      </c>
      <c r="D3854" s="33" t="s">
        <v>992</v>
      </c>
      <c r="E3854" s="33">
        <v>5</v>
      </c>
      <c r="F3854" s="33"/>
      <c r="G3854" s="522"/>
      <c r="H3854" s="707">
        <v>5</v>
      </c>
      <c r="I3854" s="707">
        <f t="shared" si="120"/>
        <v>5.75</v>
      </c>
      <c r="J3854" s="707">
        <f t="shared" si="121"/>
        <v>6.5</v>
      </c>
      <c r="K3854" s="70"/>
    </row>
    <row r="3855" spans="1:11" ht="24" customHeight="1">
      <c r="A3855" s="33" t="s">
        <v>1063</v>
      </c>
      <c r="B3855" s="33" t="s">
        <v>27</v>
      </c>
      <c r="C3855" s="33">
        <v>50</v>
      </c>
      <c r="D3855" s="33" t="s">
        <v>992</v>
      </c>
      <c r="E3855" s="33">
        <v>4</v>
      </c>
      <c r="F3855" s="33"/>
      <c r="G3855" s="522"/>
      <c r="H3855" s="707"/>
      <c r="I3855" s="707">
        <f t="shared" si="120"/>
        <v>0</v>
      </c>
      <c r="J3855" s="707">
        <f t="shared" si="121"/>
        <v>0</v>
      </c>
      <c r="K3855" s="70"/>
    </row>
    <row r="3856" spans="1:11" ht="24" customHeight="1">
      <c r="A3856" s="33" t="s">
        <v>1063</v>
      </c>
      <c r="B3856" s="33" t="s">
        <v>27</v>
      </c>
      <c r="C3856" s="33">
        <v>50</v>
      </c>
      <c r="D3856" s="33" t="s">
        <v>2540</v>
      </c>
      <c r="E3856" s="33">
        <v>1</v>
      </c>
      <c r="F3856" s="33"/>
      <c r="G3856" s="522"/>
      <c r="H3856" s="707"/>
      <c r="I3856" s="707">
        <f t="shared" si="120"/>
        <v>0</v>
      </c>
      <c r="J3856" s="707">
        <f t="shared" si="121"/>
        <v>0</v>
      </c>
      <c r="K3856" s="70"/>
    </row>
    <row r="3857" spans="1:11" ht="24" customHeight="1">
      <c r="A3857" s="2" t="s">
        <v>170</v>
      </c>
      <c r="B3857" s="2" t="s">
        <v>21</v>
      </c>
      <c r="C3857" s="2">
        <v>21</v>
      </c>
      <c r="D3857" s="2" t="s">
        <v>11</v>
      </c>
      <c r="E3857" s="33">
        <v>3</v>
      </c>
      <c r="F3857" s="33"/>
      <c r="G3857" s="522"/>
      <c r="H3857" s="707">
        <v>1</v>
      </c>
      <c r="I3857" s="707">
        <f t="shared" si="120"/>
        <v>1.1499999999999999</v>
      </c>
      <c r="J3857" s="707">
        <f t="shared" si="121"/>
        <v>1.3</v>
      </c>
      <c r="K3857" s="70"/>
    </row>
    <row r="3858" spans="1:11" ht="24" customHeight="1">
      <c r="A3858" s="74" t="s">
        <v>2251</v>
      </c>
      <c r="B3858" s="74" t="s">
        <v>21</v>
      </c>
      <c r="C3858" s="74">
        <v>41</v>
      </c>
      <c r="D3858" s="33" t="s">
        <v>2191</v>
      </c>
      <c r="E3858" s="33">
        <v>5</v>
      </c>
      <c r="F3858" s="33"/>
      <c r="G3858" s="522"/>
      <c r="H3858" s="707">
        <v>1</v>
      </c>
      <c r="I3858" s="707">
        <f t="shared" si="120"/>
        <v>1.1499999999999999</v>
      </c>
      <c r="J3858" s="707">
        <f t="shared" si="121"/>
        <v>1.3</v>
      </c>
      <c r="K3858" s="70"/>
    </row>
    <row r="3859" spans="1:11" ht="24" customHeight="1">
      <c r="A3859" s="33" t="s">
        <v>3352</v>
      </c>
      <c r="B3859" s="33" t="s">
        <v>21</v>
      </c>
      <c r="C3859" s="33">
        <v>3</v>
      </c>
      <c r="D3859" s="33" t="s">
        <v>3348</v>
      </c>
      <c r="E3859" s="33">
        <v>3</v>
      </c>
      <c r="F3859" s="33"/>
      <c r="G3859" s="522"/>
      <c r="H3859" s="707"/>
      <c r="I3859" s="707">
        <f t="shared" si="120"/>
        <v>0</v>
      </c>
      <c r="J3859" s="707">
        <f t="shared" si="121"/>
        <v>0</v>
      </c>
      <c r="K3859" s="70"/>
    </row>
    <row r="3860" spans="1:11" ht="24" customHeight="1">
      <c r="A3860" s="2" t="s">
        <v>167</v>
      </c>
      <c r="B3860" s="2" t="s">
        <v>21</v>
      </c>
      <c r="C3860" s="2">
        <v>70</v>
      </c>
      <c r="D3860" s="2" t="s">
        <v>11</v>
      </c>
      <c r="E3860" s="33">
        <v>3</v>
      </c>
      <c r="F3860" s="33"/>
      <c r="G3860" s="522"/>
      <c r="H3860" s="707"/>
      <c r="I3860" s="707">
        <f t="shared" si="120"/>
        <v>0</v>
      </c>
      <c r="J3860" s="707">
        <f t="shared" si="121"/>
        <v>0</v>
      </c>
      <c r="K3860" s="70"/>
    </row>
    <row r="3861" spans="1:11" ht="24" customHeight="1">
      <c r="A3861" s="33" t="s">
        <v>167</v>
      </c>
      <c r="B3861" s="33" t="s">
        <v>19</v>
      </c>
      <c r="C3861" s="33">
        <v>18</v>
      </c>
      <c r="D3861" s="2" t="s">
        <v>274</v>
      </c>
      <c r="E3861" s="33">
        <v>3</v>
      </c>
      <c r="F3861" s="33"/>
      <c r="G3861" s="522"/>
      <c r="H3861" s="707"/>
      <c r="I3861" s="707">
        <f t="shared" si="120"/>
        <v>0</v>
      </c>
      <c r="J3861" s="707">
        <f t="shared" si="121"/>
        <v>0</v>
      </c>
      <c r="K3861" s="70"/>
    </row>
    <row r="3862" spans="1:11" ht="24" customHeight="1">
      <c r="A3862" s="33" t="s">
        <v>2035</v>
      </c>
      <c r="B3862" s="33" t="s">
        <v>21</v>
      </c>
      <c r="C3862" s="33">
        <v>1</v>
      </c>
      <c r="D3862" s="33" t="s">
        <v>2026</v>
      </c>
      <c r="E3862" s="33">
        <v>3</v>
      </c>
      <c r="F3862" s="33"/>
      <c r="G3862" s="522"/>
      <c r="H3862" s="707">
        <v>1.5</v>
      </c>
      <c r="I3862" s="707">
        <f t="shared" si="120"/>
        <v>1.7249999999999999</v>
      </c>
      <c r="J3862" s="707">
        <f t="shared" si="121"/>
        <v>1.9500000000000002</v>
      </c>
      <c r="K3862" s="70"/>
    </row>
    <row r="3863" spans="1:11" ht="24" customHeight="1">
      <c r="A3863" s="2" t="s">
        <v>786</v>
      </c>
      <c r="B3863" s="2" t="s">
        <v>21</v>
      </c>
      <c r="C3863" s="2">
        <v>22</v>
      </c>
      <c r="D3863" s="2" t="s">
        <v>593</v>
      </c>
      <c r="E3863" s="33">
        <v>3</v>
      </c>
      <c r="F3863" s="33"/>
      <c r="G3863" s="522"/>
      <c r="H3863" s="707"/>
      <c r="I3863" s="707">
        <f t="shared" si="120"/>
        <v>0</v>
      </c>
      <c r="J3863" s="707">
        <f t="shared" si="121"/>
        <v>0</v>
      </c>
      <c r="K3863" s="70"/>
    </row>
    <row r="3864" spans="1:11" ht="24" customHeight="1">
      <c r="A3864" s="33" t="s">
        <v>786</v>
      </c>
      <c r="B3864" s="33" t="s">
        <v>21</v>
      </c>
      <c r="C3864" s="33">
        <v>4</v>
      </c>
      <c r="D3864" s="33" t="s">
        <v>992</v>
      </c>
      <c r="E3864" s="33">
        <v>3</v>
      </c>
      <c r="F3864" s="33"/>
      <c r="G3864" s="522"/>
      <c r="H3864" s="707"/>
      <c r="I3864" s="707">
        <f t="shared" si="120"/>
        <v>0</v>
      </c>
      <c r="J3864" s="707">
        <f t="shared" si="121"/>
        <v>0</v>
      </c>
      <c r="K3864" s="70"/>
    </row>
    <row r="3865" spans="1:11" ht="24" customHeight="1">
      <c r="A3865" s="74" t="s">
        <v>2489</v>
      </c>
      <c r="B3865" s="74" t="s">
        <v>21</v>
      </c>
      <c r="C3865" s="74">
        <v>10</v>
      </c>
      <c r="D3865" s="33" t="s">
        <v>2363</v>
      </c>
      <c r="E3865" s="33">
        <v>5</v>
      </c>
      <c r="F3865" s="33"/>
      <c r="G3865" s="522"/>
      <c r="H3865" s="707"/>
      <c r="I3865" s="707">
        <f t="shared" si="120"/>
        <v>0</v>
      </c>
      <c r="J3865" s="707">
        <f t="shared" si="121"/>
        <v>0</v>
      </c>
      <c r="K3865" s="70"/>
    </row>
    <row r="3866" spans="1:11" ht="24" customHeight="1">
      <c r="A3866" s="33" t="s">
        <v>2176</v>
      </c>
      <c r="B3866" s="33" t="s">
        <v>21</v>
      </c>
      <c r="C3866" s="33">
        <v>3</v>
      </c>
      <c r="D3866" s="33" t="s">
        <v>2111</v>
      </c>
      <c r="E3866" s="33">
        <v>2</v>
      </c>
      <c r="F3866" s="33"/>
      <c r="G3866" s="522"/>
      <c r="H3866" s="707"/>
      <c r="I3866" s="707">
        <f t="shared" si="120"/>
        <v>0</v>
      </c>
      <c r="J3866" s="707">
        <f t="shared" si="121"/>
        <v>0</v>
      </c>
      <c r="K3866" s="70"/>
    </row>
    <row r="3867" spans="1:11" ht="24" customHeight="1">
      <c r="A3867" s="33" t="s">
        <v>1017</v>
      </c>
      <c r="B3867" s="33" t="s">
        <v>909</v>
      </c>
      <c r="C3867" s="33">
        <v>14</v>
      </c>
      <c r="D3867" s="33" t="s">
        <v>992</v>
      </c>
      <c r="E3867" s="33">
        <v>3</v>
      </c>
      <c r="F3867" s="33"/>
      <c r="G3867" s="522"/>
      <c r="H3867" s="707"/>
      <c r="I3867" s="707">
        <f t="shared" si="120"/>
        <v>0</v>
      </c>
      <c r="J3867" s="707">
        <f t="shared" si="121"/>
        <v>0</v>
      </c>
      <c r="K3867" s="70"/>
    </row>
    <row r="3868" spans="1:11" ht="24" customHeight="1">
      <c r="A3868" s="33" t="s">
        <v>1148</v>
      </c>
      <c r="B3868" s="33" t="s">
        <v>41</v>
      </c>
      <c r="C3868" s="33">
        <v>50</v>
      </c>
      <c r="D3868" s="33" t="s">
        <v>1141</v>
      </c>
      <c r="E3868" s="33">
        <v>1</v>
      </c>
      <c r="F3868" s="33"/>
      <c r="G3868" s="522"/>
      <c r="H3868" s="707"/>
      <c r="I3868" s="707">
        <f t="shared" si="120"/>
        <v>0</v>
      </c>
      <c r="J3868" s="707">
        <f t="shared" si="121"/>
        <v>0</v>
      </c>
      <c r="K3868" s="70"/>
    </row>
    <row r="3869" spans="1:11" ht="24" customHeight="1">
      <c r="A3869" s="33" t="s">
        <v>948</v>
      </c>
      <c r="B3869" s="33" t="s">
        <v>115</v>
      </c>
      <c r="C3869" s="33">
        <v>1</v>
      </c>
      <c r="D3869" s="33" t="s">
        <v>910</v>
      </c>
      <c r="E3869" s="33">
        <v>2</v>
      </c>
      <c r="F3869" s="33"/>
      <c r="G3869" s="522"/>
      <c r="H3869" s="707"/>
      <c r="I3869" s="707">
        <f t="shared" si="120"/>
        <v>0</v>
      </c>
      <c r="J3869" s="707">
        <f t="shared" si="121"/>
        <v>0</v>
      </c>
      <c r="K3869" s="70"/>
    </row>
    <row r="3870" spans="1:11" ht="24" customHeight="1">
      <c r="A3870" s="33" t="s">
        <v>946</v>
      </c>
      <c r="B3870" s="33" t="s">
        <v>115</v>
      </c>
      <c r="C3870" s="33">
        <v>1</v>
      </c>
      <c r="D3870" s="33" t="s">
        <v>910</v>
      </c>
      <c r="E3870" s="33">
        <v>1</v>
      </c>
      <c r="F3870" s="33"/>
      <c r="G3870" s="522"/>
      <c r="H3870" s="707"/>
      <c r="I3870" s="707">
        <f t="shared" si="120"/>
        <v>0</v>
      </c>
      <c r="J3870" s="707">
        <f t="shared" si="121"/>
        <v>0</v>
      </c>
      <c r="K3870" s="70"/>
    </row>
    <row r="3871" spans="1:11" ht="24" customHeight="1">
      <c r="A3871" s="33" t="s">
        <v>2549</v>
      </c>
      <c r="B3871" s="33" t="s">
        <v>265</v>
      </c>
      <c r="C3871" s="33">
        <v>2</v>
      </c>
      <c r="D3871" s="33" t="s">
        <v>2540</v>
      </c>
      <c r="E3871" s="33">
        <v>1</v>
      </c>
      <c r="F3871" s="33"/>
      <c r="G3871" s="522"/>
      <c r="H3871" s="707"/>
      <c r="I3871" s="707">
        <f t="shared" si="120"/>
        <v>0</v>
      </c>
      <c r="J3871" s="707">
        <f t="shared" si="121"/>
        <v>0</v>
      </c>
      <c r="K3871" s="70"/>
    </row>
    <row r="3872" spans="1:11" ht="24" customHeight="1">
      <c r="A3872" s="33" t="s">
        <v>186</v>
      </c>
      <c r="B3872" s="33" t="s">
        <v>41</v>
      </c>
      <c r="C3872" s="33">
        <v>20</v>
      </c>
      <c r="D3872" s="2" t="s">
        <v>11</v>
      </c>
      <c r="E3872" s="33">
        <v>3</v>
      </c>
      <c r="F3872" s="33"/>
      <c r="G3872" s="522"/>
      <c r="H3872" s="707"/>
      <c r="I3872" s="707">
        <f t="shared" si="120"/>
        <v>0</v>
      </c>
      <c r="J3872" s="707">
        <f t="shared" si="121"/>
        <v>0</v>
      </c>
      <c r="K3872" s="70"/>
    </row>
    <row r="3873" spans="1:11" ht="24" customHeight="1">
      <c r="A3873" s="17" t="s">
        <v>7998</v>
      </c>
      <c r="B3873" s="17" t="s">
        <v>41</v>
      </c>
      <c r="C3873" s="17">
        <v>50</v>
      </c>
      <c r="D3873" s="131" t="s">
        <v>1723</v>
      </c>
      <c r="E3873" s="15">
        <v>2</v>
      </c>
      <c r="F3873" s="15"/>
      <c r="G3873" s="684"/>
      <c r="H3873" s="707"/>
      <c r="I3873" s="707">
        <f t="shared" si="120"/>
        <v>0</v>
      </c>
      <c r="J3873" s="707">
        <f t="shared" si="121"/>
        <v>0</v>
      </c>
      <c r="K3873" s="70"/>
    </row>
    <row r="3874" spans="1:11" ht="24" customHeight="1">
      <c r="A3874" s="33" t="s">
        <v>249</v>
      </c>
      <c r="B3874" s="33" t="s">
        <v>27</v>
      </c>
      <c r="C3874" s="33">
        <v>200</v>
      </c>
      <c r="D3874" s="2" t="s">
        <v>188</v>
      </c>
      <c r="E3874" s="33">
        <v>5</v>
      </c>
      <c r="F3874" s="33"/>
      <c r="G3874" s="522"/>
      <c r="H3874" s="707"/>
      <c r="I3874" s="707">
        <f t="shared" si="120"/>
        <v>0</v>
      </c>
      <c r="J3874" s="707">
        <f t="shared" si="121"/>
        <v>0</v>
      </c>
      <c r="K3874" s="70"/>
    </row>
    <row r="3875" spans="1:11" ht="24" customHeight="1">
      <c r="A3875" s="2" t="s">
        <v>249</v>
      </c>
      <c r="B3875" s="2" t="s">
        <v>41</v>
      </c>
      <c r="C3875" s="2">
        <v>200</v>
      </c>
      <c r="D3875" s="33" t="s">
        <v>3338</v>
      </c>
      <c r="E3875" s="33">
        <v>1</v>
      </c>
      <c r="F3875" s="33"/>
      <c r="G3875" s="522"/>
      <c r="H3875" s="707"/>
      <c r="I3875" s="707">
        <f t="shared" si="120"/>
        <v>0</v>
      </c>
      <c r="J3875" s="707">
        <f t="shared" si="121"/>
        <v>0</v>
      </c>
      <c r="K3875" s="70"/>
    </row>
    <row r="3876" spans="1:11" ht="24" customHeight="1">
      <c r="A3876" s="33" t="s">
        <v>2341</v>
      </c>
      <c r="B3876" s="33" t="s">
        <v>25</v>
      </c>
      <c r="C3876" s="33">
        <v>20</v>
      </c>
      <c r="D3876" s="33" t="s">
        <v>2276</v>
      </c>
      <c r="E3876" s="33">
        <v>1</v>
      </c>
      <c r="F3876" s="33"/>
      <c r="G3876" s="522"/>
      <c r="H3876" s="707"/>
      <c r="I3876" s="707">
        <f t="shared" si="120"/>
        <v>0</v>
      </c>
      <c r="J3876" s="707">
        <f t="shared" si="121"/>
        <v>0</v>
      </c>
      <c r="K3876" s="70"/>
    </row>
    <row r="3877" spans="1:11" ht="24" customHeight="1">
      <c r="A3877" s="2" t="s">
        <v>166</v>
      </c>
      <c r="B3877" s="2" t="s">
        <v>41</v>
      </c>
      <c r="C3877" s="2">
        <v>16</v>
      </c>
      <c r="D3877" s="2" t="s">
        <v>11</v>
      </c>
      <c r="E3877" s="33">
        <v>3</v>
      </c>
      <c r="F3877" s="33"/>
      <c r="G3877" s="522"/>
      <c r="H3877" s="707">
        <v>33</v>
      </c>
      <c r="I3877" s="707">
        <f t="shared" si="120"/>
        <v>37.949999999999996</v>
      </c>
      <c r="J3877" s="707">
        <f t="shared" si="121"/>
        <v>42.9</v>
      </c>
      <c r="K3877" s="70"/>
    </row>
    <row r="3878" spans="1:11" ht="24" customHeight="1">
      <c r="A3878" s="2" t="s">
        <v>439</v>
      </c>
      <c r="B3878" s="2" t="s">
        <v>440</v>
      </c>
      <c r="C3878" s="2">
        <v>5</v>
      </c>
      <c r="D3878" s="2" t="s">
        <v>274</v>
      </c>
      <c r="E3878" s="33">
        <v>3</v>
      </c>
      <c r="F3878" s="33"/>
      <c r="G3878" s="522"/>
      <c r="H3878" s="707"/>
      <c r="I3878" s="707">
        <f t="shared" si="120"/>
        <v>0</v>
      </c>
      <c r="J3878" s="707">
        <f t="shared" si="121"/>
        <v>0</v>
      </c>
      <c r="K3878" s="70"/>
    </row>
    <row r="3879" spans="1:11" ht="24" customHeight="1">
      <c r="A3879" s="33" t="s">
        <v>1040</v>
      </c>
      <c r="B3879" s="33" t="s">
        <v>25</v>
      </c>
      <c r="C3879" s="33">
        <v>2</v>
      </c>
      <c r="D3879" s="33" t="s">
        <v>992</v>
      </c>
      <c r="E3879" s="33">
        <v>4</v>
      </c>
      <c r="F3879" s="33"/>
      <c r="G3879" s="522"/>
      <c r="H3879" s="707"/>
      <c r="I3879" s="707">
        <f t="shared" si="120"/>
        <v>0</v>
      </c>
      <c r="J3879" s="707">
        <f t="shared" si="121"/>
        <v>0</v>
      </c>
      <c r="K3879" s="70"/>
    </row>
    <row r="3880" spans="1:11" ht="24" customHeight="1">
      <c r="A3880" s="2" t="s">
        <v>647</v>
      </c>
      <c r="B3880" s="2" t="s">
        <v>350</v>
      </c>
      <c r="C3880" s="2">
        <v>40</v>
      </c>
      <c r="D3880" s="2" t="s">
        <v>593</v>
      </c>
      <c r="E3880" s="33">
        <v>1</v>
      </c>
      <c r="F3880" s="33"/>
      <c r="G3880" s="522"/>
      <c r="H3880" s="707"/>
      <c r="I3880" s="707">
        <f t="shared" si="120"/>
        <v>0</v>
      </c>
      <c r="J3880" s="707">
        <f t="shared" si="121"/>
        <v>0</v>
      </c>
      <c r="K3880" s="70"/>
    </row>
    <row r="3881" spans="1:11" ht="24" customHeight="1">
      <c r="A3881" s="11" t="s">
        <v>3131</v>
      </c>
      <c r="B3881" s="34" t="s">
        <v>558</v>
      </c>
      <c r="C3881" s="11">
        <v>32</v>
      </c>
      <c r="D3881" s="33" t="s">
        <v>3053</v>
      </c>
      <c r="E3881" s="33">
        <v>3</v>
      </c>
      <c r="F3881" s="33"/>
      <c r="G3881" s="522"/>
      <c r="H3881" s="707"/>
      <c r="I3881" s="707">
        <f t="shared" si="120"/>
        <v>0</v>
      </c>
      <c r="J3881" s="707">
        <f t="shared" si="121"/>
        <v>0</v>
      </c>
      <c r="K3881" s="70"/>
    </row>
    <row r="3882" spans="1:11" ht="24" customHeight="1">
      <c r="A3882" s="11" t="s">
        <v>3177</v>
      </c>
      <c r="B3882" s="34" t="s">
        <v>83</v>
      </c>
      <c r="C3882" s="11">
        <v>22</v>
      </c>
      <c r="D3882" s="33" t="s">
        <v>3053</v>
      </c>
      <c r="E3882" s="33">
        <v>3</v>
      </c>
      <c r="F3882" s="33"/>
      <c r="G3882" s="522"/>
      <c r="H3882" s="707"/>
      <c r="I3882" s="707">
        <f t="shared" si="120"/>
        <v>0</v>
      </c>
      <c r="J3882" s="707">
        <f t="shared" si="121"/>
        <v>0</v>
      </c>
      <c r="K3882" s="70"/>
    </row>
    <row r="3883" spans="1:11" ht="24" customHeight="1">
      <c r="A3883" s="3" t="s">
        <v>3016</v>
      </c>
      <c r="B3883" s="3" t="s">
        <v>83</v>
      </c>
      <c r="C3883" s="3">
        <v>8</v>
      </c>
      <c r="D3883" s="71" t="s">
        <v>2947</v>
      </c>
      <c r="E3883" s="354">
        <v>5</v>
      </c>
      <c r="F3883" s="354"/>
      <c r="G3883" s="688"/>
      <c r="H3883" s="707"/>
      <c r="I3883" s="707">
        <f t="shared" si="120"/>
        <v>0</v>
      </c>
      <c r="J3883" s="707">
        <f t="shared" si="121"/>
        <v>0</v>
      </c>
      <c r="K3883" s="70"/>
    </row>
    <row r="3884" spans="1:11" ht="24" customHeight="1">
      <c r="A3884" s="2" t="s">
        <v>3608</v>
      </c>
      <c r="B3884" s="2" t="s">
        <v>10</v>
      </c>
      <c r="C3884" s="2">
        <v>8</v>
      </c>
      <c r="D3884" s="2" t="s">
        <v>3568</v>
      </c>
      <c r="E3884" s="33">
        <v>3</v>
      </c>
      <c r="F3884" s="33"/>
      <c r="G3884" s="522"/>
      <c r="H3884" s="707"/>
      <c r="I3884" s="707">
        <f t="shared" si="120"/>
        <v>0</v>
      </c>
      <c r="J3884" s="707">
        <f t="shared" si="121"/>
        <v>0</v>
      </c>
      <c r="K3884" s="70"/>
    </row>
    <row r="3885" spans="1:11" ht="24" customHeight="1">
      <c r="A3885" s="59" t="s">
        <v>2998</v>
      </c>
      <c r="B3885" s="59" t="s">
        <v>83</v>
      </c>
      <c r="C3885" s="59">
        <v>4</v>
      </c>
      <c r="D3885" s="71" t="s">
        <v>2947</v>
      </c>
      <c r="E3885" s="354">
        <v>5</v>
      </c>
      <c r="F3885" s="354"/>
      <c r="G3885" s="688"/>
      <c r="H3885" s="707"/>
      <c r="I3885" s="707">
        <f t="shared" si="120"/>
        <v>0</v>
      </c>
      <c r="J3885" s="707">
        <f t="shared" si="121"/>
        <v>0</v>
      </c>
      <c r="K3885" s="70"/>
    </row>
    <row r="3886" spans="1:11" ht="24" customHeight="1">
      <c r="A3886" s="2" t="s">
        <v>652</v>
      </c>
      <c r="B3886" s="2" t="s">
        <v>653</v>
      </c>
      <c r="C3886" s="2">
        <v>10</v>
      </c>
      <c r="D3886" s="2" t="s">
        <v>593</v>
      </c>
      <c r="E3886" s="33">
        <v>1</v>
      </c>
      <c r="F3886" s="33"/>
      <c r="G3886" s="522"/>
      <c r="H3886" s="707">
        <v>1</v>
      </c>
      <c r="I3886" s="707">
        <f t="shared" si="120"/>
        <v>1.1499999999999999</v>
      </c>
      <c r="J3886" s="707">
        <f t="shared" si="121"/>
        <v>1.3</v>
      </c>
      <c r="K3886" s="70"/>
    </row>
    <row r="3887" spans="1:11" ht="24" customHeight="1">
      <c r="A3887" s="2" t="s">
        <v>645</v>
      </c>
      <c r="B3887" s="2" t="s">
        <v>646</v>
      </c>
      <c r="C3887" s="2">
        <v>59</v>
      </c>
      <c r="D3887" s="2" t="s">
        <v>593</v>
      </c>
      <c r="E3887" s="33">
        <v>1</v>
      </c>
      <c r="F3887" s="33"/>
      <c r="G3887" s="522"/>
      <c r="H3887" s="707">
        <v>1</v>
      </c>
      <c r="I3887" s="707">
        <f t="shared" si="120"/>
        <v>1.1499999999999999</v>
      </c>
      <c r="J3887" s="707">
        <f t="shared" si="121"/>
        <v>1.3</v>
      </c>
      <c r="K3887" s="70"/>
    </row>
    <row r="3888" spans="1:11" ht="24" customHeight="1">
      <c r="A3888" s="33" t="s">
        <v>997</v>
      </c>
      <c r="B3888" s="33" t="s">
        <v>322</v>
      </c>
      <c r="C3888" s="33">
        <v>126</v>
      </c>
      <c r="D3888" s="33" t="s">
        <v>992</v>
      </c>
      <c r="E3888" s="33">
        <v>3</v>
      </c>
      <c r="F3888" s="33"/>
      <c r="G3888" s="522"/>
      <c r="H3888" s="707">
        <v>0.5</v>
      </c>
      <c r="I3888" s="707">
        <f t="shared" si="120"/>
        <v>0.57499999999999996</v>
      </c>
      <c r="J3888" s="707">
        <f t="shared" si="121"/>
        <v>0.65</v>
      </c>
      <c r="K3888" s="70"/>
    </row>
    <row r="3889" spans="1:11" ht="24" customHeight="1">
      <c r="A3889" s="33" t="s">
        <v>1632</v>
      </c>
      <c r="B3889" s="33" t="s">
        <v>25</v>
      </c>
      <c r="C3889" s="33">
        <v>282</v>
      </c>
      <c r="D3889" s="33" t="s">
        <v>1548</v>
      </c>
      <c r="E3889" s="33">
        <v>4</v>
      </c>
      <c r="F3889" s="33"/>
      <c r="G3889" s="522"/>
      <c r="H3889" s="707">
        <v>8</v>
      </c>
      <c r="I3889" s="707">
        <f t="shared" si="120"/>
        <v>9.1999999999999993</v>
      </c>
      <c r="J3889" s="707">
        <f t="shared" si="121"/>
        <v>10.4</v>
      </c>
      <c r="K3889" s="70"/>
    </row>
    <row r="3890" spans="1:11" ht="24" customHeight="1">
      <c r="A3890" s="33" t="s">
        <v>2602</v>
      </c>
      <c r="B3890" s="33" t="s">
        <v>1192</v>
      </c>
      <c r="C3890" s="33">
        <v>2</v>
      </c>
      <c r="D3890" s="33" t="s">
        <v>2540</v>
      </c>
      <c r="E3890" s="33">
        <v>2</v>
      </c>
      <c r="F3890" s="33"/>
      <c r="G3890" s="522"/>
      <c r="H3890" s="707"/>
      <c r="I3890" s="707">
        <f t="shared" si="120"/>
        <v>0</v>
      </c>
      <c r="J3890" s="707">
        <f t="shared" si="121"/>
        <v>0</v>
      </c>
      <c r="K3890" s="70"/>
    </row>
    <row r="3891" spans="1:11" ht="24" customHeight="1">
      <c r="A3891" s="33" t="s">
        <v>1400</v>
      </c>
      <c r="B3891" s="33" t="s">
        <v>34</v>
      </c>
      <c r="C3891" s="33">
        <v>4</v>
      </c>
      <c r="D3891" s="33" t="s">
        <v>1372</v>
      </c>
      <c r="E3891" s="33">
        <v>4</v>
      </c>
      <c r="F3891" s="33"/>
      <c r="G3891" s="522"/>
      <c r="H3891" s="707"/>
      <c r="I3891" s="707">
        <f t="shared" si="120"/>
        <v>0</v>
      </c>
      <c r="J3891" s="707">
        <f t="shared" si="121"/>
        <v>0</v>
      </c>
      <c r="K3891" s="70"/>
    </row>
    <row r="3892" spans="1:11" ht="24" customHeight="1">
      <c r="A3892" s="59" t="s">
        <v>3239</v>
      </c>
      <c r="B3892" s="59" t="s">
        <v>692</v>
      </c>
      <c r="C3892" s="59">
        <v>2</v>
      </c>
      <c r="D3892" s="33" t="s">
        <v>3053</v>
      </c>
      <c r="E3892" s="354">
        <v>5</v>
      </c>
      <c r="F3892" s="354"/>
      <c r="G3892" s="688"/>
      <c r="H3892" s="707">
        <v>1000</v>
      </c>
      <c r="I3892" s="707">
        <f t="shared" si="120"/>
        <v>1150</v>
      </c>
      <c r="J3892" s="707">
        <f t="shared" si="121"/>
        <v>1300</v>
      </c>
      <c r="K3892" s="70"/>
    </row>
    <row r="3893" spans="1:11" ht="24" customHeight="1">
      <c r="A3893" s="2" t="s">
        <v>3662</v>
      </c>
      <c r="B3893" s="2" t="s">
        <v>3663</v>
      </c>
      <c r="C3893" s="2">
        <v>1</v>
      </c>
      <c r="D3893" s="2" t="s">
        <v>3636</v>
      </c>
      <c r="E3893" s="33">
        <v>2</v>
      </c>
      <c r="F3893" s="33"/>
      <c r="G3893" s="522"/>
      <c r="H3893" s="707"/>
      <c r="I3893" s="707">
        <f t="shared" si="120"/>
        <v>0</v>
      </c>
      <c r="J3893" s="707">
        <f t="shared" si="121"/>
        <v>0</v>
      </c>
      <c r="K3893" s="55"/>
    </row>
    <row r="3894" spans="1:11" ht="24" customHeight="1">
      <c r="A3894" s="33" t="s">
        <v>85</v>
      </c>
      <c r="B3894" s="33" t="s">
        <v>83</v>
      </c>
      <c r="C3894" s="33">
        <v>4</v>
      </c>
      <c r="D3894" s="2" t="s">
        <v>11</v>
      </c>
      <c r="E3894" s="33">
        <v>1</v>
      </c>
      <c r="F3894" s="33"/>
      <c r="G3894" s="522"/>
      <c r="H3894" s="707"/>
      <c r="I3894" s="707">
        <f t="shared" si="120"/>
        <v>0</v>
      </c>
      <c r="J3894" s="707">
        <f t="shared" si="121"/>
        <v>0</v>
      </c>
      <c r="K3894" s="70"/>
    </row>
    <row r="3895" spans="1:11" ht="24" customHeight="1">
      <c r="A3895" s="2" t="s">
        <v>3656</v>
      </c>
      <c r="B3895" s="2" t="s">
        <v>245</v>
      </c>
      <c r="C3895" s="2">
        <v>1</v>
      </c>
      <c r="D3895" s="2" t="s">
        <v>3636</v>
      </c>
      <c r="E3895" s="33">
        <v>2</v>
      </c>
      <c r="F3895" s="33"/>
      <c r="G3895" s="522"/>
      <c r="H3895" s="707"/>
      <c r="I3895" s="707">
        <f t="shared" si="120"/>
        <v>0</v>
      </c>
      <c r="J3895" s="707">
        <f t="shared" si="121"/>
        <v>0</v>
      </c>
      <c r="K3895" s="55"/>
    </row>
    <row r="3896" spans="1:11" ht="24" customHeight="1">
      <c r="A3896" s="2" t="s">
        <v>3655</v>
      </c>
      <c r="B3896" s="2" t="s">
        <v>245</v>
      </c>
      <c r="C3896" s="2">
        <v>1</v>
      </c>
      <c r="D3896" s="2" t="s">
        <v>3636</v>
      </c>
      <c r="E3896" s="33">
        <v>2</v>
      </c>
      <c r="F3896" s="33"/>
      <c r="G3896" s="522"/>
      <c r="H3896" s="707"/>
      <c r="I3896" s="707">
        <f t="shared" si="120"/>
        <v>0</v>
      </c>
      <c r="J3896" s="707">
        <f t="shared" si="121"/>
        <v>0</v>
      </c>
      <c r="K3896" s="55"/>
    </row>
    <row r="3897" spans="1:11" ht="24" customHeight="1">
      <c r="A3897" s="2" t="s">
        <v>3731</v>
      </c>
      <c r="B3897" s="2" t="s">
        <v>245</v>
      </c>
      <c r="C3897" s="2">
        <v>1</v>
      </c>
      <c r="D3897" s="2" t="s">
        <v>3705</v>
      </c>
      <c r="E3897" s="33">
        <v>3</v>
      </c>
      <c r="F3897" s="33"/>
      <c r="G3897" s="522"/>
      <c r="H3897" s="707"/>
      <c r="I3897" s="707">
        <f t="shared" si="120"/>
        <v>0</v>
      </c>
      <c r="J3897" s="707">
        <f t="shared" si="121"/>
        <v>0</v>
      </c>
      <c r="K3897" s="55"/>
    </row>
    <row r="3898" spans="1:11" ht="24" customHeight="1">
      <c r="A3898" s="2" t="s">
        <v>3712</v>
      </c>
      <c r="B3898" s="2" t="s">
        <v>227</v>
      </c>
      <c r="C3898" s="2">
        <v>1</v>
      </c>
      <c r="D3898" s="2" t="s">
        <v>3705</v>
      </c>
      <c r="E3898" s="33">
        <v>2</v>
      </c>
      <c r="F3898" s="33"/>
      <c r="G3898" s="522"/>
      <c r="H3898" s="707"/>
      <c r="I3898" s="707">
        <f t="shared" si="120"/>
        <v>0</v>
      </c>
      <c r="J3898" s="707">
        <f t="shared" si="121"/>
        <v>0</v>
      </c>
      <c r="K3898" s="55"/>
    </row>
    <row r="3899" spans="1:11" ht="24" customHeight="1">
      <c r="A3899" s="33" t="s">
        <v>2603</v>
      </c>
      <c r="B3899" s="33" t="s">
        <v>2604</v>
      </c>
      <c r="C3899" s="33">
        <v>2</v>
      </c>
      <c r="D3899" s="33" t="s">
        <v>2540</v>
      </c>
      <c r="E3899" s="33">
        <v>2</v>
      </c>
      <c r="F3899" s="33"/>
      <c r="G3899" s="522"/>
      <c r="H3899" s="707"/>
      <c r="I3899" s="707">
        <f t="shared" si="120"/>
        <v>0</v>
      </c>
      <c r="J3899" s="707">
        <f t="shared" si="121"/>
        <v>0</v>
      </c>
      <c r="K3899" s="70"/>
    </row>
    <row r="3900" spans="1:11" ht="24" customHeight="1">
      <c r="A3900" s="33" t="s">
        <v>1640</v>
      </c>
      <c r="B3900" s="33" t="s">
        <v>1641</v>
      </c>
      <c r="C3900" s="33">
        <v>221</v>
      </c>
      <c r="D3900" s="33" t="s">
        <v>1548</v>
      </c>
      <c r="E3900" s="33">
        <v>4</v>
      </c>
      <c r="F3900" s="33"/>
      <c r="G3900" s="522"/>
      <c r="H3900" s="707"/>
      <c r="I3900" s="707">
        <f t="shared" si="120"/>
        <v>0</v>
      </c>
      <c r="J3900" s="707">
        <f t="shared" si="121"/>
        <v>0</v>
      </c>
      <c r="K3900" s="70"/>
    </row>
    <row r="3901" spans="1:11" ht="24" customHeight="1">
      <c r="A3901" s="33" t="s">
        <v>1655</v>
      </c>
      <c r="B3901" s="33" t="s">
        <v>41</v>
      </c>
      <c r="C3901" s="33">
        <v>85</v>
      </c>
      <c r="D3901" s="33" t="s">
        <v>1548</v>
      </c>
      <c r="E3901" s="33">
        <v>4</v>
      </c>
      <c r="F3901" s="33"/>
      <c r="G3901" s="522"/>
      <c r="H3901" s="707">
        <v>1</v>
      </c>
      <c r="I3901" s="707">
        <f t="shared" si="120"/>
        <v>1.1499999999999999</v>
      </c>
      <c r="J3901" s="707">
        <f t="shared" si="121"/>
        <v>1.3</v>
      </c>
      <c r="K3901" s="70"/>
    </row>
    <row r="3902" spans="1:11" ht="24" customHeight="1">
      <c r="A3902" s="33" t="s">
        <v>1230</v>
      </c>
      <c r="B3902" s="33" t="s">
        <v>41</v>
      </c>
      <c r="C3902" s="33">
        <v>80</v>
      </c>
      <c r="D3902" s="33" t="s">
        <v>1201</v>
      </c>
      <c r="E3902" s="33">
        <v>3</v>
      </c>
      <c r="F3902" s="33"/>
      <c r="G3902" s="522"/>
      <c r="H3902" s="707"/>
      <c r="I3902" s="707">
        <f t="shared" si="120"/>
        <v>0</v>
      </c>
      <c r="J3902" s="707">
        <f t="shared" si="121"/>
        <v>0</v>
      </c>
      <c r="K3902" s="70"/>
    </row>
    <row r="3903" spans="1:11" ht="24" customHeight="1">
      <c r="A3903" s="33" t="s">
        <v>1380</v>
      </c>
      <c r="B3903" s="33" t="s">
        <v>41</v>
      </c>
      <c r="C3903" s="33">
        <v>90</v>
      </c>
      <c r="D3903" s="33" t="s">
        <v>1372</v>
      </c>
      <c r="E3903" s="33">
        <v>3</v>
      </c>
      <c r="F3903" s="33"/>
      <c r="G3903" s="522"/>
      <c r="H3903" s="707"/>
      <c r="I3903" s="707">
        <f t="shared" si="120"/>
        <v>0</v>
      </c>
      <c r="J3903" s="707">
        <f t="shared" si="121"/>
        <v>0</v>
      </c>
      <c r="K3903" s="70"/>
    </row>
    <row r="3904" spans="1:11" ht="24" customHeight="1">
      <c r="A3904" s="11" t="s">
        <v>1934</v>
      </c>
      <c r="B3904" s="11" t="s">
        <v>1935</v>
      </c>
      <c r="C3904" s="11">
        <v>1</v>
      </c>
      <c r="D3904" s="131" t="s">
        <v>1898</v>
      </c>
      <c r="E3904" s="15">
        <v>5</v>
      </c>
      <c r="F3904" s="15"/>
      <c r="G3904" s="684"/>
      <c r="H3904" s="707"/>
      <c r="I3904" s="707">
        <f t="shared" si="120"/>
        <v>0</v>
      </c>
      <c r="J3904" s="707">
        <f t="shared" si="121"/>
        <v>0</v>
      </c>
      <c r="K3904" s="70"/>
    </row>
    <row r="3905" spans="1:11" ht="24" customHeight="1">
      <c r="A3905" s="33" t="s">
        <v>1987</v>
      </c>
      <c r="B3905" s="33" t="s">
        <v>1988</v>
      </c>
      <c r="C3905" s="33">
        <v>2</v>
      </c>
      <c r="D3905" s="33" t="s">
        <v>1938</v>
      </c>
      <c r="E3905" s="33">
        <v>2</v>
      </c>
      <c r="F3905" s="33"/>
      <c r="G3905" s="522"/>
      <c r="H3905" s="707"/>
      <c r="I3905" s="707">
        <f t="shared" si="120"/>
        <v>0</v>
      </c>
      <c r="J3905" s="707">
        <f t="shared" si="121"/>
        <v>0</v>
      </c>
      <c r="K3905" s="70"/>
    </row>
    <row r="3906" spans="1:11" ht="24" customHeight="1">
      <c r="A3906" s="33" t="s">
        <v>427</v>
      </c>
      <c r="B3906" s="33" t="s">
        <v>371</v>
      </c>
      <c r="C3906" s="33">
        <v>2</v>
      </c>
      <c r="D3906" s="2" t="s">
        <v>274</v>
      </c>
      <c r="E3906" s="33">
        <v>3</v>
      </c>
      <c r="F3906" s="33"/>
      <c r="G3906" s="522"/>
      <c r="H3906" s="707"/>
      <c r="I3906" s="707">
        <f t="shared" si="120"/>
        <v>0</v>
      </c>
      <c r="J3906" s="707">
        <f t="shared" si="121"/>
        <v>0</v>
      </c>
      <c r="K3906" s="70"/>
    </row>
    <row r="3907" spans="1:11" ht="24" customHeight="1">
      <c r="A3907" s="33" t="s">
        <v>3428</v>
      </c>
      <c r="B3907" s="33" t="s">
        <v>3429</v>
      </c>
      <c r="C3907" s="33">
        <v>3</v>
      </c>
      <c r="D3907" s="65" t="s">
        <v>3348</v>
      </c>
      <c r="E3907" s="33">
        <v>5</v>
      </c>
      <c r="F3907" s="33"/>
      <c r="G3907" s="522"/>
      <c r="H3907" s="707"/>
      <c r="I3907" s="707">
        <f t="shared" ref="I3907:I3970" si="122">H3907 * 1.15</f>
        <v>0</v>
      </c>
      <c r="J3907" s="707">
        <f t="shared" ref="J3907:J3970" si="123">H3907 * 1.3</f>
        <v>0</v>
      </c>
      <c r="K3907" s="70"/>
    </row>
    <row r="3908" spans="1:11" ht="24" customHeight="1">
      <c r="A3908" s="724" t="s">
        <v>2212</v>
      </c>
      <c r="B3908" s="222" t="s">
        <v>2205</v>
      </c>
      <c r="C3908" s="33">
        <v>1</v>
      </c>
      <c r="D3908" s="33" t="s">
        <v>2191</v>
      </c>
      <c r="E3908" s="33">
        <v>4</v>
      </c>
      <c r="F3908" s="33"/>
      <c r="G3908" s="522"/>
      <c r="H3908" s="707"/>
      <c r="I3908" s="707">
        <f t="shared" si="122"/>
        <v>0</v>
      </c>
      <c r="J3908" s="707">
        <f t="shared" si="123"/>
        <v>0</v>
      </c>
      <c r="K3908" s="70"/>
    </row>
    <row r="3909" spans="1:11" ht="24" customHeight="1">
      <c r="A3909" s="674" t="s">
        <v>2437</v>
      </c>
      <c r="B3909" s="431" t="s">
        <v>272</v>
      </c>
      <c r="C3909" s="74">
        <v>1</v>
      </c>
      <c r="D3909" s="33" t="s">
        <v>2363</v>
      </c>
      <c r="E3909" s="33">
        <v>5</v>
      </c>
      <c r="F3909" s="33"/>
      <c r="G3909" s="522"/>
      <c r="H3909" s="707"/>
      <c r="I3909" s="707">
        <f t="shared" si="122"/>
        <v>0</v>
      </c>
      <c r="J3909" s="707">
        <f t="shared" si="123"/>
        <v>0</v>
      </c>
      <c r="K3909" s="70"/>
    </row>
    <row r="3910" spans="1:11" ht="24" customHeight="1">
      <c r="A3910" s="33" t="s">
        <v>2669</v>
      </c>
      <c r="B3910" s="33" t="s">
        <v>2670</v>
      </c>
      <c r="C3910" s="33">
        <v>26</v>
      </c>
      <c r="D3910" s="33" t="s">
        <v>2624</v>
      </c>
      <c r="E3910" s="33">
        <v>4</v>
      </c>
      <c r="F3910" s="33"/>
      <c r="G3910" s="522"/>
      <c r="H3910" s="707">
        <v>2</v>
      </c>
      <c r="I3910" s="707">
        <f t="shared" si="122"/>
        <v>2.2999999999999998</v>
      </c>
      <c r="J3910" s="707">
        <f t="shared" si="123"/>
        <v>2.6</v>
      </c>
      <c r="K3910" s="70"/>
    </row>
    <row r="3911" spans="1:11" ht="24" customHeight="1">
      <c r="A3911" s="33" t="s">
        <v>1857</v>
      </c>
      <c r="B3911" s="33" t="s">
        <v>1858</v>
      </c>
      <c r="C3911" s="33">
        <v>0</v>
      </c>
      <c r="D3911" s="2" t="s">
        <v>1785</v>
      </c>
      <c r="E3911" s="33">
        <v>2</v>
      </c>
      <c r="F3911" s="33"/>
      <c r="G3911" s="33"/>
      <c r="H3911" s="707"/>
      <c r="I3911" s="707">
        <f t="shared" si="122"/>
        <v>0</v>
      </c>
      <c r="J3911" s="707">
        <f t="shared" si="123"/>
        <v>0</v>
      </c>
      <c r="K3911" s="70" t="s">
        <v>8065</v>
      </c>
    </row>
    <row r="3912" spans="1:11" ht="24" customHeight="1">
      <c r="A3912" s="11" t="s">
        <v>3087</v>
      </c>
      <c r="B3912" s="34" t="s">
        <v>3088</v>
      </c>
      <c r="C3912" s="11">
        <v>1</v>
      </c>
      <c r="D3912" s="33" t="s">
        <v>3053</v>
      </c>
      <c r="E3912" s="17">
        <v>2</v>
      </c>
      <c r="F3912" s="17"/>
      <c r="G3912" s="687"/>
      <c r="H3912" s="707"/>
      <c r="I3912" s="707">
        <f t="shared" si="122"/>
        <v>0</v>
      </c>
      <c r="J3912" s="707">
        <f t="shared" si="123"/>
        <v>0</v>
      </c>
      <c r="K3912" s="70"/>
    </row>
    <row r="3913" spans="1:11" ht="24" customHeight="1">
      <c r="A3913" s="11" t="s">
        <v>3087</v>
      </c>
      <c r="B3913" s="34" t="s">
        <v>3089</v>
      </c>
      <c r="C3913" s="11">
        <v>1</v>
      </c>
      <c r="D3913" s="33" t="s">
        <v>3053</v>
      </c>
      <c r="E3913" s="17">
        <v>2</v>
      </c>
      <c r="F3913" s="17"/>
      <c r="G3913" s="687"/>
      <c r="H3913" s="707"/>
      <c r="I3913" s="707">
        <f t="shared" si="122"/>
        <v>0</v>
      </c>
      <c r="J3913" s="707">
        <f t="shared" si="123"/>
        <v>0</v>
      </c>
      <c r="K3913" s="70"/>
    </row>
    <row r="3914" spans="1:11" ht="24" customHeight="1">
      <c r="A3914" s="33" t="s">
        <v>1053</v>
      </c>
      <c r="B3914" s="33" t="s">
        <v>1054</v>
      </c>
      <c r="C3914" s="33">
        <v>2</v>
      </c>
      <c r="D3914" s="33" t="s">
        <v>992</v>
      </c>
      <c r="E3914" s="33">
        <v>4</v>
      </c>
      <c r="F3914" s="33"/>
      <c r="G3914" s="522"/>
      <c r="H3914" s="707"/>
      <c r="I3914" s="707">
        <f t="shared" si="122"/>
        <v>0</v>
      </c>
      <c r="J3914" s="707">
        <f t="shared" si="123"/>
        <v>0</v>
      </c>
      <c r="K3914" s="70"/>
    </row>
    <row r="3915" spans="1:11" ht="24" customHeight="1">
      <c r="A3915" s="242" t="s">
        <v>3146</v>
      </c>
      <c r="B3915" s="8" t="s">
        <v>272</v>
      </c>
      <c r="C3915" s="11">
        <v>1</v>
      </c>
      <c r="D3915" s="33" t="s">
        <v>3053</v>
      </c>
      <c r="E3915" s="33">
        <v>3</v>
      </c>
      <c r="F3915" s="33"/>
      <c r="G3915" s="522"/>
      <c r="H3915" s="707"/>
      <c r="I3915" s="707">
        <f t="shared" si="122"/>
        <v>0</v>
      </c>
      <c r="J3915" s="707">
        <f t="shared" si="123"/>
        <v>0</v>
      </c>
      <c r="K3915" s="70"/>
    </row>
    <row r="3916" spans="1:11" ht="24" customHeight="1">
      <c r="A3916" s="674" t="s">
        <v>2476</v>
      </c>
      <c r="B3916" s="431" t="s">
        <v>272</v>
      </c>
      <c r="C3916" s="74">
        <v>1</v>
      </c>
      <c r="D3916" s="33" t="s">
        <v>2363</v>
      </c>
      <c r="E3916" s="33">
        <v>5</v>
      </c>
      <c r="F3916" s="33"/>
      <c r="G3916" s="522"/>
      <c r="H3916" s="707"/>
      <c r="I3916" s="707">
        <f t="shared" si="122"/>
        <v>0</v>
      </c>
      <c r="J3916" s="707">
        <f t="shared" si="123"/>
        <v>0</v>
      </c>
      <c r="K3916" s="70"/>
    </row>
    <row r="3917" spans="1:11" ht="24" customHeight="1">
      <c r="A3917" s="33" t="s">
        <v>2646</v>
      </c>
      <c r="B3917" s="33" t="s">
        <v>2647</v>
      </c>
      <c r="C3917" s="33">
        <v>95</v>
      </c>
      <c r="D3917" s="33" t="s">
        <v>2624</v>
      </c>
      <c r="E3917" s="33">
        <v>4</v>
      </c>
      <c r="F3917" s="33"/>
      <c r="G3917" s="522"/>
      <c r="H3917" s="707"/>
      <c r="I3917" s="707">
        <f t="shared" si="122"/>
        <v>0</v>
      </c>
      <c r="J3917" s="707">
        <f t="shared" si="123"/>
        <v>0</v>
      </c>
      <c r="K3917" s="70"/>
    </row>
    <row r="3918" spans="1:11" ht="24" customHeight="1">
      <c r="A3918" s="2" t="s">
        <v>55</v>
      </c>
      <c r="B3918" s="2" t="s">
        <v>56</v>
      </c>
      <c r="C3918" s="2">
        <v>10</v>
      </c>
      <c r="D3918" s="2" t="s">
        <v>11</v>
      </c>
      <c r="E3918" s="33">
        <v>1</v>
      </c>
      <c r="F3918" s="33"/>
      <c r="G3918" s="522"/>
      <c r="H3918" s="707">
        <v>3</v>
      </c>
      <c r="I3918" s="707">
        <f t="shared" si="122"/>
        <v>3.4499999999999997</v>
      </c>
      <c r="J3918" s="707">
        <f t="shared" si="123"/>
        <v>3.9000000000000004</v>
      </c>
      <c r="K3918" s="70"/>
    </row>
    <row r="3919" spans="1:11" ht="24" customHeight="1">
      <c r="A3919" s="2" t="s">
        <v>66</v>
      </c>
      <c r="B3919" s="2" t="s">
        <v>56</v>
      </c>
      <c r="C3919" s="2">
        <v>20</v>
      </c>
      <c r="D3919" s="2" t="s">
        <v>11</v>
      </c>
      <c r="E3919" s="33">
        <v>1</v>
      </c>
      <c r="F3919" s="33"/>
      <c r="G3919" s="522"/>
      <c r="H3919" s="707"/>
      <c r="I3919" s="707">
        <f t="shared" si="122"/>
        <v>0</v>
      </c>
      <c r="J3919" s="707">
        <f t="shared" si="123"/>
        <v>0</v>
      </c>
      <c r="K3919" s="70"/>
    </row>
    <row r="3920" spans="1:11" ht="24" customHeight="1">
      <c r="A3920" s="4" t="s">
        <v>62</v>
      </c>
      <c r="B3920" s="2" t="s">
        <v>56</v>
      </c>
      <c r="C3920" s="2">
        <v>18</v>
      </c>
      <c r="D3920" s="2" t="s">
        <v>11</v>
      </c>
      <c r="E3920" s="33">
        <v>1</v>
      </c>
      <c r="F3920" s="33"/>
      <c r="G3920" s="522"/>
      <c r="H3920" s="707"/>
      <c r="I3920" s="707">
        <f t="shared" si="122"/>
        <v>0</v>
      </c>
      <c r="J3920" s="707">
        <f t="shared" si="123"/>
        <v>0</v>
      </c>
      <c r="K3920" s="70"/>
    </row>
    <row r="3921" spans="1:11" ht="24" customHeight="1">
      <c r="A3921" s="33" t="s">
        <v>527</v>
      </c>
      <c r="B3921" s="33" t="s">
        <v>56</v>
      </c>
      <c r="C3921" s="33">
        <v>5</v>
      </c>
      <c r="D3921" s="2" t="s">
        <v>274</v>
      </c>
      <c r="E3921" s="33">
        <v>3</v>
      </c>
      <c r="F3921" s="33"/>
      <c r="G3921" s="522"/>
      <c r="H3921" s="707">
        <v>2</v>
      </c>
      <c r="I3921" s="707">
        <f t="shared" si="122"/>
        <v>2.2999999999999998</v>
      </c>
      <c r="J3921" s="707">
        <f t="shared" si="123"/>
        <v>2.6</v>
      </c>
      <c r="K3921" s="70"/>
    </row>
    <row r="3922" spans="1:11" ht="24" customHeight="1">
      <c r="A3922" s="2" t="s">
        <v>60</v>
      </c>
      <c r="B3922" s="2" t="s">
        <v>56</v>
      </c>
      <c r="C3922" s="2">
        <v>10</v>
      </c>
      <c r="D3922" s="2" t="s">
        <v>11</v>
      </c>
      <c r="E3922" s="33">
        <v>1</v>
      </c>
      <c r="F3922" s="33"/>
      <c r="G3922" s="522"/>
      <c r="H3922" s="707"/>
      <c r="I3922" s="707">
        <f t="shared" si="122"/>
        <v>0</v>
      </c>
      <c r="J3922" s="707">
        <f t="shared" si="123"/>
        <v>0</v>
      </c>
      <c r="K3922" s="70"/>
    </row>
    <row r="3923" spans="1:11" ht="24" customHeight="1">
      <c r="A3923" s="2" t="s">
        <v>73</v>
      </c>
      <c r="B3923" s="2" t="s">
        <v>56</v>
      </c>
      <c r="C3923" s="2">
        <v>10</v>
      </c>
      <c r="D3923" s="2" t="s">
        <v>11</v>
      </c>
      <c r="E3923" s="33">
        <v>1</v>
      </c>
      <c r="F3923" s="33"/>
      <c r="G3923" s="522"/>
      <c r="H3923" s="707"/>
      <c r="I3923" s="707">
        <f t="shared" si="122"/>
        <v>0</v>
      </c>
      <c r="J3923" s="707">
        <f t="shared" si="123"/>
        <v>0</v>
      </c>
      <c r="K3923" s="70"/>
    </row>
    <row r="3924" spans="1:11" ht="24" customHeight="1">
      <c r="A3924" s="33" t="s">
        <v>2582</v>
      </c>
      <c r="B3924" s="33" t="s">
        <v>56</v>
      </c>
      <c r="C3924" s="33">
        <v>3</v>
      </c>
      <c r="D3924" s="33" t="s">
        <v>2540</v>
      </c>
      <c r="E3924" s="33">
        <v>2</v>
      </c>
      <c r="F3924" s="33"/>
      <c r="G3924" s="522"/>
      <c r="H3924" s="707"/>
      <c r="I3924" s="707">
        <f t="shared" si="122"/>
        <v>0</v>
      </c>
      <c r="J3924" s="707">
        <f t="shared" si="123"/>
        <v>0</v>
      </c>
      <c r="K3924" s="70"/>
    </row>
    <row r="3925" spans="1:11" ht="24" customHeight="1">
      <c r="A3925" s="2" t="s">
        <v>799</v>
      </c>
      <c r="B3925" s="2" t="s">
        <v>56</v>
      </c>
      <c r="C3925" s="2">
        <v>4</v>
      </c>
      <c r="D3925" s="2" t="s">
        <v>593</v>
      </c>
      <c r="E3925" s="33">
        <v>3</v>
      </c>
      <c r="F3925" s="33"/>
      <c r="G3925" s="522"/>
      <c r="H3925" s="707"/>
      <c r="I3925" s="707">
        <f t="shared" si="122"/>
        <v>0</v>
      </c>
      <c r="J3925" s="707">
        <f t="shared" si="123"/>
        <v>0</v>
      </c>
      <c r="K3925" s="70"/>
    </row>
    <row r="3926" spans="1:11" ht="24" customHeight="1">
      <c r="A3926" s="74" t="s">
        <v>1086</v>
      </c>
      <c r="B3926" s="74" t="s">
        <v>56</v>
      </c>
      <c r="C3926" s="74">
        <v>24</v>
      </c>
      <c r="D3926" s="33" t="s">
        <v>992</v>
      </c>
      <c r="E3926" s="33">
        <v>5</v>
      </c>
      <c r="F3926" s="33"/>
      <c r="G3926" s="522"/>
      <c r="H3926" s="707"/>
      <c r="I3926" s="707">
        <f t="shared" si="122"/>
        <v>0</v>
      </c>
      <c r="J3926" s="707">
        <f t="shared" si="123"/>
        <v>0</v>
      </c>
      <c r="K3926" s="70"/>
    </row>
    <row r="3927" spans="1:11" ht="24" customHeight="1">
      <c r="A3927" s="33" t="s">
        <v>3112</v>
      </c>
      <c r="B3927" s="33" t="s">
        <v>558</v>
      </c>
      <c r="C3927" s="33">
        <v>4</v>
      </c>
      <c r="D3927" s="33" t="s">
        <v>3053</v>
      </c>
      <c r="E3927" s="33">
        <v>3</v>
      </c>
      <c r="F3927" s="33"/>
      <c r="G3927" s="522"/>
      <c r="H3927" s="707"/>
      <c r="I3927" s="707">
        <f t="shared" si="122"/>
        <v>0</v>
      </c>
      <c r="J3927" s="707">
        <f t="shared" si="123"/>
        <v>0</v>
      </c>
      <c r="K3927" s="70"/>
    </row>
    <row r="3928" spans="1:11" ht="24" customHeight="1">
      <c r="A3928" s="33" t="s">
        <v>1208</v>
      </c>
      <c r="B3928" s="33" t="s">
        <v>27</v>
      </c>
      <c r="C3928" s="33">
        <v>16</v>
      </c>
      <c r="D3928" s="33" t="s">
        <v>1201</v>
      </c>
      <c r="E3928" s="33">
        <v>3</v>
      </c>
      <c r="F3928" s="33"/>
      <c r="G3928" s="522"/>
      <c r="H3928" s="707"/>
      <c r="I3928" s="707">
        <f t="shared" si="122"/>
        <v>0</v>
      </c>
      <c r="J3928" s="707">
        <f t="shared" si="123"/>
        <v>0</v>
      </c>
      <c r="K3928" s="70"/>
    </row>
    <row r="3929" spans="1:11" ht="24" customHeight="1">
      <c r="A3929" s="2" t="s">
        <v>3726</v>
      </c>
      <c r="B3929" s="2" t="s">
        <v>56</v>
      </c>
      <c r="C3929" s="2">
        <v>1</v>
      </c>
      <c r="D3929" s="2" t="s">
        <v>3705</v>
      </c>
      <c r="E3929" s="33">
        <v>2</v>
      </c>
      <c r="F3929" s="33"/>
      <c r="G3929" s="522"/>
      <c r="H3929" s="707"/>
      <c r="I3929" s="707">
        <f t="shared" si="122"/>
        <v>0</v>
      </c>
      <c r="J3929" s="707">
        <f t="shared" si="123"/>
        <v>0</v>
      </c>
      <c r="K3929" s="55"/>
    </row>
    <row r="3930" spans="1:11" ht="24" customHeight="1">
      <c r="A3930" s="33" t="s">
        <v>230</v>
      </c>
      <c r="B3930" s="33" t="s">
        <v>231</v>
      </c>
      <c r="C3930" s="33">
        <v>3</v>
      </c>
      <c r="D3930" s="2" t="s">
        <v>188</v>
      </c>
      <c r="E3930" s="33">
        <v>4</v>
      </c>
      <c r="F3930" s="33"/>
      <c r="G3930" s="522"/>
      <c r="H3930" s="707"/>
      <c r="I3930" s="707">
        <f t="shared" si="122"/>
        <v>0</v>
      </c>
      <c r="J3930" s="707">
        <f t="shared" si="123"/>
        <v>0</v>
      </c>
      <c r="K3930" s="70"/>
    </row>
    <row r="3931" spans="1:11" ht="24" customHeight="1">
      <c r="A3931" s="59" t="s">
        <v>2985</v>
      </c>
      <c r="B3931" s="59" t="s">
        <v>2986</v>
      </c>
      <c r="C3931" s="59">
        <v>1</v>
      </c>
      <c r="D3931" s="71" t="s">
        <v>2947</v>
      </c>
      <c r="E3931" s="354">
        <v>5</v>
      </c>
      <c r="F3931" s="354"/>
      <c r="G3931" s="688"/>
      <c r="H3931" s="707"/>
      <c r="I3931" s="707">
        <f t="shared" si="122"/>
        <v>0</v>
      </c>
      <c r="J3931" s="707">
        <f t="shared" si="123"/>
        <v>0</v>
      </c>
      <c r="K3931" s="70"/>
    </row>
    <row r="3932" spans="1:11" ht="24" customHeight="1">
      <c r="A3932" s="33" t="s">
        <v>1085</v>
      </c>
      <c r="B3932" s="33" t="s">
        <v>19</v>
      </c>
      <c r="C3932" s="2">
        <v>4</v>
      </c>
      <c r="D3932" s="33" t="s">
        <v>992</v>
      </c>
      <c r="E3932" s="33">
        <v>4</v>
      </c>
      <c r="F3932" s="33"/>
      <c r="G3932" s="522"/>
      <c r="H3932" s="707"/>
      <c r="I3932" s="707">
        <f t="shared" si="122"/>
        <v>0</v>
      </c>
      <c r="J3932" s="707">
        <f t="shared" si="123"/>
        <v>0</v>
      </c>
      <c r="K3932" s="70"/>
    </row>
    <row r="3933" spans="1:11" ht="24" customHeight="1">
      <c r="A3933" s="33" t="s">
        <v>2552</v>
      </c>
      <c r="B3933" s="33" t="s">
        <v>19</v>
      </c>
      <c r="C3933" s="33">
        <v>4</v>
      </c>
      <c r="D3933" s="33" t="s">
        <v>2540</v>
      </c>
      <c r="E3933" s="33">
        <v>1</v>
      </c>
      <c r="F3933" s="33"/>
      <c r="G3933" s="522"/>
      <c r="H3933" s="707"/>
      <c r="I3933" s="707">
        <f t="shared" si="122"/>
        <v>0</v>
      </c>
      <c r="J3933" s="707">
        <f t="shared" si="123"/>
        <v>0</v>
      </c>
      <c r="K3933" s="70"/>
    </row>
    <row r="3934" spans="1:11" ht="24" customHeight="1">
      <c r="A3934" s="33" t="s">
        <v>950</v>
      </c>
      <c r="B3934" s="33" t="s">
        <v>19</v>
      </c>
      <c r="C3934" s="33">
        <v>292</v>
      </c>
      <c r="D3934" s="33" t="s">
        <v>910</v>
      </c>
      <c r="E3934" s="33">
        <v>2</v>
      </c>
      <c r="F3934" s="33"/>
      <c r="G3934" s="522"/>
      <c r="H3934" s="707"/>
      <c r="I3934" s="707">
        <f t="shared" si="122"/>
        <v>0</v>
      </c>
      <c r="J3934" s="707">
        <f t="shared" si="123"/>
        <v>0</v>
      </c>
      <c r="K3934" s="70"/>
    </row>
    <row r="3935" spans="1:11" ht="24" customHeight="1">
      <c r="A3935" s="33" t="s">
        <v>1262</v>
      </c>
      <c r="B3935" s="33" t="s">
        <v>19</v>
      </c>
      <c r="C3935" s="33">
        <v>50</v>
      </c>
      <c r="D3935" s="33" t="s">
        <v>1201</v>
      </c>
      <c r="E3935" s="33">
        <v>4</v>
      </c>
      <c r="F3935" s="33"/>
      <c r="G3935" s="522"/>
      <c r="H3935" s="707"/>
      <c r="I3935" s="707">
        <f t="shared" si="122"/>
        <v>0</v>
      </c>
      <c r="J3935" s="707">
        <f t="shared" si="123"/>
        <v>0</v>
      </c>
      <c r="K3935" s="70"/>
    </row>
    <row r="3936" spans="1:11" ht="24" customHeight="1">
      <c r="A3936" s="33" t="s">
        <v>939</v>
      </c>
      <c r="B3936" s="33" t="s">
        <v>19</v>
      </c>
      <c r="C3936" s="33">
        <v>14</v>
      </c>
      <c r="D3936" s="33" t="s">
        <v>910</v>
      </c>
      <c r="E3936" s="33">
        <v>1</v>
      </c>
      <c r="F3936" s="33"/>
      <c r="G3936" s="522"/>
      <c r="H3936" s="711"/>
      <c r="I3936" s="711">
        <f t="shared" si="122"/>
        <v>0</v>
      </c>
      <c r="J3936" s="711">
        <f t="shared" si="123"/>
        <v>0</v>
      </c>
      <c r="K3936" s="70"/>
    </row>
    <row r="3937" spans="1:11" ht="24" customHeight="1">
      <c r="A3937" s="33" t="s">
        <v>2966</v>
      </c>
      <c r="B3937" s="33" t="s">
        <v>19</v>
      </c>
      <c r="C3937" s="33">
        <v>22</v>
      </c>
      <c r="D3937" s="71" t="s">
        <v>2947</v>
      </c>
      <c r="E3937" s="33">
        <v>4</v>
      </c>
      <c r="F3937" s="33"/>
      <c r="G3937" s="522"/>
      <c r="H3937" s="707"/>
      <c r="I3937" s="707">
        <f t="shared" si="122"/>
        <v>0</v>
      </c>
      <c r="J3937" s="707">
        <f t="shared" si="123"/>
        <v>0</v>
      </c>
      <c r="K3937" s="70"/>
    </row>
    <row r="3938" spans="1:11" ht="24" customHeight="1">
      <c r="A3938" s="2" t="s">
        <v>3728</v>
      </c>
      <c r="B3938" s="2" t="s">
        <v>81</v>
      </c>
      <c r="C3938" s="2">
        <v>8</v>
      </c>
      <c r="D3938" s="2" t="s">
        <v>3705</v>
      </c>
      <c r="E3938" s="33">
        <v>3</v>
      </c>
      <c r="F3938" s="33"/>
      <c r="G3938" s="522"/>
      <c r="H3938" s="707"/>
      <c r="I3938" s="707">
        <f t="shared" si="122"/>
        <v>0</v>
      </c>
      <c r="J3938" s="707">
        <f t="shared" si="123"/>
        <v>0</v>
      </c>
      <c r="K3938" s="55"/>
    </row>
    <row r="3939" spans="1:11" ht="24" customHeight="1">
      <c r="A3939" s="33" t="s">
        <v>32</v>
      </c>
      <c r="B3939" s="33" t="s">
        <v>10</v>
      </c>
      <c r="C3939" s="33">
        <v>2</v>
      </c>
      <c r="D3939" s="2" t="s">
        <v>11</v>
      </c>
      <c r="E3939" s="33">
        <v>1</v>
      </c>
      <c r="F3939" s="33"/>
      <c r="G3939" s="522"/>
      <c r="H3939" s="707"/>
      <c r="I3939" s="707">
        <f t="shared" si="122"/>
        <v>0</v>
      </c>
      <c r="J3939" s="707">
        <f t="shared" si="123"/>
        <v>0</v>
      </c>
      <c r="K3939" s="70"/>
    </row>
    <row r="3940" spans="1:11" ht="24" customHeight="1">
      <c r="A3940" s="59" t="s">
        <v>2690</v>
      </c>
      <c r="B3940" s="59" t="s">
        <v>56</v>
      </c>
      <c r="C3940" s="59">
        <v>12</v>
      </c>
      <c r="D3940" s="33" t="s">
        <v>2624</v>
      </c>
      <c r="E3940" s="354">
        <v>5</v>
      </c>
      <c r="F3940" s="354"/>
      <c r="G3940" s="688"/>
      <c r="H3940" s="707"/>
      <c r="I3940" s="707">
        <f t="shared" si="122"/>
        <v>0</v>
      </c>
      <c r="J3940" s="707">
        <f t="shared" si="123"/>
        <v>0</v>
      </c>
      <c r="K3940" s="70"/>
    </row>
    <row r="3941" spans="1:11" ht="24" customHeight="1">
      <c r="A3941" s="33" t="s">
        <v>525</v>
      </c>
      <c r="B3941" s="33" t="s">
        <v>83</v>
      </c>
      <c r="C3941" s="33">
        <v>3</v>
      </c>
      <c r="D3941" s="2" t="s">
        <v>274</v>
      </c>
      <c r="E3941" s="33">
        <v>3</v>
      </c>
      <c r="F3941" s="33"/>
      <c r="G3941" s="522"/>
      <c r="H3941" s="707"/>
      <c r="I3941" s="707">
        <f t="shared" si="122"/>
        <v>0</v>
      </c>
      <c r="J3941" s="707">
        <f t="shared" si="123"/>
        <v>0</v>
      </c>
      <c r="K3941" s="70"/>
    </row>
    <row r="3942" spans="1:11" ht="24" customHeight="1">
      <c r="A3942" s="2" t="s">
        <v>3718</v>
      </c>
      <c r="B3942" s="2" t="s">
        <v>3719</v>
      </c>
      <c r="C3942" s="2">
        <v>1</v>
      </c>
      <c r="D3942" s="2" t="s">
        <v>3705</v>
      </c>
      <c r="E3942" s="33">
        <v>2</v>
      </c>
      <c r="F3942" s="33"/>
      <c r="G3942" s="522"/>
      <c r="H3942" s="707"/>
      <c r="I3942" s="707">
        <f t="shared" si="122"/>
        <v>0</v>
      </c>
      <c r="J3942" s="707">
        <f t="shared" si="123"/>
        <v>0</v>
      </c>
      <c r="K3942" s="55"/>
    </row>
    <row r="3943" spans="1:11" ht="24" customHeight="1">
      <c r="A3943" s="33" t="s">
        <v>1288</v>
      </c>
      <c r="B3943" s="33" t="s">
        <v>83</v>
      </c>
      <c r="C3943" s="33">
        <v>1</v>
      </c>
      <c r="D3943" s="33" t="s">
        <v>1201</v>
      </c>
      <c r="E3943" s="33">
        <v>4</v>
      </c>
      <c r="F3943" s="33"/>
      <c r="G3943" s="522"/>
      <c r="H3943" s="707"/>
      <c r="I3943" s="707">
        <f t="shared" si="122"/>
        <v>0</v>
      </c>
      <c r="J3943" s="707">
        <f t="shared" si="123"/>
        <v>0</v>
      </c>
      <c r="K3943" s="70"/>
    </row>
    <row r="3944" spans="1:11" ht="24" customHeight="1">
      <c r="A3944" s="33" t="s">
        <v>1238</v>
      </c>
      <c r="B3944" s="33" t="s">
        <v>474</v>
      </c>
      <c r="C3944" s="33">
        <v>24</v>
      </c>
      <c r="D3944" s="33" t="s">
        <v>1201</v>
      </c>
      <c r="E3944" s="33">
        <v>4</v>
      </c>
      <c r="F3944" s="33"/>
      <c r="G3944" s="522"/>
      <c r="H3944" s="707"/>
      <c r="I3944" s="707">
        <f t="shared" si="122"/>
        <v>0</v>
      </c>
      <c r="J3944" s="707">
        <f t="shared" si="123"/>
        <v>0</v>
      </c>
      <c r="K3944" s="70"/>
    </row>
    <row r="3945" spans="1:11" ht="24" customHeight="1">
      <c r="A3945" s="33" t="s">
        <v>952</v>
      </c>
      <c r="B3945" s="33" t="s">
        <v>474</v>
      </c>
      <c r="C3945" s="33">
        <v>2</v>
      </c>
      <c r="D3945" s="33" t="s">
        <v>910</v>
      </c>
      <c r="E3945" s="33">
        <v>2</v>
      </c>
      <c r="F3945" s="33"/>
      <c r="G3945" s="522"/>
      <c r="H3945" s="707"/>
      <c r="I3945" s="707">
        <f t="shared" si="122"/>
        <v>0</v>
      </c>
      <c r="J3945" s="707">
        <f t="shared" si="123"/>
        <v>0</v>
      </c>
      <c r="K3945" s="70"/>
    </row>
    <row r="3946" spans="1:11" ht="24" customHeight="1">
      <c r="A3946" s="11" t="s">
        <v>3156</v>
      </c>
      <c r="B3946" s="34" t="s">
        <v>213</v>
      </c>
      <c r="C3946" s="11">
        <v>25</v>
      </c>
      <c r="D3946" s="33" t="s">
        <v>3053</v>
      </c>
      <c r="E3946" s="33">
        <v>3</v>
      </c>
      <c r="F3946" s="33"/>
      <c r="G3946" s="522"/>
      <c r="H3946" s="707"/>
      <c r="I3946" s="707">
        <f t="shared" si="122"/>
        <v>0</v>
      </c>
      <c r="J3946" s="707">
        <f t="shared" si="123"/>
        <v>0</v>
      </c>
      <c r="K3946" s="70"/>
    </row>
    <row r="3947" spans="1:11" ht="24" customHeight="1">
      <c r="A3947" s="33" t="s">
        <v>3316</v>
      </c>
      <c r="B3947" s="33" t="s">
        <v>115</v>
      </c>
      <c r="C3947" s="33">
        <v>1</v>
      </c>
      <c r="D3947" s="33" t="s">
        <v>3279</v>
      </c>
      <c r="E3947" s="33">
        <v>4</v>
      </c>
      <c r="F3947" s="33"/>
      <c r="G3947" s="522"/>
      <c r="H3947" s="707"/>
      <c r="I3947" s="707">
        <f t="shared" si="122"/>
        <v>0</v>
      </c>
      <c r="J3947" s="707">
        <f t="shared" si="123"/>
        <v>0</v>
      </c>
      <c r="K3947" s="70"/>
    </row>
    <row r="3948" spans="1:11" ht="24" customHeight="1">
      <c r="A3948" s="33" t="s">
        <v>2958</v>
      </c>
      <c r="B3948" s="33" t="s">
        <v>115</v>
      </c>
      <c r="C3948" s="33">
        <v>2</v>
      </c>
      <c r="D3948" s="71" t="s">
        <v>2947</v>
      </c>
      <c r="E3948" s="33">
        <v>4</v>
      </c>
      <c r="F3948" s="33"/>
      <c r="G3948" s="522"/>
      <c r="H3948" s="707"/>
      <c r="I3948" s="707">
        <f t="shared" si="122"/>
        <v>0</v>
      </c>
      <c r="J3948" s="707">
        <f t="shared" si="123"/>
        <v>0</v>
      </c>
      <c r="K3948" s="70"/>
    </row>
    <row r="3949" spans="1:11" ht="24" customHeight="1">
      <c r="A3949" s="33" t="s">
        <v>1957</v>
      </c>
      <c r="B3949" s="33" t="s">
        <v>115</v>
      </c>
      <c r="C3949" s="33">
        <v>1</v>
      </c>
      <c r="D3949" s="33" t="s">
        <v>1938</v>
      </c>
      <c r="E3949" s="33">
        <v>1</v>
      </c>
      <c r="F3949" s="33"/>
      <c r="G3949" s="522"/>
      <c r="H3949" s="707"/>
      <c r="I3949" s="707">
        <f t="shared" si="122"/>
        <v>0</v>
      </c>
      <c r="J3949" s="707">
        <f t="shared" si="123"/>
        <v>0</v>
      </c>
      <c r="K3949" s="70"/>
    </row>
    <row r="3950" spans="1:11" ht="24" customHeight="1">
      <c r="A3950" s="33" t="s">
        <v>1162</v>
      </c>
      <c r="B3950" s="33" t="s">
        <v>115</v>
      </c>
      <c r="C3950" s="33">
        <v>1</v>
      </c>
      <c r="D3950" s="33" t="s">
        <v>1141</v>
      </c>
      <c r="E3950" s="33">
        <v>1</v>
      </c>
      <c r="F3950" s="33"/>
      <c r="G3950" s="522"/>
      <c r="H3950" s="707"/>
      <c r="I3950" s="707">
        <f t="shared" si="122"/>
        <v>0</v>
      </c>
      <c r="J3950" s="707">
        <f t="shared" si="123"/>
        <v>0</v>
      </c>
      <c r="K3950" s="70"/>
    </row>
    <row r="3951" spans="1:11" ht="24" customHeight="1">
      <c r="A3951" s="33" t="s">
        <v>1162</v>
      </c>
      <c r="B3951" s="33" t="s">
        <v>115</v>
      </c>
      <c r="C3951" s="33">
        <v>1</v>
      </c>
      <c r="D3951" s="33" t="s">
        <v>1141</v>
      </c>
      <c r="E3951" s="33">
        <v>2</v>
      </c>
      <c r="F3951" s="33"/>
      <c r="G3951" s="522"/>
      <c r="H3951" s="707"/>
      <c r="I3951" s="707">
        <f t="shared" si="122"/>
        <v>0</v>
      </c>
      <c r="J3951" s="707">
        <f t="shared" si="123"/>
        <v>0</v>
      </c>
      <c r="K3951" s="70"/>
    </row>
    <row r="3952" spans="1:11" ht="24" customHeight="1">
      <c r="A3952" s="33" t="s">
        <v>2342</v>
      </c>
      <c r="B3952" s="33" t="s">
        <v>389</v>
      </c>
      <c r="C3952" s="33">
        <v>1</v>
      </c>
      <c r="D3952" s="33" t="s">
        <v>2276</v>
      </c>
      <c r="E3952" s="33">
        <v>1</v>
      </c>
      <c r="F3952" s="33"/>
      <c r="G3952" s="522"/>
      <c r="H3952" s="707"/>
      <c r="I3952" s="707">
        <f t="shared" si="122"/>
        <v>0</v>
      </c>
      <c r="J3952" s="707">
        <f t="shared" si="123"/>
        <v>0</v>
      </c>
      <c r="K3952" s="70"/>
    </row>
    <row r="3953" spans="1:11" ht="24" customHeight="1">
      <c r="A3953" s="33" t="s">
        <v>2959</v>
      </c>
      <c r="B3953" s="33" t="s">
        <v>115</v>
      </c>
      <c r="C3953" s="33">
        <v>8</v>
      </c>
      <c r="D3953" s="71" t="s">
        <v>2947</v>
      </c>
      <c r="E3953" s="33">
        <v>4</v>
      </c>
      <c r="F3953" s="33"/>
      <c r="G3953" s="522"/>
      <c r="H3953" s="707"/>
      <c r="I3953" s="707">
        <f t="shared" si="122"/>
        <v>0</v>
      </c>
      <c r="J3953" s="707">
        <f t="shared" si="123"/>
        <v>0</v>
      </c>
      <c r="K3953" s="70"/>
    </row>
    <row r="3954" spans="1:11" ht="24" customHeight="1">
      <c r="A3954" s="33" t="s">
        <v>1345</v>
      </c>
      <c r="B3954" s="33" t="s">
        <v>19</v>
      </c>
      <c r="C3954" s="33">
        <v>46</v>
      </c>
      <c r="D3954" s="33" t="s">
        <v>1325</v>
      </c>
      <c r="E3954" s="33">
        <v>1</v>
      </c>
      <c r="F3954" s="33"/>
      <c r="G3954" s="522"/>
      <c r="H3954" s="707"/>
      <c r="I3954" s="707">
        <f t="shared" si="122"/>
        <v>0</v>
      </c>
      <c r="J3954" s="707">
        <f t="shared" si="123"/>
        <v>0</v>
      </c>
      <c r="K3954" s="70"/>
    </row>
    <row r="3955" spans="1:11" ht="24" customHeight="1">
      <c r="A3955" s="33" t="s">
        <v>1537</v>
      </c>
      <c r="B3955" s="33" t="s">
        <v>10</v>
      </c>
      <c r="C3955" s="33">
        <v>13</v>
      </c>
      <c r="D3955" s="33" t="s">
        <v>1494</v>
      </c>
      <c r="E3955" s="33">
        <v>2</v>
      </c>
      <c r="F3955" s="33"/>
      <c r="G3955" s="522"/>
      <c r="H3955" s="707"/>
      <c r="I3955" s="707">
        <f t="shared" si="122"/>
        <v>0</v>
      </c>
      <c r="J3955" s="707">
        <f t="shared" si="123"/>
        <v>0</v>
      </c>
      <c r="K3955" s="70" t="s">
        <v>51</v>
      </c>
    </row>
    <row r="3956" spans="1:11" ht="24" customHeight="1">
      <c r="A3956" s="11" t="s">
        <v>3136</v>
      </c>
      <c r="B3956" s="34" t="s">
        <v>150</v>
      </c>
      <c r="C3956" s="11">
        <v>1</v>
      </c>
      <c r="D3956" s="33" t="s">
        <v>3053</v>
      </c>
      <c r="E3956" s="33">
        <v>3</v>
      </c>
      <c r="F3956" s="33"/>
      <c r="G3956" s="522"/>
      <c r="H3956" s="707"/>
      <c r="I3956" s="707">
        <f t="shared" si="122"/>
        <v>0</v>
      </c>
      <c r="J3956" s="707">
        <f t="shared" si="123"/>
        <v>0</v>
      </c>
      <c r="K3956" s="70"/>
    </row>
    <row r="3957" spans="1:11" ht="24" customHeight="1">
      <c r="A3957" s="33" t="s">
        <v>1293</v>
      </c>
      <c r="B3957" s="33" t="s">
        <v>19</v>
      </c>
      <c r="C3957" s="33">
        <v>5</v>
      </c>
      <c r="D3957" s="33" t="s">
        <v>1201</v>
      </c>
      <c r="E3957" s="33">
        <v>4</v>
      </c>
      <c r="F3957" s="33"/>
      <c r="G3957" s="522"/>
      <c r="H3957" s="707"/>
      <c r="I3957" s="707">
        <f t="shared" si="122"/>
        <v>0</v>
      </c>
      <c r="J3957" s="707">
        <f t="shared" si="123"/>
        <v>0</v>
      </c>
      <c r="K3957" s="70"/>
    </row>
    <row r="3958" spans="1:11" ht="24" customHeight="1">
      <c r="A3958" s="33" t="s">
        <v>3187</v>
      </c>
      <c r="B3958" s="71" t="s">
        <v>558</v>
      </c>
      <c r="C3958" s="71">
        <v>67</v>
      </c>
      <c r="D3958" s="33" t="s">
        <v>3053</v>
      </c>
      <c r="E3958" s="71">
        <v>4</v>
      </c>
      <c r="F3958" s="71"/>
      <c r="G3958" s="686"/>
      <c r="H3958" s="707"/>
      <c r="I3958" s="707">
        <f t="shared" si="122"/>
        <v>0</v>
      </c>
      <c r="J3958" s="707">
        <f t="shared" si="123"/>
        <v>0</v>
      </c>
      <c r="K3958" s="70"/>
    </row>
    <row r="3959" spans="1:11" ht="24" customHeight="1">
      <c r="A3959" s="33" t="s">
        <v>1264</v>
      </c>
      <c r="B3959" s="33" t="s">
        <v>43</v>
      </c>
      <c r="C3959" s="33">
        <v>16</v>
      </c>
      <c r="D3959" s="33" t="s">
        <v>1201</v>
      </c>
      <c r="E3959" s="33">
        <v>4</v>
      </c>
      <c r="F3959" s="33"/>
      <c r="G3959" s="522"/>
      <c r="H3959" s="707"/>
      <c r="I3959" s="707">
        <f t="shared" si="122"/>
        <v>0</v>
      </c>
      <c r="J3959" s="707">
        <f t="shared" si="123"/>
        <v>0</v>
      </c>
      <c r="K3959" s="70"/>
    </row>
    <row r="3960" spans="1:11" ht="24" customHeight="1">
      <c r="A3960" s="33" t="s">
        <v>2666</v>
      </c>
      <c r="B3960" s="33" t="s">
        <v>41</v>
      </c>
      <c r="C3960" s="33">
        <v>3</v>
      </c>
      <c r="D3960" s="33" t="s">
        <v>2624</v>
      </c>
      <c r="E3960" s="33">
        <v>4</v>
      </c>
      <c r="F3960" s="33"/>
      <c r="G3960" s="522"/>
      <c r="H3960" s="707"/>
      <c r="I3960" s="707">
        <f t="shared" si="122"/>
        <v>0</v>
      </c>
      <c r="J3960" s="707">
        <f t="shared" si="123"/>
        <v>0</v>
      </c>
      <c r="K3960" s="70"/>
    </row>
    <row r="3961" spans="1:11" ht="24" customHeight="1">
      <c r="A3961" s="33" t="s">
        <v>1338</v>
      </c>
      <c r="B3961" s="33" t="s">
        <v>19</v>
      </c>
      <c r="C3961" s="33">
        <v>161</v>
      </c>
      <c r="D3961" s="33" t="s">
        <v>1325</v>
      </c>
      <c r="E3961" s="33">
        <v>1</v>
      </c>
      <c r="F3961" s="33"/>
      <c r="G3961" s="522"/>
      <c r="H3961" s="707"/>
      <c r="I3961" s="707">
        <f t="shared" si="122"/>
        <v>0</v>
      </c>
      <c r="J3961" s="707">
        <f t="shared" si="123"/>
        <v>0</v>
      </c>
      <c r="K3961" s="70"/>
    </row>
    <row r="3962" spans="1:11" ht="24" customHeight="1">
      <c r="A3962" s="33" t="s">
        <v>1392</v>
      </c>
      <c r="B3962" s="33" t="s">
        <v>83</v>
      </c>
      <c r="C3962" s="33">
        <v>5</v>
      </c>
      <c r="D3962" s="33" t="s">
        <v>1372</v>
      </c>
      <c r="E3962" s="33">
        <v>3</v>
      </c>
      <c r="F3962" s="33"/>
      <c r="G3962" s="522"/>
      <c r="H3962" s="707"/>
      <c r="I3962" s="707">
        <f t="shared" si="122"/>
        <v>0</v>
      </c>
      <c r="J3962" s="707">
        <f t="shared" si="123"/>
        <v>0</v>
      </c>
      <c r="K3962" s="70"/>
    </row>
    <row r="3963" spans="1:11" ht="24" customHeight="1">
      <c r="A3963" s="2" t="s">
        <v>209</v>
      </c>
      <c r="B3963" s="2" t="s">
        <v>83</v>
      </c>
      <c r="C3963" s="2">
        <v>2</v>
      </c>
      <c r="D3963" s="2" t="s">
        <v>188</v>
      </c>
      <c r="E3963" s="33">
        <v>4</v>
      </c>
      <c r="F3963" s="33"/>
      <c r="G3963" s="522"/>
      <c r="H3963" s="707"/>
      <c r="I3963" s="707">
        <f t="shared" si="122"/>
        <v>0</v>
      </c>
      <c r="J3963" s="707">
        <f t="shared" si="123"/>
        <v>0</v>
      </c>
      <c r="K3963" s="70"/>
    </row>
    <row r="3964" spans="1:11" ht="24" customHeight="1">
      <c r="A3964" s="59" t="s">
        <v>2997</v>
      </c>
      <c r="B3964" s="59" t="s">
        <v>14</v>
      </c>
      <c r="C3964" s="59">
        <v>15</v>
      </c>
      <c r="D3964" s="71" t="s">
        <v>2947</v>
      </c>
      <c r="E3964" s="354">
        <v>5</v>
      </c>
      <c r="F3964" s="354"/>
      <c r="G3964" s="688"/>
      <c r="H3964" s="707"/>
      <c r="I3964" s="707">
        <f t="shared" si="122"/>
        <v>0</v>
      </c>
      <c r="J3964" s="707">
        <f t="shared" si="123"/>
        <v>0</v>
      </c>
      <c r="K3964" s="70" t="s">
        <v>51</v>
      </c>
    </row>
    <row r="3965" spans="1:11" ht="24" customHeight="1">
      <c r="A3965" s="17" t="s">
        <v>3520</v>
      </c>
      <c r="B3965" s="17" t="s">
        <v>1649</v>
      </c>
      <c r="C3965" s="17">
        <v>1</v>
      </c>
      <c r="D3965" s="131" t="s">
        <v>3451</v>
      </c>
      <c r="E3965" s="15">
        <v>3</v>
      </c>
      <c r="F3965" s="15"/>
      <c r="G3965" s="684"/>
      <c r="H3965" s="707"/>
      <c r="I3965" s="707">
        <f t="shared" si="122"/>
        <v>0</v>
      </c>
      <c r="J3965" s="707">
        <f t="shared" si="123"/>
        <v>0</v>
      </c>
      <c r="K3965" s="70"/>
    </row>
    <row r="3966" spans="1:11" ht="24" customHeight="1">
      <c r="A3966" s="17" t="s">
        <v>3521</v>
      </c>
      <c r="B3966" s="17" t="s">
        <v>1649</v>
      </c>
      <c r="C3966" s="17">
        <v>1</v>
      </c>
      <c r="D3966" s="131" t="s">
        <v>3451</v>
      </c>
      <c r="E3966" s="15">
        <v>3</v>
      </c>
      <c r="F3966" s="15"/>
      <c r="G3966" s="684"/>
      <c r="H3966" s="707"/>
      <c r="I3966" s="707">
        <f t="shared" si="122"/>
        <v>0</v>
      </c>
      <c r="J3966" s="707">
        <f t="shared" si="123"/>
        <v>0</v>
      </c>
      <c r="K3966" s="70"/>
    </row>
    <row r="3967" spans="1:11" ht="24" customHeight="1">
      <c r="A3967" s="17" t="s">
        <v>3522</v>
      </c>
      <c r="B3967" s="17" t="s">
        <v>1649</v>
      </c>
      <c r="C3967" s="17">
        <v>1</v>
      </c>
      <c r="D3967" s="131" t="s">
        <v>3451</v>
      </c>
      <c r="E3967" s="15">
        <v>3</v>
      </c>
      <c r="F3967" s="15"/>
      <c r="G3967" s="684"/>
      <c r="H3967" s="707"/>
      <c r="I3967" s="707">
        <f t="shared" si="122"/>
        <v>0</v>
      </c>
      <c r="J3967" s="707">
        <f t="shared" si="123"/>
        <v>0</v>
      </c>
      <c r="K3967" s="70"/>
    </row>
    <row r="3968" spans="1:11" ht="24" customHeight="1">
      <c r="A3968" s="17" t="s">
        <v>3523</v>
      </c>
      <c r="B3968" s="17" t="s">
        <v>1649</v>
      </c>
      <c r="C3968" s="17">
        <v>1</v>
      </c>
      <c r="D3968" s="131" t="s">
        <v>3451</v>
      </c>
      <c r="E3968" s="15">
        <v>3</v>
      </c>
      <c r="F3968" s="15"/>
      <c r="G3968" s="684"/>
      <c r="H3968" s="707"/>
      <c r="I3968" s="707">
        <f t="shared" si="122"/>
        <v>0</v>
      </c>
      <c r="J3968" s="707">
        <f t="shared" si="123"/>
        <v>0</v>
      </c>
      <c r="K3968" s="70"/>
    </row>
    <row r="3969" spans="1:11" ht="24" customHeight="1">
      <c r="A3969" s="17" t="s">
        <v>3524</v>
      </c>
      <c r="B3969" s="17" t="s">
        <v>1649</v>
      </c>
      <c r="C3969" s="17">
        <v>11</v>
      </c>
      <c r="D3969" s="131" t="s">
        <v>3451</v>
      </c>
      <c r="E3969" s="15">
        <v>3</v>
      </c>
      <c r="F3969" s="15"/>
      <c r="G3969" s="684"/>
      <c r="H3969" s="707"/>
      <c r="I3969" s="707">
        <f t="shared" si="122"/>
        <v>0</v>
      </c>
      <c r="J3969" s="707">
        <f t="shared" si="123"/>
        <v>0</v>
      </c>
      <c r="K3969" s="70"/>
    </row>
    <row r="3970" spans="1:11" ht="24" customHeight="1">
      <c r="A3970" s="17" t="s">
        <v>3525</v>
      </c>
      <c r="B3970" s="17" t="s">
        <v>1649</v>
      </c>
      <c r="C3970" s="17">
        <v>2</v>
      </c>
      <c r="D3970" s="131" t="s">
        <v>3451</v>
      </c>
      <c r="E3970" s="15">
        <v>3</v>
      </c>
      <c r="F3970" s="15"/>
      <c r="G3970" s="684"/>
      <c r="H3970" s="707"/>
      <c r="I3970" s="707">
        <f t="shared" si="122"/>
        <v>0</v>
      </c>
      <c r="J3970" s="707">
        <f t="shared" si="123"/>
        <v>0</v>
      </c>
      <c r="K3970" s="70"/>
    </row>
    <row r="3971" spans="1:11" ht="24" customHeight="1">
      <c r="A3971" s="17" t="s">
        <v>3526</v>
      </c>
      <c r="B3971" s="17" t="s">
        <v>1649</v>
      </c>
      <c r="C3971" s="17">
        <v>1</v>
      </c>
      <c r="D3971" s="131" t="s">
        <v>3451</v>
      </c>
      <c r="E3971" s="15">
        <v>3</v>
      </c>
      <c r="F3971" s="15"/>
      <c r="G3971" s="684"/>
      <c r="H3971" s="707"/>
      <c r="I3971" s="707">
        <f t="shared" ref="I3971:I4034" si="124">H3971 * 1.15</f>
        <v>0</v>
      </c>
      <c r="J3971" s="707">
        <f t="shared" ref="J3971:J4034" si="125">H3971 * 1.3</f>
        <v>0</v>
      </c>
      <c r="K3971" s="70"/>
    </row>
    <row r="3972" spans="1:11" ht="24" customHeight="1">
      <c r="A3972" s="74" t="s">
        <v>2436</v>
      </c>
      <c r="B3972" s="74" t="s">
        <v>272</v>
      </c>
      <c r="C3972" s="74">
        <v>2</v>
      </c>
      <c r="D3972" s="33" t="s">
        <v>2363</v>
      </c>
      <c r="E3972" s="33">
        <v>5</v>
      </c>
      <c r="F3972" s="33"/>
      <c r="G3972" s="522"/>
      <c r="H3972" s="707"/>
      <c r="I3972" s="707">
        <f t="shared" si="124"/>
        <v>0</v>
      </c>
      <c r="J3972" s="707">
        <f t="shared" si="125"/>
        <v>0</v>
      </c>
      <c r="K3972" s="70"/>
    </row>
    <row r="3973" spans="1:11" ht="24" customHeight="1">
      <c r="A3973" s="59" t="s">
        <v>2983</v>
      </c>
      <c r="B3973" s="59" t="s">
        <v>272</v>
      </c>
      <c r="C3973" s="59">
        <v>35</v>
      </c>
      <c r="D3973" s="71" t="s">
        <v>2947</v>
      </c>
      <c r="E3973" s="354">
        <v>5</v>
      </c>
      <c r="F3973" s="354"/>
      <c r="G3973" s="688"/>
      <c r="H3973" s="707"/>
      <c r="I3973" s="707">
        <f t="shared" si="124"/>
        <v>0</v>
      </c>
      <c r="J3973" s="707">
        <f t="shared" si="125"/>
        <v>0</v>
      </c>
      <c r="K3973" s="70"/>
    </row>
    <row r="3974" spans="1:11" ht="24" customHeight="1">
      <c r="A3974" s="11" t="s">
        <v>3176</v>
      </c>
      <c r="B3974" s="34" t="s">
        <v>83</v>
      </c>
      <c r="C3974" s="11">
        <v>20</v>
      </c>
      <c r="D3974" s="33" t="s">
        <v>3053</v>
      </c>
      <c r="E3974" s="33">
        <v>3</v>
      </c>
      <c r="F3974" s="33"/>
      <c r="G3974" s="522"/>
      <c r="H3974" s="707"/>
      <c r="I3974" s="707">
        <f t="shared" si="124"/>
        <v>0</v>
      </c>
      <c r="J3974" s="707">
        <f t="shared" si="125"/>
        <v>0</v>
      </c>
      <c r="K3974" s="70" t="s">
        <v>51</v>
      </c>
    </row>
    <row r="3975" spans="1:11" ht="24" customHeight="1">
      <c r="A3975" s="33" t="s">
        <v>2398</v>
      </c>
      <c r="B3975" s="33" t="s">
        <v>81</v>
      </c>
      <c r="C3975" s="33">
        <v>4</v>
      </c>
      <c r="D3975" s="33" t="s">
        <v>2363</v>
      </c>
      <c r="E3975" s="33">
        <v>4</v>
      </c>
      <c r="F3975" s="33"/>
      <c r="G3975" s="522"/>
      <c r="H3975" s="707"/>
      <c r="I3975" s="707">
        <f t="shared" si="124"/>
        <v>0</v>
      </c>
      <c r="J3975" s="707">
        <f t="shared" si="125"/>
        <v>0</v>
      </c>
      <c r="K3975" s="70" t="s">
        <v>1062</v>
      </c>
    </row>
    <row r="3976" spans="1:11" ht="24" customHeight="1">
      <c r="A3976" s="33" t="s">
        <v>2218</v>
      </c>
      <c r="B3976" s="33" t="s">
        <v>10</v>
      </c>
      <c r="C3976" s="33">
        <v>6</v>
      </c>
      <c r="D3976" s="33" t="s">
        <v>2191</v>
      </c>
      <c r="E3976" s="33">
        <v>4</v>
      </c>
      <c r="F3976" s="33"/>
      <c r="G3976" s="522"/>
      <c r="H3976" s="707"/>
      <c r="I3976" s="707">
        <f t="shared" si="124"/>
        <v>0</v>
      </c>
      <c r="J3976" s="707">
        <f t="shared" si="125"/>
        <v>0</v>
      </c>
      <c r="K3976" s="70"/>
    </row>
    <row r="3977" spans="1:11" ht="24" customHeight="1">
      <c r="A3977" s="33" t="s">
        <v>2568</v>
      </c>
      <c r="B3977" s="33" t="s">
        <v>115</v>
      </c>
      <c r="C3977" s="33">
        <v>3</v>
      </c>
      <c r="D3977" s="33" t="s">
        <v>2540</v>
      </c>
      <c r="E3977" s="33">
        <v>1</v>
      </c>
      <c r="F3977" s="33"/>
      <c r="G3977" s="522"/>
      <c r="H3977" s="707"/>
      <c r="I3977" s="707">
        <f t="shared" si="124"/>
        <v>0</v>
      </c>
      <c r="J3977" s="707">
        <f t="shared" si="125"/>
        <v>0</v>
      </c>
      <c r="K3977" s="70"/>
    </row>
    <row r="3978" spans="1:11" ht="24" customHeight="1">
      <c r="A3978" s="33" t="s">
        <v>1152</v>
      </c>
      <c r="B3978" s="33" t="s">
        <v>1016</v>
      </c>
      <c r="C3978" s="33">
        <v>1</v>
      </c>
      <c r="D3978" s="33" t="s">
        <v>1141</v>
      </c>
      <c r="E3978" s="33">
        <v>1</v>
      </c>
      <c r="F3978" s="33"/>
      <c r="G3978" s="522"/>
      <c r="H3978" s="707"/>
      <c r="I3978" s="707">
        <f t="shared" si="124"/>
        <v>0</v>
      </c>
      <c r="J3978" s="707">
        <f t="shared" si="125"/>
        <v>0</v>
      </c>
      <c r="K3978" s="70"/>
    </row>
    <row r="3979" spans="1:11" ht="24" customHeight="1">
      <c r="A3979" s="59" t="s">
        <v>2704</v>
      </c>
      <c r="B3979" s="59" t="s">
        <v>14</v>
      </c>
      <c r="C3979" s="59">
        <v>4</v>
      </c>
      <c r="D3979" s="33" t="s">
        <v>2624</v>
      </c>
      <c r="E3979" s="354">
        <v>5</v>
      </c>
      <c r="F3979" s="354"/>
      <c r="G3979" s="688"/>
      <c r="H3979" s="707"/>
      <c r="I3979" s="707">
        <f t="shared" si="124"/>
        <v>0</v>
      </c>
      <c r="J3979" s="707">
        <f t="shared" si="125"/>
        <v>0</v>
      </c>
      <c r="K3979" s="70"/>
    </row>
    <row r="3980" spans="1:11" ht="24" customHeight="1">
      <c r="A3980" s="33" t="s">
        <v>1579</v>
      </c>
      <c r="B3980" s="33" t="s">
        <v>23</v>
      </c>
      <c r="C3980" s="33">
        <v>2</v>
      </c>
      <c r="D3980" s="33" t="s">
        <v>1548</v>
      </c>
      <c r="E3980" s="33">
        <v>3</v>
      </c>
      <c r="F3980" s="33"/>
      <c r="G3980" s="522"/>
      <c r="H3980" s="707"/>
      <c r="I3980" s="707">
        <f t="shared" si="124"/>
        <v>0</v>
      </c>
      <c r="J3980" s="707">
        <f t="shared" si="125"/>
        <v>0</v>
      </c>
      <c r="K3980" s="70"/>
    </row>
    <row r="3981" spans="1:11" ht="24" customHeight="1">
      <c r="A3981" s="33" t="s">
        <v>1569</v>
      </c>
      <c r="B3981" s="33" t="s">
        <v>23</v>
      </c>
      <c r="C3981" s="33">
        <v>6</v>
      </c>
      <c r="D3981" s="33" t="s">
        <v>1548</v>
      </c>
      <c r="E3981" s="33">
        <v>3</v>
      </c>
      <c r="F3981" s="33"/>
      <c r="G3981" s="522"/>
      <c r="H3981" s="707"/>
      <c r="I3981" s="707">
        <f t="shared" si="124"/>
        <v>0</v>
      </c>
      <c r="J3981" s="707">
        <f t="shared" si="125"/>
        <v>0</v>
      </c>
      <c r="K3981" s="70"/>
    </row>
    <row r="3982" spans="1:11" ht="24" customHeight="1">
      <c r="A3982" s="33" t="s">
        <v>1574</v>
      </c>
      <c r="B3982" s="33" t="s">
        <v>23</v>
      </c>
      <c r="C3982" s="33">
        <v>1</v>
      </c>
      <c r="D3982" s="33" t="s">
        <v>1548</v>
      </c>
      <c r="E3982" s="33">
        <v>3</v>
      </c>
      <c r="F3982" s="33"/>
      <c r="G3982" s="522"/>
      <c r="H3982" s="707"/>
      <c r="I3982" s="707">
        <f t="shared" si="124"/>
        <v>0</v>
      </c>
      <c r="J3982" s="707">
        <f t="shared" si="125"/>
        <v>0</v>
      </c>
      <c r="K3982" s="70"/>
    </row>
    <row r="3983" spans="1:11" ht="24" customHeight="1">
      <c r="A3983" s="33" t="s">
        <v>1565</v>
      </c>
      <c r="B3983" s="33" t="s">
        <v>23</v>
      </c>
      <c r="C3983" s="33">
        <v>2</v>
      </c>
      <c r="D3983" s="33" t="s">
        <v>1548</v>
      </c>
      <c r="E3983" s="33">
        <v>3</v>
      </c>
      <c r="F3983" s="33"/>
      <c r="G3983" s="522"/>
      <c r="H3983" s="707"/>
      <c r="I3983" s="707">
        <f t="shared" si="124"/>
        <v>0</v>
      </c>
      <c r="J3983" s="707">
        <f t="shared" si="125"/>
        <v>0</v>
      </c>
      <c r="K3983" s="70"/>
    </row>
    <row r="3984" spans="1:11" ht="24" customHeight="1">
      <c r="A3984" s="33" t="s">
        <v>1566</v>
      </c>
      <c r="B3984" s="33" t="s">
        <v>23</v>
      </c>
      <c r="C3984" s="33">
        <v>4</v>
      </c>
      <c r="D3984" s="33" t="s">
        <v>1548</v>
      </c>
      <c r="E3984" s="33">
        <v>3</v>
      </c>
      <c r="F3984" s="33"/>
      <c r="G3984" s="522"/>
      <c r="H3984" s="707"/>
      <c r="I3984" s="707">
        <f t="shared" si="124"/>
        <v>0</v>
      </c>
      <c r="J3984" s="707">
        <f t="shared" si="125"/>
        <v>0</v>
      </c>
      <c r="K3984" s="70"/>
    </row>
    <row r="3985" spans="1:11" ht="24" customHeight="1">
      <c r="A3985" s="33" t="s">
        <v>1570</v>
      </c>
      <c r="B3985" s="33" t="s">
        <v>23</v>
      </c>
      <c r="C3985" s="33">
        <v>2</v>
      </c>
      <c r="D3985" s="33" t="s">
        <v>1548</v>
      </c>
      <c r="E3985" s="33">
        <v>3</v>
      </c>
      <c r="F3985" s="33"/>
      <c r="G3985" s="522"/>
      <c r="H3985" s="707"/>
      <c r="I3985" s="707">
        <f t="shared" si="124"/>
        <v>0</v>
      </c>
      <c r="J3985" s="707">
        <f t="shared" si="125"/>
        <v>0</v>
      </c>
      <c r="K3985" s="70"/>
    </row>
    <row r="3986" spans="1:11" ht="24" customHeight="1">
      <c r="A3986" s="33" t="s">
        <v>1571</v>
      </c>
      <c r="B3986" s="33" t="s">
        <v>23</v>
      </c>
      <c r="C3986" s="33">
        <v>2</v>
      </c>
      <c r="D3986" s="33" t="s">
        <v>1548</v>
      </c>
      <c r="E3986" s="33">
        <v>3</v>
      </c>
      <c r="F3986" s="33"/>
      <c r="G3986" s="522"/>
      <c r="H3986" s="707"/>
      <c r="I3986" s="707">
        <f t="shared" si="124"/>
        <v>0</v>
      </c>
      <c r="J3986" s="707">
        <f t="shared" si="125"/>
        <v>0</v>
      </c>
      <c r="K3986" s="70"/>
    </row>
    <row r="3987" spans="1:11" ht="24" customHeight="1">
      <c r="A3987" s="33" t="s">
        <v>1572</v>
      </c>
      <c r="B3987" s="33" t="s">
        <v>23</v>
      </c>
      <c r="C3987" s="33">
        <v>6</v>
      </c>
      <c r="D3987" s="33" t="s">
        <v>1548</v>
      </c>
      <c r="E3987" s="33">
        <v>3</v>
      </c>
      <c r="F3987" s="33"/>
      <c r="G3987" s="522"/>
      <c r="H3987" s="707"/>
      <c r="I3987" s="707">
        <f t="shared" si="124"/>
        <v>0</v>
      </c>
      <c r="J3987" s="707">
        <f t="shared" si="125"/>
        <v>0</v>
      </c>
      <c r="K3987" s="70"/>
    </row>
    <row r="3988" spans="1:11" ht="24" customHeight="1">
      <c r="A3988" s="33" t="s">
        <v>1577</v>
      </c>
      <c r="B3988" s="33" t="s">
        <v>23</v>
      </c>
      <c r="C3988" s="33">
        <v>7</v>
      </c>
      <c r="D3988" s="33" t="s">
        <v>1548</v>
      </c>
      <c r="E3988" s="33">
        <v>3</v>
      </c>
      <c r="F3988" s="33"/>
      <c r="G3988" s="522"/>
      <c r="H3988" s="707"/>
      <c r="I3988" s="707">
        <f t="shared" si="124"/>
        <v>0</v>
      </c>
      <c r="J3988" s="707">
        <f t="shared" si="125"/>
        <v>0</v>
      </c>
      <c r="K3988" s="70"/>
    </row>
    <row r="3989" spans="1:11" ht="24" customHeight="1">
      <c r="A3989" s="33" t="s">
        <v>1592</v>
      </c>
      <c r="B3989" s="33" t="s">
        <v>23</v>
      </c>
      <c r="C3989" s="33">
        <v>2</v>
      </c>
      <c r="D3989" s="33" t="s">
        <v>1548</v>
      </c>
      <c r="E3989" s="33">
        <v>3</v>
      </c>
      <c r="F3989" s="33"/>
      <c r="G3989" s="522"/>
      <c r="H3989" s="707"/>
      <c r="I3989" s="707">
        <f t="shared" si="124"/>
        <v>0</v>
      </c>
      <c r="J3989" s="707">
        <f t="shared" si="125"/>
        <v>0</v>
      </c>
      <c r="K3989" s="70"/>
    </row>
    <row r="3990" spans="1:11" ht="24" customHeight="1">
      <c r="A3990" s="33" t="s">
        <v>1591</v>
      </c>
      <c r="B3990" s="33" t="s">
        <v>23</v>
      </c>
      <c r="C3990" s="33">
        <v>3</v>
      </c>
      <c r="D3990" s="33" t="s">
        <v>1548</v>
      </c>
      <c r="E3990" s="33">
        <v>3</v>
      </c>
      <c r="F3990" s="33"/>
      <c r="G3990" s="522"/>
      <c r="H3990" s="707"/>
      <c r="I3990" s="707">
        <f t="shared" si="124"/>
        <v>0</v>
      </c>
      <c r="J3990" s="707">
        <f t="shared" si="125"/>
        <v>0</v>
      </c>
      <c r="K3990" s="70"/>
    </row>
    <row r="3991" spans="1:11" ht="24" customHeight="1">
      <c r="A3991" s="33" t="s">
        <v>2651</v>
      </c>
      <c r="B3991" s="33" t="s">
        <v>2652</v>
      </c>
      <c r="C3991" s="33">
        <v>1</v>
      </c>
      <c r="D3991" s="33" t="s">
        <v>2624</v>
      </c>
      <c r="E3991" s="33">
        <v>4</v>
      </c>
      <c r="F3991" s="33"/>
      <c r="G3991" s="522"/>
      <c r="H3991" s="707"/>
      <c r="I3991" s="707">
        <f t="shared" si="124"/>
        <v>0</v>
      </c>
      <c r="J3991" s="707">
        <f t="shared" si="125"/>
        <v>0</v>
      </c>
      <c r="K3991" s="70"/>
    </row>
    <row r="3992" spans="1:11" ht="24" customHeight="1">
      <c r="A3992" s="11" t="s">
        <v>3127</v>
      </c>
      <c r="B3992" s="34" t="s">
        <v>147</v>
      </c>
      <c r="C3992" s="11">
        <v>2</v>
      </c>
      <c r="D3992" s="33" t="s">
        <v>3053</v>
      </c>
      <c r="E3992" s="33">
        <v>3</v>
      </c>
      <c r="F3992" s="33"/>
      <c r="G3992" s="522"/>
      <c r="H3992" s="707"/>
      <c r="I3992" s="707">
        <f t="shared" si="124"/>
        <v>0</v>
      </c>
      <c r="J3992" s="707">
        <f t="shared" si="125"/>
        <v>0</v>
      </c>
      <c r="K3992" s="70"/>
    </row>
    <row r="3993" spans="1:11" ht="24" customHeight="1">
      <c r="A3993" s="33" t="s">
        <v>2600</v>
      </c>
      <c r="B3993" s="33" t="s">
        <v>2601</v>
      </c>
      <c r="C3993" s="33">
        <v>1</v>
      </c>
      <c r="D3993" s="33" t="s">
        <v>2540</v>
      </c>
      <c r="E3993" s="33">
        <v>2</v>
      </c>
      <c r="F3993" s="33"/>
      <c r="G3993" s="522"/>
      <c r="H3993" s="707"/>
      <c r="I3993" s="707">
        <f t="shared" si="124"/>
        <v>0</v>
      </c>
      <c r="J3993" s="707">
        <f t="shared" si="125"/>
        <v>0</v>
      </c>
      <c r="K3993" s="70"/>
    </row>
    <row r="3994" spans="1:11" ht="24" customHeight="1">
      <c r="A3994" s="33" t="s">
        <v>2612</v>
      </c>
      <c r="B3994" s="33" t="s">
        <v>2613</v>
      </c>
      <c r="C3994" s="33">
        <v>1</v>
      </c>
      <c r="D3994" s="33" t="s">
        <v>2540</v>
      </c>
      <c r="E3994" s="33">
        <v>2</v>
      </c>
      <c r="F3994" s="33"/>
      <c r="G3994" s="522"/>
      <c r="H3994" s="707"/>
      <c r="I3994" s="707">
        <f t="shared" si="124"/>
        <v>0</v>
      </c>
      <c r="J3994" s="707">
        <f t="shared" si="125"/>
        <v>0</v>
      </c>
      <c r="K3994" s="70"/>
    </row>
    <row r="3995" spans="1:11" ht="24" customHeight="1">
      <c r="A3995" s="33" t="s">
        <v>2607</v>
      </c>
      <c r="B3995" s="33" t="s">
        <v>2608</v>
      </c>
      <c r="C3995" s="33">
        <v>2</v>
      </c>
      <c r="D3995" s="33" t="s">
        <v>2540</v>
      </c>
      <c r="E3995" s="33">
        <v>2</v>
      </c>
      <c r="F3995" s="33"/>
      <c r="G3995" s="522"/>
      <c r="H3995" s="707"/>
      <c r="I3995" s="707">
        <f t="shared" si="124"/>
        <v>0</v>
      </c>
      <c r="J3995" s="707">
        <f t="shared" si="125"/>
        <v>0</v>
      </c>
      <c r="K3995" s="70"/>
    </row>
    <row r="3996" spans="1:11" ht="24" customHeight="1">
      <c r="A3996" s="33" t="s">
        <v>2609</v>
      </c>
      <c r="B3996" s="33" t="s">
        <v>2608</v>
      </c>
      <c r="C3996" s="33">
        <v>2</v>
      </c>
      <c r="D3996" s="33" t="s">
        <v>2540</v>
      </c>
      <c r="E3996" s="33">
        <v>2</v>
      </c>
      <c r="F3996" s="33"/>
      <c r="G3996" s="522"/>
      <c r="H3996" s="707"/>
      <c r="I3996" s="707">
        <f t="shared" si="124"/>
        <v>0</v>
      </c>
      <c r="J3996" s="707">
        <f t="shared" si="125"/>
        <v>0</v>
      </c>
      <c r="K3996" s="70"/>
    </row>
    <row r="3997" spans="1:11" ht="24" customHeight="1">
      <c r="A3997" s="33" t="s">
        <v>2610</v>
      </c>
      <c r="B3997" s="33" t="s">
        <v>2611</v>
      </c>
      <c r="C3997" s="33">
        <v>1</v>
      </c>
      <c r="D3997" s="33" t="s">
        <v>2540</v>
      </c>
      <c r="E3997" s="33">
        <v>2</v>
      </c>
      <c r="F3997" s="33"/>
      <c r="G3997" s="522"/>
      <c r="H3997" s="707"/>
      <c r="I3997" s="707">
        <f t="shared" si="124"/>
        <v>0</v>
      </c>
      <c r="J3997" s="707">
        <f t="shared" si="125"/>
        <v>0</v>
      </c>
      <c r="K3997" s="70"/>
    </row>
    <row r="3998" spans="1:11" ht="24" customHeight="1">
      <c r="A3998" s="11" t="s">
        <v>3476</v>
      </c>
      <c r="B3998" s="11" t="s">
        <v>3477</v>
      </c>
      <c r="C3998" s="11">
        <v>1</v>
      </c>
      <c r="D3998" s="131" t="s">
        <v>3451</v>
      </c>
      <c r="E3998" s="15">
        <v>3</v>
      </c>
      <c r="F3998" s="15"/>
      <c r="G3998" s="684"/>
      <c r="H3998" s="707">
        <v>180</v>
      </c>
      <c r="I3998" s="707">
        <f t="shared" si="124"/>
        <v>206.99999999999997</v>
      </c>
      <c r="J3998" s="707">
        <f t="shared" si="125"/>
        <v>234</v>
      </c>
      <c r="K3998" s="70"/>
    </row>
    <row r="3999" spans="1:11" ht="24" customHeight="1">
      <c r="A3999" s="33" t="s">
        <v>3368</v>
      </c>
      <c r="B3999" s="33" t="s">
        <v>115</v>
      </c>
      <c r="C3999" s="33">
        <v>10</v>
      </c>
      <c r="D3999" s="33" t="s">
        <v>3348</v>
      </c>
      <c r="E3999" s="33">
        <v>3</v>
      </c>
      <c r="F3999" s="33"/>
      <c r="G3999" s="522"/>
      <c r="H3999" s="707"/>
      <c r="I3999" s="707">
        <f t="shared" si="124"/>
        <v>0</v>
      </c>
      <c r="J3999" s="707">
        <f t="shared" si="125"/>
        <v>0</v>
      </c>
      <c r="K3999" s="70"/>
    </row>
    <row r="4000" spans="1:11" ht="24" customHeight="1">
      <c r="A4000" s="33" t="s">
        <v>1390</v>
      </c>
      <c r="B4000" s="33" t="s">
        <v>529</v>
      </c>
      <c r="C4000" s="33">
        <v>1</v>
      </c>
      <c r="D4000" s="33" t="s">
        <v>1372</v>
      </c>
      <c r="E4000" s="33">
        <v>3</v>
      </c>
      <c r="F4000" s="33"/>
      <c r="G4000" s="522"/>
      <c r="H4000" s="707"/>
      <c r="I4000" s="707">
        <f t="shared" si="124"/>
        <v>0</v>
      </c>
      <c r="J4000" s="707">
        <f t="shared" si="125"/>
        <v>0</v>
      </c>
      <c r="K4000" s="70"/>
    </row>
    <row r="4001" spans="1:11" ht="24" customHeight="1">
      <c r="A4001" s="2" t="s">
        <v>1843</v>
      </c>
      <c r="B4001" s="2" t="s">
        <v>10</v>
      </c>
      <c r="C4001" s="2">
        <v>1</v>
      </c>
      <c r="D4001" s="2" t="s">
        <v>1785</v>
      </c>
      <c r="E4001" s="33">
        <v>2</v>
      </c>
      <c r="F4001" s="33"/>
      <c r="G4001" s="522"/>
      <c r="H4001" s="707"/>
      <c r="I4001" s="707">
        <f t="shared" si="124"/>
        <v>0</v>
      </c>
      <c r="J4001" s="707">
        <f t="shared" si="125"/>
        <v>0</v>
      </c>
      <c r="K4001" s="70"/>
    </row>
    <row r="4002" spans="1:11" ht="24" customHeight="1">
      <c r="A4002" s="33" t="s">
        <v>1599</v>
      </c>
      <c r="B4002" s="33" t="s">
        <v>10</v>
      </c>
      <c r="C4002" s="33">
        <v>37</v>
      </c>
      <c r="D4002" s="33" t="s">
        <v>1548</v>
      </c>
      <c r="E4002" s="33">
        <v>3</v>
      </c>
      <c r="F4002" s="33"/>
      <c r="G4002" s="522"/>
      <c r="H4002" s="707"/>
      <c r="I4002" s="707">
        <f t="shared" si="124"/>
        <v>0</v>
      </c>
      <c r="J4002" s="707">
        <f t="shared" si="125"/>
        <v>0</v>
      </c>
      <c r="K4002" s="70"/>
    </row>
    <row r="4003" spans="1:11" ht="24" customHeight="1">
      <c r="A4003" s="33" t="s">
        <v>1599</v>
      </c>
      <c r="B4003" s="33" t="s">
        <v>10</v>
      </c>
      <c r="C4003" s="33">
        <v>30</v>
      </c>
      <c r="D4003" s="33" t="s">
        <v>1938</v>
      </c>
      <c r="E4003" s="33">
        <v>2</v>
      </c>
      <c r="F4003" s="33"/>
      <c r="G4003" s="522"/>
      <c r="H4003" s="707"/>
      <c r="I4003" s="707">
        <f t="shared" si="124"/>
        <v>0</v>
      </c>
      <c r="J4003" s="707">
        <f t="shared" si="125"/>
        <v>0</v>
      </c>
      <c r="K4003" s="70"/>
    </row>
    <row r="4004" spans="1:11" ht="24" customHeight="1">
      <c r="A4004" s="2" t="s">
        <v>502</v>
      </c>
      <c r="B4004" s="2" t="s">
        <v>41</v>
      </c>
      <c r="C4004" s="2">
        <v>61</v>
      </c>
      <c r="D4004" s="2" t="s">
        <v>274</v>
      </c>
      <c r="E4004" s="33">
        <v>3</v>
      </c>
      <c r="F4004" s="33"/>
      <c r="G4004" s="522"/>
      <c r="H4004" s="707"/>
      <c r="I4004" s="707">
        <f t="shared" si="124"/>
        <v>0</v>
      </c>
      <c r="J4004" s="707">
        <f t="shared" si="125"/>
        <v>0</v>
      </c>
      <c r="K4004" s="70" t="s">
        <v>99</v>
      </c>
    </row>
    <row r="4005" spans="1:11" ht="24" customHeight="1">
      <c r="A4005" s="2" t="s">
        <v>721</v>
      </c>
      <c r="B4005" s="2" t="s">
        <v>19</v>
      </c>
      <c r="C4005" s="2">
        <v>87</v>
      </c>
      <c r="D4005" s="2" t="s">
        <v>593</v>
      </c>
      <c r="E4005" s="33">
        <v>3</v>
      </c>
      <c r="F4005" s="33"/>
      <c r="G4005" s="522"/>
      <c r="H4005" s="707"/>
      <c r="I4005" s="707">
        <f t="shared" si="124"/>
        <v>0</v>
      </c>
      <c r="J4005" s="707">
        <f t="shared" si="125"/>
        <v>0</v>
      </c>
      <c r="K4005" s="70"/>
    </row>
    <row r="4006" spans="1:11" ht="24" customHeight="1">
      <c r="A4006" s="2" t="s">
        <v>121</v>
      </c>
      <c r="B4006" s="2" t="s">
        <v>19</v>
      </c>
      <c r="C4006" s="2">
        <v>175</v>
      </c>
      <c r="D4006" s="2" t="s">
        <v>11</v>
      </c>
      <c r="E4006" s="33">
        <v>2</v>
      </c>
      <c r="F4006" s="33"/>
      <c r="G4006" s="522"/>
      <c r="H4006" s="707"/>
      <c r="I4006" s="707">
        <f t="shared" si="124"/>
        <v>0</v>
      </c>
      <c r="J4006" s="707">
        <f t="shared" si="125"/>
        <v>0</v>
      </c>
      <c r="K4006" s="70" t="s">
        <v>99</v>
      </c>
    </row>
    <row r="4007" spans="1:11" ht="24" customHeight="1">
      <c r="A4007" s="33" t="s">
        <v>121</v>
      </c>
      <c r="B4007" s="33" t="s">
        <v>19</v>
      </c>
      <c r="C4007" s="33">
        <v>100</v>
      </c>
      <c r="D4007" s="2" t="s">
        <v>274</v>
      </c>
      <c r="E4007" s="33">
        <v>1</v>
      </c>
      <c r="F4007" s="33"/>
      <c r="G4007" s="522"/>
      <c r="H4007" s="707"/>
      <c r="I4007" s="707">
        <f t="shared" si="124"/>
        <v>0</v>
      </c>
      <c r="J4007" s="707">
        <f t="shared" si="125"/>
        <v>0</v>
      </c>
      <c r="K4007" s="70" t="s">
        <v>99</v>
      </c>
    </row>
    <row r="4008" spans="1:11" ht="24" customHeight="1">
      <c r="A4008" s="2" t="s">
        <v>121</v>
      </c>
      <c r="B4008" s="2" t="s">
        <v>19</v>
      </c>
      <c r="C4008" s="2">
        <v>13</v>
      </c>
      <c r="D4008" s="2" t="s">
        <v>274</v>
      </c>
      <c r="E4008" s="33">
        <v>3</v>
      </c>
      <c r="F4008" s="33"/>
      <c r="G4008" s="522"/>
      <c r="H4008" s="707"/>
      <c r="I4008" s="707">
        <f t="shared" si="124"/>
        <v>0</v>
      </c>
      <c r="J4008" s="707">
        <f t="shared" si="125"/>
        <v>0</v>
      </c>
      <c r="K4008" s="70" t="s">
        <v>99</v>
      </c>
    </row>
    <row r="4009" spans="1:11" ht="24" customHeight="1">
      <c r="A4009" s="33" t="s">
        <v>2728</v>
      </c>
      <c r="B4009" s="33" t="s">
        <v>19</v>
      </c>
      <c r="C4009" s="33">
        <v>11</v>
      </c>
      <c r="D4009" s="33" t="s">
        <v>2716</v>
      </c>
      <c r="E4009" s="354">
        <v>3</v>
      </c>
      <c r="F4009" s="354"/>
      <c r="G4009" s="688"/>
      <c r="H4009" s="708"/>
      <c r="I4009" s="707">
        <f t="shared" si="124"/>
        <v>0</v>
      </c>
      <c r="J4009" s="708">
        <f t="shared" si="125"/>
        <v>0</v>
      </c>
      <c r="K4009" s="70" t="s">
        <v>2727</v>
      </c>
    </row>
    <row r="4010" spans="1:11" ht="24" customHeight="1">
      <c r="A4010" s="2" t="s">
        <v>718</v>
      </c>
      <c r="B4010" s="2" t="s">
        <v>19</v>
      </c>
      <c r="C4010" s="2">
        <v>9</v>
      </c>
      <c r="D4010" s="2" t="s">
        <v>593</v>
      </c>
      <c r="E4010" s="33">
        <v>3</v>
      </c>
      <c r="F4010" s="33"/>
      <c r="G4010" s="522"/>
      <c r="H4010" s="707"/>
      <c r="I4010" s="707">
        <f t="shared" si="124"/>
        <v>0</v>
      </c>
      <c r="J4010" s="707">
        <f t="shared" si="125"/>
        <v>0</v>
      </c>
      <c r="K4010" s="70"/>
    </row>
    <row r="4011" spans="1:11" ht="24" customHeight="1">
      <c r="A4011" s="723" t="s">
        <v>718</v>
      </c>
      <c r="B4011" s="74" t="s">
        <v>19</v>
      </c>
      <c r="C4011" s="74">
        <v>128</v>
      </c>
      <c r="D4011" s="33" t="s">
        <v>2363</v>
      </c>
      <c r="E4011" s="33">
        <v>5</v>
      </c>
      <c r="F4011" s="33"/>
      <c r="G4011" s="522"/>
      <c r="H4011" s="707"/>
      <c r="I4011" s="707">
        <f t="shared" si="124"/>
        <v>0</v>
      </c>
      <c r="J4011" s="707">
        <f t="shared" si="125"/>
        <v>0</v>
      </c>
      <c r="K4011" s="70"/>
    </row>
    <row r="4012" spans="1:11" ht="24" customHeight="1">
      <c r="A4012" s="2" t="s">
        <v>787</v>
      </c>
      <c r="B4012" s="2" t="s">
        <v>19</v>
      </c>
      <c r="C4012" s="2">
        <v>9</v>
      </c>
      <c r="D4012" s="2" t="s">
        <v>593</v>
      </c>
      <c r="E4012" s="33">
        <v>3</v>
      </c>
      <c r="F4012" s="33"/>
      <c r="G4012" s="522"/>
      <c r="H4012" s="707"/>
      <c r="I4012" s="707">
        <f t="shared" si="124"/>
        <v>0</v>
      </c>
      <c r="J4012" s="707">
        <f t="shared" si="125"/>
        <v>0</v>
      </c>
      <c r="K4012" s="70"/>
    </row>
    <row r="4013" spans="1:11" ht="24" customHeight="1">
      <c r="A4013" s="2" t="s">
        <v>792</v>
      </c>
      <c r="B4013" s="2" t="s">
        <v>558</v>
      </c>
      <c r="C4013" s="2">
        <v>1</v>
      </c>
      <c r="D4013" s="2" t="s">
        <v>593</v>
      </c>
      <c r="E4013" s="33">
        <v>3</v>
      </c>
      <c r="F4013" s="33"/>
      <c r="G4013" s="522"/>
      <c r="H4013" s="707"/>
      <c r="I4013" s="707">
        <f t="shared" si="124"/>
        <v>0</v>
      </c>
      <c r="J4013" s="707">
        <f t="shared" si="125"/>
        <v>0</v>
      </c>
      <c r="K4013" s="70"/>
    </row>
    <row r="4014" spans="1:11" ht="24" customHeight="1">
      <c r="A4014" s="2" t="s">
        <v>3611</v>
      </c>
      <c r="B4014" s="2" t="s">
        <v>10</v>
      </c>
      <c r="C4014" s="2">
        <v>8</v>
      </c>
      <c r="D4014" s="2" t="s">
        <v>3568</v>
      </c>
      <c r="E4014" s="33">
        <v>3</v>
      </c>
      <c r="F4014" s="33"/>
      <c r="G4014" s="522"/>
      <c r="H4014" s="707"/>
      <c r="I4014" s="707">
        <f t="shared" si="124"/>
        <v>0</v>
      </c>
      <c r="J4014" s="707">
        <f t="shared" si="125"/>
        <v>0</v>
      </c>
      <c r="K4014" s="70"/>
    </row>
    <row r="4015" spans="1:11" ht="24" customHeight="1">
      <c r="A4015" s="2" t="s">
        <v>3611</v>
      </c>
      <c r="B4015" s="2" t="s">
        <v>10</v>
      </c>
      <c r="C4015" s="2">
        <v>4</v>
      </c>
      <c r="D4015" s="2" t="s">
        <v>3705</v>
      </c>
      <c r="E4015" s="33">
        <v>2</v>
      </c>
      <c r="F4015" s="33"/>
      <c r="G4015" s="522"/>
      <c r="H4015" s="707"/>
      <c r="I4015" s="707">
        <f t="shared" si="124"/>
        <v>0</v>
      </c>
      <c r="J4015" s="707">
        <f t="shared" si="125"/>
        <v>0</v>
      </c>
      <c r="K4015" s="55"/>
    </row>
    <row r="4016" spans="1:11" ht="24" customHeight="1">
      <c r="A4016" s="2" t="s">
        <v>3595</v>
      </c>
      <c r="B4016" s="2" t="s">
        <v>83</v>
      </c>
      <c r="C4016" s="2">
        <v>2</v>
      </c>
      <c r="D4016" s="33" t="s">
        <v>3568</v>
      </c>
      <c r="E4016" s="33">
        <v>2</v>
      </c>
      <c r="F4016" s="33"/>
      <c r="G4016" s="522"/>
      <c r="H4016" s="707"/>
      <c r="I4016" s="707">
        <f t="shared" si="124"/>
        <v>0</v>
      </c>
      <c r="J4016" s="707">
        <f t="shared" si="125"/>
        <v>0</v>
      </c>
      <c r="K4016" s="70"/>
    </row>
    <row r="4017" spans="1:11" ht="24" customHeight="1">
      <c r="A4017" s="2" t="s">
        <v>3595</v>
      </c>
      <c r="B4017" s="2" t="s">
        <v>83</v>
      </c>
      <c r="C4017" s="2">
        <v>3</v>
      </c>
      <c r="D4017" s="2" t="s">
        <v>3618</v>
      </c>
      <c r="E4017" s="33">
        <v>5</v>
      </c>
      <c r="F4017" s="33"/>
      <c r="G4017" s="522"/>
      <c r="H4017" s="707"/>
      <c r="I4017" s="707">
        <f t="shared" si="124"/>
        <v>0</v>
      </c>
      <c r="J4017" s="707">
        <f t="shared" si="125"/>
        <v>0</v>
      </c>
      <c r="K4017" s="55"/>
    </row>
    <row r="4018" spans="1:11" ht="24" customHeight="1">
      <c r="A4018" s="2" t="s">
        <v>812</v>
      </c>
      <c r="B4018" s="2" t="s">
        <v>41</v>
      </c>
      <c r="C4018" s="2">
        <v>16</v>
      </c>
      <c r="D4018" s="2" t="s">
        <v>593</v>
      </c>
      <c r="E4018" s="33">
        <v>3</v>
      </c>
      <c r="F4018" s="33"/>
      <c r="G4018" s="522"/>
      <c r="H4018" s="707"/>
      <c r="I4018" s="707">
        <f t="shared" si="124"/>
        <v>0</v>
      </c>
      <c r="J4018" s="707">
        <f t="shared" si="125"/>
        <v>0</v>
      </c>
      <c r="K4018" s="70"/>
    </row>
    <row r="4019" spans="1:11" ht="24" customHeight="1">
      <c r="A4019" s="17" t="s">
        <v>2859</v>
      </c>
      <c r="B4019" s="17" t="s">
        <v>21</v>
      </c>
      <c r="C4019" s="17">
        <v>3</v>
      </c>
      <c r="D4019" s="131" t="s">
        <v>2802</v>
      </c>
      <c r="E4019" s="15">
        <v>3</v>
      </c>
      <c r="F4019" s="15"/>
      <c r="G4019" s="684"/>
      <c r="H4019" s="707"/>
      <c r="I4019" s="707">
        <f t="shared" si="124"/>
        <v>0</v>
      </c>
      <c r="J4019" s="707">
        <f t="shared" si="125"/>
        <v>0</v>
      </c>
      <c r="K4019" s="70"/>
    </row>
    <row r="4020" spans="1:11" ht="24" customHeight="1">
      <c r="A4020" s="2" t="s">
        <v>303</v>
      </c>
      <c r="B4020" s="2" t="s">
        <v>10</v>
      </c>
      <c r="C4020" s="2">
        <v>100</v>
      </c>
      <c r="D4020" s="2" t="s">
        <v>3279</v>
      </c>
      <c r="E4020" s="33">
        <v>5</v>
      </c>
      <c r="F4020" s="33"/>
      <c r="G4020" s="522"/>
      <c r="H4020" s="707"/>
      <c r="I4020" s="707">
        <f t="shared" si="124"/>
        <v>0</v>
      </c>
      <c r="J4020" s="707">
        <f t="shared" si="125"/>
        <v>0</v>
      </c>
      <c r="K4020" s="70"/>
    </row>
    <row r="4021" spans="1:11" ht="24" customHeight="1">
      <c r="A4021" s="11" t="s">
        <v>303</v>
      </c>
      <c r="B4021" s="11" t="s">
        <v>10</v>
      </c>
      <c r="C4021" s="11">
        <v>98</v>
      </c>
      <c r="D4021" s="131" t="s">
        <v>3539</v>
      </c>
      <c r="E4021" s="15">
        <v>4</v>
      </c>
      <c r="F4021" s="15"/>
      <c r="G4021" s="684"/>
      <c r="H4021" s="707"/>
      <c r="I4021" s="707">
        <f t="shared" si="124"/>
        <v>0</v>
      </c>
      <c r="J4021" s="707">
        <f t="shared" si="125"/>
        <v>0</v>
      </c>
      <c r="K4021" s="70"/>
    </row>
    <row r="4022" spans="1:11" ht="24" customHeight="1">
      <c r="A4022" s="2" t="s">
        <v>303</v>
      </c>
      <c r="B4022" s="2" t="s">
        <v>10</v>
      </c>
      <c r="C4022" s="2">
        <v>48</v>
      </c>
      <c r="D4022" s="2" t="s">
        <v>3548</v>
      </c>
      <c r="E4022" s="33">
        <v>5</v>
      </c>
      <c r="F4022" s="33"/>
      <c r="G4022" s="522"/>
      <c r="H4022" s="707"/>
      <c r="I4022" s="707">
        <f t="shared" si="124"/>
        <v>0</v>
      </c>
      <c r="J4022" s="707">
        <f t="shared" si="125"/>
        <v>0</v>
      </c>
      <c r="K4022" s="70"/>
    </row>
    <row r="4023" spans="1:11" ht="24" customHeight="1">
      <c r="A4023" s="17" t="s">
        <v>2860</v>
      </c>
      <c r="B4023" s="17" t="s">
        <v>10</v>
      </c>
      <c r="C4023" s="17">
        <v>24</v>
      </c>
      <c r="D4023" s="131" t="s">
        <v>2802</v>
      </c>
      <c r="E4023" s="15">
        <v>3</v>
      </c>
      <c r="F4023" s="15"/>
      <c r="G4023" s="684"/>
      <c r="H4023" s="707"/>
      <c r="I4023" s="707">
        <f t="shared" si="124"/>
        <v>0</v>
      </c>
      <c r="J4023" s="707">
        <f t="shared" si="125"/>
        <v>0</v>
      </c>
      <c r="K4023" s="70"/>
    </row>
    <row r="4024" spans="1:11" ht="24" customHeight="1">
      <c r="A4024" s="2" t="s">
        <v>609</v>
      </c>
      <c r="B4024" s="2" t="s">
        <v>50</v>
      </c>
      <c r="C4024" s="2">
        <v>24</v>
      </c>
      <c r="D4024" s="2" t="s">
        <v>593</v>
      </c>
      <c r="E4024" s="33">
        <v>1</v>
      </c>
      <c r="F4024" s="33"/>
      <c r="G4024" s="522"/>
      <c r="H4024" s="707"/>
      <c r="I4024" s="707">
        <f t="shared" si="124"/>
        <v>0</v>
      </c>
      <c r="J4024" s="707">
        <f t="shared" si="125"/>
        <v>0</v>
      </c>
      <c r="K4024" s="70"/>
    </row>
    <row r="4025" spans="1:11" ht="24" customHeight="1">
      <c r="A4025" s="2" t="s">
        <v>3606</v>
      </c>
      <c r="B4025" s="2" t="s">
        <v>10</v>
      </c>
      <c r="C4025" s="2">
        <v>34</v>
      </c>
      <c r="D4025" s="2" t="s">
        <v>3568</v>
      </c>
      <c r="E4025" s="33">
        <v>3</v>
      </c>
      <c r="F4025" s="33"/>
      <c r="G4025" s="522"/>
      <c r="H4025" s="707"/>
      <c r="I4025" s="707">
        <f t="shared" si="124"/>
        <v>0</v>
      </c>
      <c r="J4025" s="707">
        <f t="shared" si="125"/>
        <v>0</v>
      </c>
      <c r="K4025" s="70"/>
    </row>
    <row r="4026" spans="1:11" ht="24" customHeight="1">
      <c r="A4026" s="33" t="s">
        <v>2738</v>
      </c>
      <c r="B4026" s="33" t="s">
        <v>10</v>
      </c>
      <c r="C4026" s="33">
        <v>22</v>
      </c>
      <c r="D4026" s="33" t="s">
        <v>2716</v>
      </c>
      <c r="E4026" s="354">
        <v>3</v>
      </c>
      <c r="F4026" s="354"/>
      <c r="G4026" s="688"/>
      <c r="H4026" s="708"/>
      <c r="I4026" s="707">
        <f t="shared" si="124"/>
        <v>0</v>
      </c>
      <c r="J4026" s="708">
        <f t="shared" si="125"/>
        <v>0</v>
      </c>
      <c r="K4026" s="70" t="s">
        <v>2727</v>
      </c>
    </row>
    <row r="4027" spans="1:11" ht="24" customHeight="1">
      <c r="A4027" s="33" t="s">
        <v>3291</v>
      </c>
      <c r="B4027" s="33" t="s">
        <v>10</v>
      </c>
      <c r="C4027" s="33">
        <v>32</v>
      </c>
      <c r="D4027" s="33" t="s">
        <v>3279</v>
      </c>
      <c r="E4027" s="33">
        <v>3</v>
      </c>
      <c r="F4027" s="33"/>
      <c r="G4027" s="522"/>
      <c r="H4027" s="707"/>
      <c r="I4027" s="707">
        <f t="shared" si="124"/>
        <v>0</v>
      </c>
      <c r="J4027" s="707">
        <f t="shared" si="125"/>
        <v>0</v>
      </c>
      <c r="K4027" s="70"/>
    </row>
    <row r="4028" spans="1:11" ht="24" customHeight="1">
      <c r="A4028" s="2" t="s">
        <v>3433</v>
      </c>
      <c r="B4028" s="2" t="s">
        <v>305</v>
      </c>
      <c r="C4028" s="2">
        <v>2</v>
      </c>
      <c r="D4028" s="65" t="s">
        <v>3348</v>
      </c>
      <c r="E4028" s="33">
        <v>5</v>
      </c>
      <c r="F4028" s="33"/>
      <c r="G4028" s="522"/>
      <c r="H4028" s="707">
        <v>30</v>
      </c>
      <c r="I4028" s="707">
        <f t="shared" si="124"/>
        <v>34.5</v>
      </c>
      <c r="J4028" s="707">
        <f t="shared" si="125"/>
        <v>39</v>
      </c>
      <c r="K4028" s="70"/>
    </row>
    <row r="4029" spans="1:11" ht="24" customHeight="1">
      <c r="A4029" s="33" t="s">
        <v>298</v>
      </c>
      <c r="B4029" s="33" t="s">
        <v>10</v>
      </c>
      <c r="C4029" s="33">
        <v>17</v>
      </c>
      <c r="D4029" s="2" t="s">
        <v>274</v>
      </c>
      <c r="E4029" s="33">
        <v>2</v>
      </c>
      <c r="F4029" s="33"/>
      <c r="G4029" s="522"/>
      <c r="H4029" s="707"/>
      <c r="I4029" s="707">
        <f t="shared" si="124"/>
        <v>0</v>
      </c>
      <c r="J4029" s="707">
        <f t="shared" si="125"/>
        <v>0</v>
      </c>
      <c r="K4029" s="70"/>
    </row>
    <row r="4030" spans="1:11" ht="24" customHeight="1">
      <c r="A4030" s="11" t="s">
        <v>3157</v>
      </c>
      <c r="B4030" s="34" t="s">
        <v>21</v>
      </c>
      <c r="C4030" s="11">
        <v>14</v>
      </c>
      <c r="D4030" s="33" t="s">
        <v>3053</v>
      </c>
      <c r="E4030" s="33">
        <v>3</v>
      </c>
      <c r="F4030" s="33"/>
      <c r="G4030" s="522"/>
      <c r="H4030" s="707"/>
      <c r="I4030" s="707">
        <f t="shared" si="124"/>
        <v>0</v>
      </c>
      <c r="J4030" s="707">
        <f t="shared" si="125"/>
        <v>0</v>
      </c>
      <c r="K4030" s="70"/>
    </row>
    <row r="4031" spans="1:11" ht="24" customHeight="1">
      <c r="A4031" s="33" t="s">
        <v>2649</v>
      </c>
      <c r="B4031" s="33" t="s">
        <v>10</v>
      </c>
      <c r="C4031" s="33">
        <v>8</v>
      </c>
      <c r="D4031" s="33" t="s">
        <v>2624</v>
      </c>
      <c r="E4031" s="33">
        <v>4</v>
      </c>
      <c r="F4031" s="33"/>
      <c r="G4031" s="522"/>
      <c r="H4031" s="707"/>
      <c r="I4031" s="707">
        <f t="shared" si="124"/>
        <v>0</v>
      </c>
      <c r="J4031" s="707">
        <f t="shared" si="125"/>
        <v>0</v>
      </c>
      <c r="K4031" s="70"/>
    </row>
    <row r="4032" spans="1:11" ht="24" customHeight="1">
      <c r="A4032" s="33" t="s">
        <v>694</v>
      </c>
      <c r="B4032" s="33" t="s">
        <v>10</v>
      </c>
      <c r="C4032" s="33">
        <v>83</v>
      </c>
      <c r="D4032" s="2" t="s">
        <v>593</v>
      </c>
      <c r="E4032" s="33">
        <v>2</v>
      </c>
      <c r="F4032" s="33"/>
      <c r="G4032" s="522"/>
      <c r="H4032" s="707"/>
      <c r="I4032" s="707">
        <f t="shared" si="124"/>
        <v>0</v>
      </c>
      <c r="J4032" s="707">
        <f t="shared" si="125"/>
        <v>0</v>
      </c>
      <c r="K4032" s="70" t="s">
        <v>99</v>
      </c>
    </row>
    <row r="4033" spans="1:11" ht="24" customHeight="1">
      <c r="A4033" s="75" t="s">
        <v>180</v>
      </c>
      <c r="B4033" s="33" t="s">
        <v>10</v>
      </c>
      <c r="C4033" s="33">
        <v>15</v>
      </c>
      <c r="D4033" s="2" t="s">
        <v>11</v>
      </c>
      <c r="E4033" s="33">
        <v>3</v>
      </c>
      <c r="F4033" s="33"/>
      <c r="G4033" s="522"/>
      <c r="H4033" s="707"/>
      <c r="I4033" s="707">
        <f t="shared" si="124"/>
        <v>0</v>
      </c>
      <c r="J4033" s="707">
        <f t="shared" si="125"/>
        <v>0</v>
      </c>
      <c r="K4033" s="70" t="s">
        <v>99</v>
      </c>
    </row>
    <row r="4034" spans="1:11" ht="24" customHeight="1">
      <c r="A4034" s="3" t="s">
        <v>2933</v>
      </c>
      <c r="B4034" s="3" t="s">
        <v>10</v>
      </c>
      <c r="C4034" s="3">
        <v>2</v>
      </c>
      <c r="D4034" s="15" t="s">
        <v>2918</v>
      </c>
      <c r="E4034" s="15">
        <v>1</v>
      </c>
      <c r="F4034" s="15"/>
      <c r="G4034" s="684"/>
      <c r="H4034" s="707">
        <v>60</v>
      </c>
      <c r="I4034" s="707">
        <f t="shared" si="124"/>
        <v>69</v>
      </c>
      <c r="J4034" s="707">
        <f t="shared" si="125"/>
        <v>78</v>
      </c>
      <c r="K4034" s="70"/>
    </row>
    <row r="4035" spans="1:11" ht="24" customHeight="1">
      <c r="A4035" s="2" t="s">
        <v>572</v>
      </c>
      <c r="B4035" s="2" t="s">
        <v>10</v>
      </c>
      <c r="C4035" s="2">
        <v>130</v>
      </c>
      <c r="D4035" s="2" t="s">
        <v>536</v>
      </c>
      <c r="E4035" s="33">
        <v>5</v>
      </c>
      <c r="F4035" s="33"/>
      <c r="G4035" s="522"/>
      <c r="H4035" s="707">
        <v>2</v>
      </c>
      <c r="I4035" s="707">
        <f t="shared" ref="I4035:I4098" si="126">H4035 * 1.15</f>
        <v>2.2999999999999998</v>
      </c>
      <c r="J4035" s="707">
        <f t="shared" ref="J4035:J4098" si="127">H4035 * 1.3</f>
        <v>2.6</v>
      </c>
      <c r="K4035" s="70"/>
    </row>
    <row r="4036" spans="1:11" ht="24" customHeight="1">
      <c r="A4036" s="33" t="s">
        <v>2045</v>
      </c>
      <c r="B4036" s="33" t="s">
        <v>10</v>
      </c>
      <c r="C4036" s="33">
        <v>8</v>
      </c>
      <c r="D4036" s="33" t="s">
        <v>2026</v>
      </c>
      <c r="E4036" s="33">
        <v>3</v>
      </c>
      <c r="F4036" s="33"/>
      <c r="G4036" s="522"/>
      <c r="H4036" s="707">
        <v>1</v>
      </c>
      <c r="I4036" s="707">
        <f t="shared" si="126"/>
        <v>1.1499999999999999</v>
      </c>
      <c r="J4036" s="707">
        <f t="shared" si="127"/>
        <v>1.3</v>
      </c>
      <c r="K4036" s="70"/>
    </row>
    <row r="4037" spans="1:11" ht="24" customHeight="1">
      <c r="A4037" s="33" t="s">
        <v>1055</v>
      </c>
      <c r="B4037" s="33" t="s">
        <v>10</v>
      </c>
      <c r="C4037" s="33">
        <v>4</v>
      </c>
      <c r="D4037" s="33" t="s">
        <v>992</v>
      </c>
      <c r="E4037" s="33">
        <v>4</v>
      </c>
      <c r="F4037" s="33"/>
      <c r="G4037" s="522"/>
      <c r="H4037" s="707"/>
      <c r="I4037" s="707">
        <f t="shared" si="126"/>
        <v>0</v>
      </c>
      <c r="J4037" s="707">
        <f t="shared" si="127"/>
        <v>0</v>
      </c>
      <c r="K4037" s="70"/>
    </row>
    <row r="4038" spans="1:11" ht="24" customHeight="1">
      <c r="A4038" s="33" t="s">
        <v>1055</v>
      </c>
      <c r="B4038" s="33" t="s">
        <v>10</v>
      </c>
      <c r="C4038" s="33">
        <v>16</v>
      </c>
      <c r="D4038" s="33" t="s">
        <v>1201</v>
      </c>
      <c r="E4038" s="33">
        <v>4</v>
      </c>
      <c r="F4038" s="33"/>
      <c r="G4038" s="522"/>
      <c r="H4038" s="707"/>
      <c r="I4038" s="707">
        <f t="shared" si="126"/>
        <v>0</v>
      </c>
      <c r="J4038" s="707">
        <f t="shared" si="127"/>
        <v>0</v>
      </c>
      <c r="K4038" s="70"/>
    </row>
    <row r="4039" spans="1:11" ht="24" customHeight="1">
      <c r="A4039" s="33" t="s">
        <v>1055</v>
      </c>
      <c r="B4039" s="33" t="s">
        <v>10</v>
      </c>
      <c r="C4039" s="33">
        <v>30</v>
      </c>
      <c r="D4039" s="33" t="s">
        <v>3279</v>
      </c>
      <c r="E4039" s="33">
        <v>4</v>
      </c>
      <c r="F4039" s="33"/>
      <c r="G4039" s="522"/>
      <c r="H4039" s="707"/>
      <c r="I4039" s="707">
        <f t="shared" si="126"/>
        <v>0</v>
      </c>
      <c r="J4039" s="707">
        <f t="shared" si="127"/>
        <v>0</v>
      </c>
      <c r="K4039" s="70"/>
    </row>
    <row r="4040" spans="1:11" ht="24" customHeight="1">
      <c r="A4040" s="2" t="s">
        <v>1801</v>
      </c>
      <c r="B4040" s="2" t="s">
        <v>10</v>
      </c>
      <c r="C4040" s="2">
        <v>1</v>
      </c>
      <c r="D4040" s="2" t="s">
        <v>1785</v>
      </c>
      <c r="E4040" s="33">
        <v>1</v>
      </c>
      <c r="F4040" s="33"/>
      <c r="G4040" s="522"/>
      <c r="H4040" s="707">
        <v>5</v>
      </c>
      <c r="I4040" s="707">
        <f t="shared" si="126"/>
        <v>5.75</v>
      </c>
      <c r="J4040" s="707">
        <f t="shared" si="127"/>
        <v>6.5</v>
      </c>
      <c r="K4040" s="70" t="s">
        <v>99</v>
      </c>
    </row>
    <row r="4041" spans="1:11" ht="24" customHeight="1">
      <c r="A4041" s="33" t="s">
        <v>611</v>
      </c>
      <c r="B4041" s="33" t="s">
        <v>10</v>
      </c>
      <c r="C4041" s="33">
        <v>35</v>
      </c>
      <c r="D4041" s="2" t="s">
        <v>593</v>
      </c>
      <c r="E4041" s="33">
        <v>1</v>
      </c>
      <c r="F4041" s="33"/>
      <c r="G4041" s="522"/>
      <c r="H4041" s="707"/>
      <c r="I4041" s="707">
        <f t="shared" si="126"/>
        <v>0</v>
      </c>
      <c r="J4041" s="707">
        <f t="shared" si="127"/>
        <v>0</v>
      </c>
      <c r="K4041" s="70"/>
    </row>
    <row r="4042" spans="1:11" ht="24" customHeight="1">
      <c r="A4042" s="33" t="s">
        <v>425</v>
      </c>
      <c r="B4042" s="33" t="s">
        <v>10</v>
      </c>
      <c r="C4042" s="33">
        <v>19</v>
      </c>
      <c r="D4042" s="2" t="s">
        <v>274</v>
      </c>
      <c r="E4042" s="33">
        <v>2</v>
      </c>
      <c r="F4042" s="33"/>
      <c r="G4042" s="522"/>
      <c r="H4042" s="707"/>
      <c r="I4042" s="707">
        <f t="shared" si="126"/>
        <v>0</v>
      </c>
      <c r="J4042" s="707">
        <f t="shared" si="127"/>
        <v>0</v>
      </c>
      <c r="K4042" s="70" t="s">
        <v>51</v>
      </c>
    </row>
    <row r="4043" spans="1:11" ht="24" customHeight="1">
      <c r="A4043" s="2" t="s">
        <v>114</v>
      </c>
      <c r="B4043" s="2" t="s">
        <v>115</v>
      </c>
      <c r="C4043" s="2">
        <v>19</v>
      </c>
      <c r="D4043" s="2" t="s">
        <v>11</v>
      </c>
      <c r="E4043" s="33">
        <v>2</v>
      </c>
      <c r="F4043" s="33"/>
      <c r="G4043" s="522"/>
      <c r="H4043" s="707">
        <v>350</v>
      </c>
      <c r="I4043" s="707">
        <f t="shared" si="126"/>
        <v>402.49999999999994</v>
      </c>
      <c r="J4043" s="707">
        <f t="shared" si="127"/>
        <v>455</v>
      </c>
      <c r="K4043" s="70" t="s">
        <v>99</v>
      </c>
    </row>
    <row r="4044" spans="1:11" ht="24" customHeight="1">
      <c r="A4044" s="33" t="s">
        <v>564</v>
      </c>
      <c r="B4044" s="33" t="s">
        <v>115</v>
      </c>
      <c r="C4044" s="33">
        <v>9</v>
      </c>
      <c r="D4044" s="2" t="s">
        <v>888</v>
      </c>
      <c r="E4044" s="33">
        <v>4</v>
      </c>
      <c r="F4044" s="33"/>
      <c r="G4044" s="522"/>
      <c r="H4044" s="707">
        <v>200</v>
      </c>
      <c r="I4044" s="707">
        <f t="shared" si="126"/>
        <v>229.99999999999997</v>
      </c>
      <c r="J4044" s="707">
        <f t="shared" si="127"/>
        <v>260</v>
      </c>
      <c r="K4044" s="55" t="s">
        <v>99</v>
      </c>
    </row>
    <row r="4045" spans="1:11" ht="24" customHeight="1">
      <c r="A4045" s="69" t="s">
        <v>3423</v>
      </c>
      <c r="B4045" s="68" t="s">
        <v>10</v>
      </c>
      <c r="C4045" s="65">
        <v>25</v>
      </c>
      <c r="D4045" s="65" t="s">
        <v>3348</v>
      </c>
      <c r="E4045" s="33">
        <v>5</v>
      </c>
      <c r="F4045" s="33"/>
      <c r="G4045" s="522"/>
      <c r="H4045" s="707">
        <v>3</v>
      </c>
      <c r="I4045" s="707">
        <f t="shared" si="126"/>
        <v>3.4499999999999997</v>
      </c>
      <c r="J4045" s="707">
        <f t="shared" si="127"/>
        <v>3.9000000000000004</v>
      </c>
      <c r="K4045" s="70"/>
    </row>
    <row r="4046" spans="1:11" ht="24" customHeight="1">
      <c r="A4046" s="33" t="s">
        <v>3401</v>
      </c>
      <c r="B4046" s="33" t="s">
        <v>10</v>
      </c>
      <c r="C4046" s="33">
        <v>12</v>
      </c>
      <c r="D4046" s="33" t="s">
        <v>3348</v>
      </c>
      <c r="E4046" s="33">
        <v>4</v>
      </c>
      <c r="F4046" s="33"/>
      <c r="G4046" s="522"/>
      <c r="H4046" s="707"/>
      <c r="I4046" s="707">
        <f t="shared" si="126"/>
        <v>0</v>
      </c>
      <c r="J4046" s="707">
        <f t="shared" si="127"/>
        <v>0</v>
      </c>
      <c r="K4046" s="70"/>
    </row>
    <row r="4047" spans="1:11" ht="24" customHeight="1">
      <c r="A4047" s="33" t="s">
        <v>1381</v>
      </c>
      <c r="B4047" s="33" t="s">
        <v>10</v>
      </c>
      <c r="C4047" s="33">
        <v>1</v>
      </c>
      <c r="D4047" s="33" t="s">
        <v>1372</v>
      </c>
      <c r="E4047" s="33">
        <v>3</v>
      </c>
      <c r="F4047" s="33"/>
      <c r="G4047" s="522"/>
      <c r="H4047" s="707">
        <v>3</v>
      </c>
      <c r="I4047" s="707">
        <f t="shared" si="126"/>
        <v>3.4499999999999997</v>
      </c>
      <c r="J4047" s="707">
        <f t="shared" si="127"/>
        <v>3.9000000000000004</v>
      </c>
      <c r="K4047" s="70"/>
    </row>
    <row r="4048" spans="1:11" ht="24" customHeight="1">
      <c r="A4048" s="33" t="s">
        <v>1381</v>
      </c>
      <c r="B4048" s="33" t="s">
        <v>10</v>
      </c>
      <c r="C4048" s="33">
        <v>1</v>
      </c>
      <c r="D4048" s="33" t="s">
        <v>3348</v>
      </c>
      <c r="E4048" s="33">
        <v>4</v>
      </c>
      <c r="F4048" s="33"/>
      <c r="G4048" s="522"/>
      <c r="H4048" s="707">
        <v>3</v>
      </c>
      <c r="I4048" s="707">
        <f t="shared" si="126"/>
        <v>3.4499999999999997</v>
      </c>
      <c r="J4048" s="707">
        <f t="shared" si="127"/>
        <v>3.9000000000000004</v>
      </c>
      <c r="K4048" s="70"/>
    </row>
    <row r="4049" spans="1:11" ht="24" customHeight="1">
      <c r="A4049" s="33" t="s">
        <v>2353</v>
      </c>
      <c r="B4049" s="33" t="s">
        <v>10</v>
      </c>
      <c r="C4049" s="33">
        <v>1</v>
      </c>
      <c r="D4049" s="33" t="s">
        <v>2276</v>
      </c>
      <c r="E4049" s="33">
        <v>1</v>
      </c>
      <c r="F4049" s="33"/>
      <c r="G4049" s="522"/>
      <c r="H4049" s="707"/>
      <c r="I4049" s="707">
        <f t="shared" si="126"/>
        <v>0</v>
      </c>
      <c r="J4049" s="707">
        <f t="shared" si="127"/>
        <v>0</v>
      </c>
      <c r="K4049" s="70"/>
    </row>
    <row r="4050" spans="1:11" ht="24" customHeight="1">
      <c r="A4050" s="33" t="s">
        <v>2353</v>
      </c>
      <c r="B4050" s="33" t="s">
        <v>10</v>
      </c>
      <c r="C4050" s="33">
        <v>2</v>
      </c>
      <c r="D4050" s="33" t="s">
        <v>2624</v>
      </c>
      <c r="E4050" s="33">
        <v>4</v>
      </c>
      <c r="F4050" s="33"/>
      <c r="G4050" s="522"/>
      <c r="H4050" s="707">
        <v>5</v>
      </c>
      <c r="I4050" s="707">
        <f t="shared" si="126"/>
        <v>5.75</v>
      </c>
      <c r="J4050" s="707">
        <f t="shared" si="127"/>
        <v>6.5</v>
      </c>
      <c r="K4050" s="70"/>
    </row>
    <row r="4051" spans="1:11" ht="24" customHeight="1">
      <c r="A4051" s="33" t="s">
        <v>1013</v>
      </c>
      <c r="B4051" s="33" t="s">
        <v>50</v>
      </c>
      <c r="C4051" s="33">
        <v>5</v>
      </c>
      <c r="D4051" s="33" t="s">
        <v>992</v>
      </c>
      <c r="E4051" s="33">
        <v>3</v>
      </c>
      <c r="F4051" s="33"/>
      <c r="G4051" s="522"/>
      <c r="H4051" s="707">
        <v>2</v>
      </c>
      <c r="I4051" s="707">
        <f t="shared" si="126"/>
        <v>2.2999999999999998</v>
      </c>
      <c r="J4051" s="707">
        <f t="shared" si="127"/>
        <v>2.6</v>
      </c>
      <c r="K4051" s="70" t="s">
        <v>1014</v>
      </c>
    </row>
    <row r="4052" spans="1:11" ht="24" customHeight="1">
      <c r="A4052" s="2" t="s">
        <v>1805</v>
      </c>
      <c r="B4052" s="2" t="s">
        <v>10</v>
      </c>
      <c r="C4052" s="2">
        <v>50</v>
      </c>
      <c r="D4052" s="2" t="s">
        <v>1785</v>
      </c>
      <c r="E4052" s="33">
        <v>1</v>
      </c>
      <c r="F4052" s="33"/>
      <c r="G4052" s="522"/>
      <c r="H4052" s="707">
        <v>15</v>
      </c>
      <c r="I4052" s="707">
        <f t="shared" si="126"/>
        <v>17.25</v>
      </c>
      <c r="J4052" s="707">
        <f t="shared" si="127"/>
        <v>19.5</v>
      </c>
      <c r="K4052" s="70"/>
    </row>
    <row r="4053" spans="1:11" ht="24" customHeight="1">
      <c r="A4053" s="2" t="s">
        <v>695</v>
      </c>
      <c r="B4053" s="2" t="s">
        <v>10</v>
      </c>
      <c r="C4053" s="2">
        <v>30</v>
      </c>
      <c r="D4053" s="2" t="s">
        <v>593</v>
      </c>
      <c r="E4053" s="33">
        <v>2</v>
      </c>
      <c r="F4053" s="33"/>
      <c r="G4053" s="522"/>
      <c r="H4053" s="707">
        <v>1</v>
      </c>
      <c r="I4053" s="707">
        <f t="shared" si="126"/>
        <v>1.1499999999999999</v>
      </c>
      <c r="J4053" s="707">
        <f t="shared" si="127"/>
        <v>1.3</v>
      </c>
      <c r="K4053" s="70"/>
    </row>
    <row r="4054" spans="1:11" ht="24" customHeight="1">
      <c r="A4054" s="33" t="s">
        <v>2119</v>
      </c>
      <c r="B4054" s="33" t="s">
        <v>50</v>
      </c>
      <c r="C4054" s="33">
        <v>69</v>
      </c>
      <c r="D4054" s="33" t="s">
        <v>2111</v>
      </c>
      <c r="E4054" s="33">
        <v>1</v>
      </c>
      <c r="F4054" s="33"/>
      <c r="G4054" s="522"/>
      <c r="H4054" s="707">
        <v>2</v>
      </c>
      <c r="I4054" s="707">
        <f t="shared" si="126"/>
        <v>2.2999999999999998</v>
      </c>
      <c r="J4054" s="707">
        <f t="shared" si="127"/>
        <v>2.6</v>
      </c>
      <c r="K4054" s="70"/>
    </row>
    <row r="4055" spans="1:11" ht="24" customHeight="1">
      <c r="A4055" s="33" t="s">
        <v>3104</v>
      </c>
      <c r="B4055" s="71" t="s">
        <v>10</v>
      </c>
      <c r="C4055" s="71">
        <v>120</v>
      </c>
      <c r="D4055" s="33" t="s">
        <v>3053</v>
      </c>
      <c r="E4055" s="71">
        <v>3</v>
      </c>
      <c r="F4055" s="71"/>
      <c r="G4055" s="686"/>
      <c r="H4055" s="709">
        <v>1.5</v>
      </c>
      <c r="I4055" s="709">
        <f t="shared" si="126"/>
        <v>1.7249999999999999</v>
      </c>
      <c r="J4055" s="709">
        <f t="shared" si="127"/>
        <v>1.9500000000000002</v>
      </c>
      <c r="K4055" s="70"/>
    </row>
    <row r="4056" spans="1:11" ht="24" customHeight="1">
      <c r="A4056" s="2" t="s">
        <v>697</v>
      </c>
      <c r="B4056" s="2" t="s">
        <v>10</v>
      </c>
      <c r="C4056" s="2">
        <v>31</v>
      </c>
      <c r="D4056" s="2" t="s">
        <v>593</v>
      </c>
      <c r="E4056" s="33">
        <v>2</v>
      </c>
      <c r="F4056" s="33"/>
      <c r="G4056" s="522"/>
      <c r="H4056" s="707"/>
      <c r="I4056" s="707">
        <f t="shared" si="126"/>
        <v>0</v>
      </c>
      <c r="J4056" s="707">
        <f t="shared" si="127"/>
        <v>0</v>
      </c>
      <c r="K4056" s="70"/>
    </row>
    <row r="4057" spans="1:11" ht="24" customHeight="1">
      <c r="A4057" s="74" t="s">
        <v>697</v>
      </c>
      <c r="B4057" s="74" t="s">
        <v>50</v>
      </c>
      <c r="C4057" s="74">
        <v>14</v>
      </c>
      <c r="D4057" s="33" t="s">
        <v>992</v>
      </c>
      <c r="E4057" s="33">
        <v>5</v>
      </c>
      <c r="F4057" s="33"/>
      <c r="G4057" s="522"/>
      <c r="H4057" s="707"/>
      <c r="I4057" s="707">
        <f t="shared" si="126"/>
        <v>0</v>
      </c>
      <c r="J4057" s="707">
        <f t="shared" si="127"/>
        <v>0</v>
      </c>
      <c r="K4057" s="70"/>
    </row>
    <row r="4058" spans="1:11" ht="24" customHeight="1">
      <c r="A4058" s="2" t="s">
        <v>49</v>
      </c>
      <c r="B4058" s="2" t="s">
        <v>50</v>
      </c>
      <c r="C4058" s="2">
        <v>18</v>
      </c>
      <c r="D4058" s="2" t="s">
        <v>11</v>
      </c>
      <c r="E4058" s="33">
        <v>1</v>
      </c>
      <c r="F4058" s="33"/>
      <c r="G4058" s="522"/>
      <c r="H4058" s="707">
        <v>3</v>
      </c>
      <c r="I4058" s="707">
        <f t="shared" si="126"/>
        <v>3.4499999999999997</v>
      </c>
      <c r="J4058" s="707">
        <f t="shared" si="127"/>
        <v>3.9000000000000004</v>
      </c>
      <c r="K4058" s="70" t="s">
        <v>51</v>
      </c>
    </row>
    <row r="4059" spans="1:11" ht="24" customHeight="1">
      <c r="A4059" s="33" t="s">
        <v>1600</v>
      </c>
      <c r="B4059" s="33" t="s">
        <v>10</v>
      </c>
      <c r="C4059" s="33">
        <v>10</v>
      </c>
      <c r="D4059" s="33" t="s">
        <v>1548</v>
      </c>
      <c r="E4059" s="33">
        <v>3</v>
      </c>
      <c r="F4059" s="33"/>
      <c r="G4059" s="522"/>
      <c r="H4059" s="707">
        <v>3</v>
      </c>
      <c r="I4059" s="707">
        <f t="shared" si="126"/>
        <v>3.4499999999999997</v>
      </c>
      <c r="J4059" s="707">
        <f t="shared" si="127"/>
        <v>3.9000000000000004</v>
      </c>
      <c r="K4059" s="70"/>
    </row>
    <row r="4060" spans="1:11" ht="24" customHeight="1">
      <c r="A4060" s="2" t="s">
        <v>3584</v>
      </c>
      <c r="B4060" s="2" t="s">
        <v>10</v>
      </c>
      <c r="C4060" s="2">
        <v>20</v>
      </c>
      <c r="D4060" s="33" t="s">
        <v>3568</v>
      </c>
      <c r="E4060" s="33">
        <v>2</v>
      </c>
      <c r="F4060" s="33"/>
      <c r="G4060" s="522"/>
      <c r="H4060" s="707"/>
      <c r="I4060" s="707">
        <f t="shared" si="126"/>
        <v>0</v>
      </c>
      <c r="J4060" s="707">
        <f t="shared" si="127"/>
        <v>0</v>
      </c>
      <c r="K4060" s="312" t="s">
        <v>3576</v>
      </c>
    </row>
    <row r="4061" spans="1:11" ht="24" customHeight="1">
      <c r="A4061" s="33" t="s">
        <v>1256</v>
      </c>
      <c r="B4061" s="33" t="s">
        <v>10</v>
      </c>
      <c r="C4061" s="33">
        <v>10</v>
      </c>
      <c r="D4061" s="33" t="s">
        <v>1201</v>
      </c>
      <c r="E4061" s="33">
        <v>4</v>
      </c>
      <c r="F4061" s="33"/>
      <c r="G4061" s="522"/>
      <c r="H4061" s="707">
        <v>0.5</v>
      </c>
      <c r="I4061" s="707">
        <f t="shared" si="126"/>
        <v>0.57499999999999996</v>
      </c>
      <c r="J4061" s="707">
        <f t="shared" si="127"/>
        <v>0.65</v>
      </c>
      <c r="K4061" s="70"/>
    </row>
    <row r="4062" spans="1:11" ht="24" customHeight="1">
      <c r="A4062" s="33" t="s">
        <v>1256</v>
      </c>
      <c r="B4062" s="33" t="s">
        <v>10</v>
      </c>
      <c r="C4062" s="33">
        <v>10</v>
      </c>
      <c r="D4062" s="33" t="s">
        <v>1548</v>
      </c>
      <c r="E4062" s="33">
        <v>3</v>
      </c>
      <c r="F4062" s="33"/>
      <c r="G4062" s="522"/>
      <c r="H4062" s="707">
        <v>0.5</v>
      </c>
      <c r="I4062" s="707">
        <f t="shared" si="126"/>
        <v>0.57499999999999996</v>
      </c>
      <c r="J4062" s="707">
        <f t="shared" si="127"/>
        <v>0.65</v>
      </c>
      <c r="K4062" s="70"/>
    </row>
    <row r="4063" spans="1:11" ht="24" customHeight="1">
      <c r="A4063" s="33" t="s">
        <v>1256</v>
      </c>
      <c r="B4063" s="33" t="s">
        <v>10</v>
      </c>
      <c r="C4063" s="33">
        <v>130</v>
      </c>
      <c r="D4063" s="33" t="s">
        <v>2363</v>
      </c>
      <c r="E4063" s="33">
        <v>4</v>
      </c>
      <c r="F4063" s="33"/>
      <c r="G4063" s="522"/>
      <c r="H4063" s="707">
        <v>0.5</v>
      </c>
      <c r="I4063" s="707">
        <f t="shared" si="126"/>
        <v>0.57499999999999996</v>
      </c>
      <c r="J4063" s="707">
        <f t="shared" si="127"/>
        <v>0.65</v>
      </c>
      <c r="K4063" s="70"/>
    </row>
    <row r="4064" spans="1:11" ht="24" customHeight="1">
      <c r="A4064" s="59" t="s">
        <v>3039</v>
      </c>
      <c r="B4064" s="59" t="s">
        <v>10</v>
      </c>
      <c r="C4064" s="59">
        <v>69</v>
      </c>
      <c r="D4064" s="33" t="s">
        <v>3027</v>
      </c>
      <c r="E4064" s="33">
        <v>1</v>
      </c>
      <c r="F4064" s="33"/>
      <c r="G4064" s="522"/>
      <c r="H4064" s="707"/>
      <c r="I4064" s="707">
        <f t="shared" si="126"/>
        <v>0</v>
      </c>
      <c r="J4064" s="707">
        <f t="shared" si="127"/>
        <v>0</v>
      </c>
      <c r="K4064" s="70"/>
    </row>
    <row r="4065" spans="1:11" ht="24" customHeight="1">
      <c r="A4065" s="33" t="s">
        <v>1974</v>
      </c>
      <c r="B4065" s="33" t="s">
        <v>10</v>
      </c>
      <c r="C4065" s="33">
        <v>18</v>
      </c>
      <c r="D4065" s="33" t="s">
        <v>1938</v>
      </c>
      <c r="E4065" s="33">
        <v>1</v>
      </c>
      <c r="F4065" s="33"/>
      <c r="G4065" s="522"/>
      <c r="H4065" s="707">
        <v>2</v>
      </c>
      <c r="I4065" s="707">
        <f t="shared" si="126"/>
        <v>2.2999999999999998</v>
      </c>
      <c r="J4065" s="707">
        <f t="shared" si="127"/>
        <v>2.6</v>
      </c>
      <c r="K4065" s="70"/>
    </row>
    <row r="4066" spans="1:11" ht="24" customHeight="1">
      <c r="A4066" s="33" t="s">
        <v>1595</v>
      </c>
      <c r="B4066" s="33" t="s">
        <v>10</v>
      </c>
      <c r="C4066" s="33">
        <v>52</v>
      </c>
      <c r="D4066" s="33" t="s">
        <v>1548</v>
      </c>
      <c r="E4066" s="33">
        <v>3</v>
      </c>
      <c r="F4066" s="33"/>
      <c r="G4066" s="522"/>
      <c r="H4066" s="707">
        <v>2</v>
      </c>
      <c r="I4066" s="707">
        <f t="shared" si="126"/>
        <v>2.2999999999999998</v>
      </c>
      <c r="J4066" s="707">
        <f t="shared" si="127"/>
        <v>2.6</v>
      </c>
      <c r="K4066" s="70"/>
    </row>
    <row r="4067" spans="1:11" ht="24" customHeight="1">
      <c r="A4067" s="33" t="s">
        <v>1595</v>
      </c>
      <c r="B4067" s="33" t="s">
        <v>10</v>
      </c>
      <c r="C4067" s="33">
        <v>60</v>
      </c>
      <c r="D4067" s="33" t="s">
        <v>2540</v>
      </c>
      <c r="E4067" s="33">
        <v>1</v>
      </c>
      <c r="F4067" s="33"/>
      <c r="G4067" s="522"/>
      <c r="H4067" s="707">
        <v>2</v>
      </c>
      <c r="I4067" s="707">
        <f t="shared" si="126"/>
        <v>2.2999999999999998</v>
      </c>
      <c r="J4067" s="707">
        <f t="shared" si="127"/>
        <v>2.6</v>
      </c>
      <c r="K4067" s="70"/>
    </row>
    <row r="4068" spans="1:11" ht="24" customHeight="1">
      <c r="A4068" s="74" t="s">
        <v>1102</v>
      </c>
      <c r="B4068" s="74" t="s">
        <v>10</v>
      </c>
      <c r="C4068" s="74">
        <v>14</v>
      </c>
      <c r="D4068" s="33" t="s">
        <v>992</v>
      </c>
      <c r="E4068" s="33">
        <v>5</v>
      </c>
      <c r="F4068" s="33"/>
      <c r="G4068" s="522"/>
      <c r="H4068" s="707"/>
      <c r="I4068" s="707">
        <f t="shared" si="126"/>
        <v>0</v>
      </c>
      <c r="J4068" s="707">
        <f t="shared" si="127"/>
        <v>0</v>
      </c>
      <c r="K4068" s="70"/>
    </row>
    <row r="4069" spans="1:11" ht="24" customHeight="1">
      <c r="A4069" s="33" t="s">
        <v>2638</v>
      </c>
      <c r="B4069" s="33" t="s">
        <v>83</v>
      </c>
      <c r="C4069" s="33">
        <v>37</v>
      </c>
      <c r="D4069" s="33" t="s">
        <v>2624</v>
      </c>
      <c r="E4069" s="33">
        <v>4</v>
      </c>
      <c r="F4069" s="33"/>
      <c r="G4069" s="522"/>
      <c r="H4069" s="707">
        <v>1</v>
      </c>
      <c r="I4069" s="707">
        <f t="shared" si="126"/>
        <v>1.1499999999999999</v>
      </c>
      <c r="J4069" s="707">
        <f t="shared" si="127"/>
        <v>1.3</v>
      </c>
      <c r="K4069" s="70"/>
    </row>
    <row r="4070" spans="1:11" ht="24" customHeight="1">
      <c r="A4070" s="33" t="s">
        <v>2638</v>
      </c>
      <c r="B4070" s="33" t="s">
        <v>10</v>
      </c>
      <c r="C4070" s="33">
        <v>1</v>
      </c>
      <c r="D4070" s="33" t="s">
        <v>3279</v>
      </c>
      <c r="E4070" s="33">
        <v>3</v>
      </c>
      <c r="F4070" s="33"/>
      <c r="G4070" s="522"/>
      <c r="H4070" s="707">
        <v>1</v>
      </c>
      <c r="I4070" s="707">
        <f t="shared" si="126"/>
        <v>1.1499999999999999</v>
      </c>
      <c r="J4070" s="707">
        <f t="shared" si="127"/>
        <v>1.3</v>
      </c>
      <c r="K4070" s="70"/>
    </row>
    <row r="4071" spans="1:11" ht="24" customHeight="1">
      <c r="A4071" s="2" t="s">
        <v>1799</v>
      </c>
      <c r="B4071" s="2" t="s">
        <v>10</v>
      </c>
      <c r="C4071" s="2">
        <v>1</v>
      </c>
      <c r="D4071" s="2" t="s">
        <v>1785</v>
      </c>
      <c r="E4071" s="33">
        <v>1</v>
      </c>
      <c r="F4071" s="33"/>
      <c r="G4071" s="522"/>
      <c r="H4071" s="707"/>
      <c r="I4071" s="707">
        <f t="shared" si="126"/>
        <v>0</v>
      </c>
      <c r="J4071" s="707">
        <f t="shared" si="127"/>
        <v>0</v>
      </c>
      <c r="K4071" s="70"/>
    </row>
    <row r="4072" spans="1:11" ht="24" customHeight="1">
      <c r="A4072" s="2" t="s">
        <v>696</v>
      </c>
      <c r="B4072" s="2" t="s">
        <v>10</v>
      </c>
      <c r="C4072" s="2">
        <v>30</v>
      </c>
      <c r="D4072" s="2" t="s">
        <v>593</v>
      </c>
      <c r="E4072" s="33">
        <v>2</v>
      </c>
      <c r="F4072" s="33"/>
      <c r="G4072" s="522"/>
      <c r="H4072" s="707">
        <v>1</v>
      </c>
      <c r="I4072" s="707">
        <f t="shared" si="126"/>
        <v>1.1499999999999999</v>
      </c>
      <c r="J4072" s="707">
        <f t="shared" si="127"/>
        <v>1.3</v>
      </c>
      <c r="K4072" s="70"/>
    </row>
    <row r="4073" spans="1:11" ht="24" customHeight="1">
      <c r="A4073" s="2" t="s">
        <v>3723</v>
      </c>
      <c r="B4073" s="2" t="s">
        <v>10</v>
      </c>
      <c r="C4073" s="2">
        <v>100</v>
      </c>
      <c r="D4073" s="2" t="s">
        <v>3705</v>
      </c>
      <c r="E4073" s="33">
        <v>2</v>
      </c>
      <c r="F4073" s="83"/>
      <c r="G4073" s="727"/>
      <c r="H4073" s="706"/>
      <c r="I4073" s="706">
        <f t="shared" si="126"/>
        <v>0</v>
      </c>
      <c r="J4073" s="706">
        <f t="shared" si="127"/>
        <v>0</v>
      </c>
      <c r="K4073" s="55"/>
    </row>
    <row r="4074" spans="1:11" ht="24" customHeight="1">
      <c r="A4074" s="3" t="s">
        <v>2928</v>
      </c>
      <c r="B4074" s="3" t="s">
        <v>10</v>
      </c>
      <c r="C4074" s="3">
        <v>35</v>
      </c>
      <c r="D4074" s="15" t="s">
        <v>2918</v>
      </c>
      <c r="E4074" s="15">
        <v>1</v>
      </c>
      <c r="F4074" s="15"/>
      <c r="G4074" s="684"/>
      <c r="H4074" s="707"/>
      <c r="I4074" s="707">
        <f t="shared" si="126"/>
        <v>0</v>
      </c>
      <c r="J4074" s="707">
        <f t="shared" si="127"/>
        <v>0</v>
      </c>
      <c r="K4074" s="70"/>
    </row>
    <row r="4075" spans="1:11" ht="24" customHeight="1">
      <c r="A4075" s="11" t="s">
        <v>3497</v>
      </c>
      <c r="B4075" s="11" t="s">
        <v>56</v>
      </c>
      <c r="C4075" s="11">
        <v>8</v>
      </c>
      <c r="D4075" s="131" t="s">
        <v>3451</v>
      </c>
      <c r="E4075" s="15">
        <v>3</v>
      </c>
      <c r="F4075" s="15"/>
      <c r="G4075" s="684"/>
      <c r="H4075" s="707"/>
      <c r="I4075" s="707">
        <f t="shared" si="126"/>
        <v>0</v>
      </c>
      <c r="J4075" s="707">
        <f t="shared" si="127"/>
        <v>0</v>
      </c>
      <c r="K4075" s="70"/>
    </row>
    <row r="4076" spans="1:11" ht="24" customHeight="1">
      <c r="A4076" s="33" t="s">
        <v>3357</v>
      </c>
      <c r="B4076" s="33" t="s">
        <v>3358</v>
      </c>
      <c r="C4076" s="33">
        <v>1</v>
      </c>
      <c r="D4076" s="33" t="s">
        <v>3348</v>
      </c>
      <c r="E4076" s="33">
        <v>3</v>
      </c>
      <c r="F4076" s="33"/>
      <c r="G4076" s="522"/>
      <c r="H4076" s="707"/>
      <c r="I4076" s="707">
        <f t="shared" si="126"/>
        <v>0</v>
      </c>
      <c r="J4076" s="707">
        <f t="shared" si="127"/>
        <v>0</v>
      </c>
      <c r="K4076" s="70"/>
    </row>
    <row r="4077" spans="1:11" ht="24" customHeight="1">
      <c r="A4077" s="74" t="s">
        <v>2136</v>
      </c>
      <c r="B4077" s="74" t="s">
        <v>25</v>
      </c>
      <c r="C4077" s="74">
        <v>6</v>
      </c>
      <c r="D4077" s="33" t="s">
        <v>2111</v>
      </c>
      <c r="E4077" s="33">
        <v>2</v>
      </c>
      <c r="F4077" s="33"/>
      <c r="G4077" s="522"/>
      <c r="H4077" s="707"/>
      <c r="I4077" s="707">
        <f t="shared" si="126"/>
        <v>0</v>
      </c>
      <c r="J4077" s="707">
        <f t="shared" si="127"/>
        <v>0</v>
      </c>
      <c r="K4077" s="70"/>
    </row>
    <row r="4078" spans="1:11" ht="24" customHeight="1">
      <c r="A4078" s="33" t="s">
        <v>2216</v>
      </c>
      <c r="B4078" s="33" t="s">
        <v>2217</v>
      </c>
      <c r="C4078" s="33">
        <v>4</v>
      </c>
      <c r="D4078" s="33" t="s">
        <v>2191</v>
      </c>
      <c r="E4078" s="33">
        <v>4</v>
      </c>
      <c r="F4078" s="33"/>
      <c r="G4078" s="522"/>
      <c r="H4078" s="707"/>
      <c r="I4078" s="707">
        <f t="shared" si="126"/>
        <v>0</v>
      </c>
      <c r="J4078" s="707">
        <f t="shared" si="127"/>
        <v>0</v>
      </c>
      <c r="K4078" s="70"/>
    </row>
    <row r="4079" spans="1:11" ht="24" customHeight="1">
      <c r="A4079" s="33" t="s">
        <v>1506</v>
      </c>
      <c r="B4079" s="33" t="s">
        <v>1172</v>
      </c>
      <c r="C4079" s="33">
        <v>2</v>
      </c>
      <c r="D4079" s="33" t="s">
        <v>1494</v>
      </c>
      <c r="E4079" s="33">
        <v>1</v>
      </c>
      <c r="F4079" s="33"/>
      <c r="G4079" s="522"/>
      <c r="H4079" s="707"/>
      <c r="I4079" s="707">
        <f t="shared" si="126"/>
        <v>0</v>
      </c>
      <c r="J4079" s="707">
        <f t="shared" si="127"/>
        <v>0</v>
      </c>
      <c r="K4079" s="70"/>
    </row>
    <row r="4080" spans="1:11" ht="14.4">
      <c r="A4080" s="17" t="s">
        <v>1711</v>
      </c>
      <c r="B4080" s="17" t="s">
        <v>1712</v>
      </c>
      <c r="C4080" s="17">
        <v>2</v>
      </c>
      <c r="D4080" s="131" t="s">
        <v>1681</v>
      </c>
      <c r="E4080" s="15">
        <v>1</v>
      </c>
      <c r="F4080" s="15"/>
      <c r="G4080" s="684"/>
      <c r="H4080" s="707"/>
      <c r="I4080" s="707">
        <f t="shared" si="126"/>
        <v>0</v>
      </c>
      <c r="J4080" s="707">
        <f t="shared" si="127"/>
        <v>0</v>
      </c>
      <c r="K4080" s="70"/>
    </row>
    <row r="4081" spans="1:11" ht="24" customHeight="1">
      <c r="A4081" s="2" t="s">
        <v>3426</v>
      </c>
      <c r="B4081" s="2" t="s">
        <v>3425</v>
      </c>
      <c r="C4081" s="2">
        <v>9</v>
      </c>
      <c r="D4081" s="65" t="s">
        <v>3348</v>
      </c>
      <c r="E4081" s="33">
        <v>5</v>
      </c>
      <c r="F4081" s="33"/>
      <c r="G4081" s="522"/>
      <c r="H4081" s="707"/>
      <c r="I4081" s="707">
        <f t="shared" si="126"/>
        <v>0</v>
      </c>
      <c r="J4081" s="707">
        <f t="shared" si="127"/>
        <v>0</v>
      </c>
      <c r="K4081" s="70" t="s">
        <v>241</v>
      </c>
    </row>
    <row r="4082" spans="1:11" ht="24" customHeight="1">
      <c r="A4082" s="3" t="s">
        <v>2827</v>
      </c>
      <c r="B4082" s="3" t="s">
        <v>19</v>
      </c>
      <c r="C4082" s="3">
        <v>129</v>
      </c>
      <c r="D4082" s="58" t="s">
        <v>2802</v>
      </c>
      <c r="E4082" s="33">
        <v>2</v>
      </c>
      <c r="F4082" s="33"/>
      <c r="G4082" s="522"/>
      <c r="H4082" s="707"/>
      <c r="I4082" s="707">
        <f t="shared" si="126"/>
        <v>0</v>
      </c>
      <c r="J4082" s="707">
        <f t="shared" si="127"/>
        <v>0</v>
      </c>
      <c r="K4082" s="70"/>
    </row>
    <row r="4083" spans="1:11" ht="24" customHeight="1">
      <c r="A4083" s="33" t="s">
        <v>1226</v>
      </c>
      <c r="B4083" s="33" t="s">
        <v>389</v>
      </c>
      <c r="C4083" s="33">
        <v>3</v>
      </c>
      <c r="D4083" s="33" t="s">
        <v>1201</v>
      </c>
      <c r="E4083" s="33">
        <v>3</v>
      </c>
      <c r="F4083" s="33"/>
      <c r="G4083" s="522"/>
      <c r="H4083" s="707"/>
      <c r="I4083" s="707">
        <f t="shared" si="126"/>
        <v>0</v>
      </c>
      <c r="J4083" s="707">
        <f t="shared" si="127"/>
        <v>0</v>
      </c>
      <c r="K4083" s="70"/>
    </row>
    <row r="4084" spans="1:11" ht="24" customHeight="1">
      <c r="A4084" s="33" t="s">
        <v>2056</v>
      </c>
      <c r="B4084" s="33" t="s">
        <v>1197</v>
      </c>
      <c r="C4084" s="33">
        <v>10</v>
      </c>
      <c r="D4084" s="33" t="s">
        <v>2026</v>
      </c>
      <c r="E4084" s="33">
        <v>4</v>
      </c>
      <c r="F4084" s="33"/>
      <c r="G4084" s="522"/>
      <c r="H4084" s="707"/>
      <c r="I4084" s="707">
        <f t="shared" si="126"/>
        <v>0</v>
      </c>
      <c r="J4084" s="707">
        <f t="shared" si="127"/>
        <v>0</v>
      </c>
      <c r="K4084" s="70"/>
    </row>
    <row r="4085" spans="1:11" ht="24" customHeight="1">
      <c r="A4085" s="33" t="s">
        <v>1185</v>
      </c>
      <c r="B4085" s="33" t="s">
        <v>1186</v>
      </c>
      <c r="C4085" s="33">
        <v>1</v>
      </c>
      <c r="D4085" s="33" t="s">
        <v>1141</v>
      </c>
      <c r="E4085" s="33">
        <v>2</v>
      </c>
      <c r="F4085" s="33"/>
      <c r="G4085" s="522"/>
      <c r="H4085" s="707"/>
      <c r="I4085" s="707">
        <f t="shared" si="126"/>
        <v>0</v>
      </c>
      <c r="J4085" s="707">
        <f t="shared" si="127"/>
        <v>0</v>
      </c>
      <c r="K4085" s="70"/>
    </row>
    <row r="4086" spans="1:11" ht="24" customHeight="1">
      <c r="A4086" s="33" t="s">
        <v>1195</v>
      </c>
      <c r="B4086" s="33" t="s">
        <v>389</v>
      </c>
      <c r="C4086" s="33">
        <v>1</v>
      </c>
      <c r="D4086" s="33" t="s">
        <v>1141</v>
      </c>
      <c r="E4086" s="33">
        <v>2</v>
      </c>
      <c r="F4086" s="33"/>
      <c r="G4086" s="522"/>
      <c r="H4086" s="707"/>
      <c r="I4086" s="707">
        <f t="shared" si="126"/>
        <v>0</v>
      </c>
      <c r="J4086" s="707">
        <f t="shared" si="127"/>
        <v>0</v>
      </c>
      <c r="K4086" s="70"/>
    </row>
    <row r="4087" spans="1:11" ht="24" customHeight="1">
      <c r="A4087" s="33" t="s">
        <v>1189</v>
      </c>
      <c r="B4087" s="33" t="s">
        <v>529</v>
      </c>
      <c r="C4087" s="33">
        <v>1</v>
      </c>
      <c r="D4087" s="33" t="s">
        <v>1141</v>
      </c>
      <c r="E4087" s="33">
        <v>2</v>
      </c>
      <c r="F4087" s="33"/>
      <c r="G4087" s="522"/>
      <c r="H4087" s="707"/>
      <c r="I4087" s="707">
        <f t="shared" si="126"/>
        <v>0</v>
      </c>
      <c r="J4087" s="707">
        <f t="shared" si="127"/>
        <v>0</v>
      </c>
      <c r="K4087" s="70"/>
    </row>
    <row r="4088" spans="1:11" ht="24" customHeight="1">
      <c r="A4088" s="33" t="s">
        <v>1191</v>
      </c>
      <c r="B4088" s="33" t="s">
        <v>1192</v>
      </c>
      <c r="C4088" s="33">
        <v>1</v>
      </c>
      <c r="D4088" s="33" t="s">
        <v>1141</v>
      </c>
      <c r="E4088" s="33">
        <v>2</v>
      </c>
      <c r="F4088" s="33"/>
      <c r="G4088" s="522"/>
      <c r="H4088" s="707"/>
      <c r="I4088" s="707">
        <f t="shared" si="126"/>
        <v>0</v>
      </c>
      <c r="J4088" s="707">
        <f t="shared" si="127"/>
        <v>0</v>
      </c>
      <c r="K4088" s="70"/>
    </row>
    <row r="4089" spans="1:11" ht="24" customHeight="1">
      <c r="A4089" s="33" t="s">
        <v>1194</v>
      </c>
      <c r="B4089" s="33" t="s">
        <v>1039</v>
      </c>
      <c r="C4089" s="33">
        <v>1</v>
      </c>
      <c r="D4089" s="33" t="s">
        <v>1141</v>
      </c>
      <c r="E4089" s="33">
        <v>2</v>
      </c>
      <c r="F4089" s="33"/>
      <c r="G4089" s="522"/>
      <c r="H4089" s="707"/>
      <c r="I4089" s="707">
        <f t="shared" si="126"/>
        <v>0</v>
      </c>
      <c r="J4089" s="707">
        <f t="shared" si="127"/>
        <v>0</v>
      </c>
      <c r="K4089" s="70"/>
    </row>
    <row r="4090" spans="1:11" ht="24" customHeight="1">
      <c r="A4090" s="33" t="s">
        <v>1196</v>
      </c>
      <c r="B4090" s="33" t="s">
        <v>1197</v>
      </c>
      <c r="C4090" s="33">
        <v>1</v>
      </c>
      <c r="D4090" s="33" t="s">
        <v>1141</v>
      </c>
      <c r="E4090" s="33">
        <v>2</v>
      </c>
      <c r="F4090" s="33"/>
      <c r="G4090" s="522"/>
      <c r="H4090" s="707"/>
      <c r="I4090" s="707">
        <f t="shared" si="126"/>
        <v>0</v>
      </c>
      <c r="J4090" s="707">
        <f t="shared" si="127"/>
        <v>0</v>
      </c>
      <c r="K4090" s="70"/>
    </row>
    <row r="4091" spans="1:11" ht="24" customHeight="1">
      <c r="A4091" s="33" t="s">
        <v>1190</v>
      </c>
      <c r="B4091" s="33" t="s">
        <v>529</v>
      </c>
      <c r="C4091" s="33">
        <v>1</v>
      </c>
      <c r="D4091" s="33" t="s">
        <v>1141</v>
      </c>
      <c r="E4091" s="33">
        <v>2</v>
      </c>
      <c r="F4091" s="33"/>
      <c r="G4091" s="522"/>
      <c r="H4091" s="707"/>
      <c r="I4091" s="707">
        <f t="shared" si="126"/>
        <v>0</v>
      </c>
      <c r="J4091" s="707">
        <f t="shared" si="127"/>
        <v>0</v>
      </c>
      <c r="K4091" s="70"/>
    </row>
    <row r="4092" spans="1:11" ht="24" customHeight="1">
      <c r="A4092" s="33" t="s">
        <v>1193</v>
      </c>
      <c r="B4092" s="33" t="s">
        <v>529</v>
      </c>
      <c r="C4092" s="33">
        <v>1</v>
      </c>
      <c r="D4092" s="33" t="s">
        <v>1141</v>
      </c>
      <c r="E4092" s="33">
        <v>2</v>
      </c>
      <c r="F4092" s="33"/>
      <c r="G4092" s="522"/>
      <c r="H4092" s="707"/>
      <c r="I4092" s="707">
        <f t="shared" si="126"/>
        <v>0</v>
      </c>
      <c r="J4092" s="707">
        <f t="shared" si="127"/>
        <v>0</v>
      </c>
      <c r="K4092" s="70"/>
    </row>
    <row r="4093" spans="1:11" ht="24" customHeight="1">
      <c r="A4093" s="11" t="s">
        <v>3075</v>
      </c>
      <c r="B4093" s="34" t="s">
        <v>150</v>
      </c>
      <c r="C4093" s="11">
        <v>1</v>
      </c>
      <c r="D4093" s="262" t="s">
        <v>3053</v>
      </c>
      <c r="E4093" s="17">
        <v>2</v>
      </c>
      <c r="F4093" s="17"/>
      <c r="G4093" s="687"/>
      <c r="H4093" s="707"/>
      <c r="I4093" s="707">
        <f t="shared" si="126"/>
        <v>0</v>
      </c>
      <c r="J4093" s="707">
        <f t="shared" si="127"/>
        <v>0</v>
      </c>
      <c r="K4093" s="70"/>
    </row>
    <row r="4094" spans="1:11" ht="24" customHeight="1">
      <c r="A4094" s="17" t="s">
        <v>2786</v>
      </c>
      <c r="B4094" s="244" t="s">
        <v>485</v>
      </c>
      <c r="C4094" s="17">
        <v>6</v>
      </c>
      <c r="D4094" s="678" t="s">
        <v>2772</v>
      </c>
      <c r="E4094" s="17">
        <v>4</v>
      </c>
      <c r="F4094" s="17"/>
      <c r="G4094" s="687"/>
      <c r="H4094" s="707"/>
      <c r="I4094" s="707">
        <f t="shared" si="126"/>
        <v>0</v>
      </c>
      <c r="J4094" s="707">
        <f t="shared" si="127"/>
        <v>0</v>
      </c>
      <c r="K4094" s="70"/>
    </row>
    <row r="4095" spans="1:11" ht="24" customHeight="1">
      <c r="A4095" s="17" t="s">
        <v>2787</v>
      </c>
      <c r="B4095" s="244" t="s">
        <v>10</v>
      </c>
      <c r="C4095" s="17">
        <v>3</v>
      </c>
      <c r="D4095" s="678" t="s">
        <v>2772</v>
      </c>
      <c r="E4095" s="17">
        <v>4</v>
      </c>
      <c r="F4095" s="17"/>
      <c r="G4095" s="687"/>
      <c r="H4095" s="707"/>
      <c r="I4095" s="707">
        <f t="shared" si="126"/>
        <v>0</v>
      </c>
      <c r="J4095" s="707">
        <f t="shared" si="127"/>
        <v>0</v>
      </c>
      <c r="K4095" s="70"/>
    </row>
    <row r="4096" spans="1:11" ht="24" customHeight="1">
      <c r="A4096" s="33" t="s">
        <v>2962</v>
      </c>
      <c r="B4096" s="33" t="s">
        <v>96</v>
      </c>
      <c r="C4096" s="33">
        <v>42</v>
      </c>
      <c r="D4096" s="677" t="s">
        <v>2947</v>
      </c>
      <c r="E4096" s="33">
        <v>4</v>
      </c>
      <c r="F4096" s="33"/>
      <c r="G4096" s="522"/>
      <c r="H4096" s="707"/>
      <c r="I4096" s="707">
        <f t="shared" si="126"/>
        <v>0</v>
      </c>
      <c r="J4096" s="707">
        <f t="shared" si="127"/>
        <v>0</v>
      </c>
      <c r="K4096" s="70"/>
    </row>
    <row r="4097" spans="1:11" ht="24" customHeight="1">
      <c r="A4097" s="387" t="s">
        <v>3506</v>
      </c>
      <c r="B4097" s="11" t="s">
        <v>272</v>
      </c>
      <c r="C4097" s="11">
        <v>8</v>
      </c>
      <c r="D4097" s="678" t="s">
        <v>3451</v>
      </c>
      <c r="E4097" s="15">
        <v>3</v>
      </c>
      <c r="F4097" s="15"/>
      <c r="G4097" s="684"/>
      <c r="H4097" s="707"/>
      <c r="I4097" s="707">
        <f t="shared" si="126"/>
        <v>0</v>
      </c>
      <c r="J4097" s="707">
        <f t="shared" si="127"/>
        <v>0</v>
      </c>
      <c r="K4097" s="70"/>
    </row>
    <row r="4098" spans="1:11" ht="24" customHeight="1">
      <c r="A4098" s="2" t="s">
        <v>445</v>
      </c>
      <c r="B4098" s="2" t="s">
        <v>21</v>
      </c>
      <c r="C4098" s="2">
        <v>2</v>
      </c>
      <c r="D4098" s="259" t="s">
        <v>274</v>
      </c>
      <c r="E4098" s="33">
        <v>3</v>
      </c>
      <c r="F4098" s="33"/>
      <c r="G4098" s="522"/>
      <c r="H4098" s="707"/>
      <c r="I4098" s="707">
        <f t="shared" si="126"/>
        <v>0</v>
      </c>
      <c r="J4098" s="707">
        <f t="shared" si="127"/>
        <v>0</v>
      </c>
      <c r="K4098" s="70"/>
    </row>
    <row r="4099" spans="1:11" ht="24" customHeight="1">
      <c r="A4099" s="74" t="s">
        <v>1302</v>
      </c>
      <c r="B4099" s="74" t="s">
        <v>137</v>
      </c>
      <c r="C4099" s="74">
        <v>10</v>
      </c>
      <c r="D4099" s="262" t="s">
        <v>1201</v>
      </c>
      <c r="E4099" s="33">
        <v>5</v>
      </c>
      <c r="F4099" s="33"/>
      <c r="G4099" s="522"/>
      <c r="H4099" s="707"/>
      <c r="I4099" s="707">
        <f t="shared" ref="I4099:I4162" si="128">H4099 * 1.15</f>
        <v>0</v>
      </c>
      <c r="J4099" s="707">
        <f t="shared" ref="J4099:J4162" si="129">H4099 * 1.3</f>
        <v>0</v>
      </c>
      <c r="K4099" s="70"/>
    </row>
    <row r="4100" spans="1:11" ht="24" customHeight="1">
      <c r="A4100" s="74" t="s">
        <v>1303</v>
      </c>
      <c r="B4100" s="74" t="s">
        <v>137</v>
      </c>
      <c r="C4100" s="74">
        <v>10</v>
      </c>
      <c r="D4100" s="262" t="s">
        <v>1201</v>
      </c>
      <c r="E4100" s="33">
        <v>5</v>
      </c>
      <c r="F4100" s="33"/>
      <c r="G4100" s="522"/>
      <c r="H4100" s="707"/>
      <c r="I4100" s="707">
        <f t="shared" si="128"/>
        <v>0</v>
      </c>
      <c r="J4100" s="707">
        <f t="shared" si="129"/>
        <v>0</v>
      </c>
      <c r="K4100" s="70"/>
    </row>
    <row r="4101" spans="1:11" ht="24" customHeight="1">
      <c r="A4101" s="2" t="s">
        <v>437</v>
      </c>
      <c r="B4101" s="2" t="s">
        <v>27</v>
      </c>
      <c r="C4101" s="2">
        <v>1</v>
      </c>
      <c r="D4101" s="259" t="s">
        <v>274</v>
      </c>
      <c r="E4101" s="33">
        <v>3</v>
      </c>
      <c r="F4101" s="33"/>
      <c r="G4101" s="522"/>
      <c r="H4101" s="707"/>
      <c r="I4101" s="707">
        <f t="shared" si="128"/>
        <v>0</v>
      </c>
      <c r="J4101" s="707">
        <f t="shared" si="129"/>
        <v>0</v>
      </c>
      <c r="K4101" s="70"/>
    </row>
    <row r="4102" spans="1:11" ht="24" customHeight="1">
      <c r="A4102" s="33" t="s">
        <v>1103</v>
      </c>
      <c r="B4102" s="33" t="s">
        <v>50</v>
      </c>
      <c r="C4102" s="33">
        <v>30</v>
      </c>
      <c r="D4102" s="262" t="s">
        <v>992</v>
      </c>
      <c r="E4102" s="33">
        <v>5</v>
      </c>
      <c r="F4102" s="33"/>
      <c r="G4102" s="522"/>
      <c r="H4102" s="707">
        <v>3</v>
      </c>
      <c r="I4102" s="707">
        <f t="shared" si="128"/>
        <v>3.4499999999999997</v>
      </c>
      <c r="J4102" s="707">
        <f t="shared" si="129"/>
        <v>3.9000000000000004</v>
      </c>
      <c r="K4102" s="70"/>
    </row>
    <row r="4103" spans="1:11" ht="24" customHeight="1">
      <c r="A4103" s="59" t="s">
        <v>2697</v>
      </c>
      <c r="B4103" s="59" t="s">
        <v>10</v>
      </c>
      <c r="C4103" s="59">
        <v>4</v>
      </c>
      <c r="D4103" s="262" t="s">
        <v>2624</v>
      </c>
      <c r="E4103" s="354">
        <v>5</v>
      </c>
      <c r="F4103" s="354"/>
      <c r="G4103" s="688"/>
      <c r="H4103" s="707">
        <v>4</v>
      </c>
      <c r="I4103" s="707">
        <f t="shared" si="128"/>
        <v>4.5999999999999996</v>
      </c>
      <c r="J4103" s="707">
        <f t="shared" si="129"/>
        <v>5.2</v>
      </c>
      <c r="K4103" s="70"/>
    </row>
    <row r="4104" spans="1:11" ht="24" customHeight="1">
      <c r="A4104" s="2" t="s">
        <v>106</v>
      </c>
      <c r="B4104" s="2" t="s">
        <v>50</v>
      </c>
      <c r="C4104" s="2">
        <v>10</v>
      </c>
      <c r="D4104" s="259" t="s">
        <v>11</v>
      </c>
      <c r="E4104" s="33">
        <v>2</v>
      </c>
      <c r="F4104" s="33"/>
      <c r="G4104" s="522"/>
      <c r="H4104" s="707"/>
      <c r="I4104" s="707">
        <f t="shared" si="128"/>
        <v>0</v>
      </c>
      <c r="J4104" s="707">
        <f t="shared" si="129"/>
        <v>0</v>
      </c>
      <c r="K4104" s="70"/>
    </row>
    <row r="4105" spans="1:11" ht="24" customHeight="1">
      <c r="A4105" s="2" t="s">
        <v>438</v>
      </c>
      <c r="B4105" s="2" t="s">
        <v>27</v>
      </c>
      <c r="C4105" s="2">
        <v>4</v>
      </c>
      <c r="D4105" s="259" t="s">
        <v>274</v>
      </c>
      <c r="E4105" s="33">
        <v>3</v>
      </c>
      <c r="F4105" s="33"/>
      <c r="G4105" s="522"/>
      <c r="H4105" s="707"/>
      <c r="I4105" s="707">
        <f t="shared" si="128"/>
        <v>0</v>
      </c>
      <c r="J4105" s="707">
        <f t="shared" si="129"/>
        <v>0</v>
      </c>
      <c r="K4105" s="70"/>
    </row>
    <row r="4106" spans="1:11" ht="24" customHeight="1">
      <c r="A4106" s="2" t="s">
        <v>444</v>
      </c>
      <c r="B4106" s="2" t="s">
        <v>21</v>
      </c>
      <c r="C4106" s="2">
        <v>2</v>
      </c>
      <c r="D4106" s="2" t="s">
        <v>274</v>
      </c>
      <c r="E4106" s="33">
        <v>3</v>
      </c>
      <c r="F4106" s="33"/>
      <c r="G4106" s="522"/>
      <c r="H4106" s="707"/>
      <c r="I4106" s="707">
        <f t="shared" si="128"/>
        <v>0</v>
      </c>
      <c r="J4106" s="707">
        <f t="shared" si="129"/>
        <v>0</v>
      </c>
      <c r="K4106" s="70"/>
    </row>
    <row r="4107" spans="1:11" ht="24" customHeight="1">
      <c r="A4107" s="3" t="s">
        <v>3015</v>
      </c>
      <c r="B4107" s="3" t="s">
        <v>14</v>
      </c>
      <c r="C4107" s="3">
        <v>9</v>
      </c>
      <c r="D4107" s="677" t="s">
        <v>2947</v>
      </c>
      <c r="E4107" s="354">
        <v>5</v>
      </c>
      <c r="F4107" s="354"/>
      <c r="G4107" s="688"/>
      <c r="H4107" s="707"/>
      <c r="I4107" s="707">
        <f t="shared" si="128"/>
        <v>0</v>
      </c>
      <c r="J4107" s="707">
        <f t="shared" si="129"/>
        <v>0</v>
      </c>
      <c r="K4107" s="70"/>
    </row>
    <row r="4108" spans="1:11" ht="24" customHeight="1">
      <c r="A4108" s="33" t="s">
        <v>262</v>
      </c>
      <c r="B4108" s="55" t="s">
        <v>263</v>
      </c>
      <c r="C4108" s="33">
        <v>1</v>
      </c>
      <c r="D4108" s="259" t="s">
        <v>188</v>
      </c>
      <c r="E4108" s="33">
        <v>5</v>
      </c>
      <c r="F4108" s="33"/>
      <c r="G4108" s="522"/>
      <c r="H4108" s="707">
        <v>299.25</v>
      </c>
      <c r="I4108" s="707">
        <f t="shared" si="128"/>
        <v>344.13749999999999</v>
      </c>
      <c r="J4108" s="707">
        <f t="shared" si="129"/>
        <v>389.02500000000003</v>
      </c>
      <c r="K4108" s="70"/>
    </row>
    <row r="4109" spans="1:11" ht="24" customHeight="1">
      <c r="A4109" s="33" t="s">
        <v>1242</v>
      </c>
      <c r="B4109" s="33" t="s">
        <v>1243</v>
      </c>
      <c r="C4109" s="33">
        <v>1</v>
      </c>
      <c r="D4109" s="262" t="s">
        <v>1201</v>
      </c>
      <c r="E4109" s="33">
        <v>4</v>
      </c>
      <c r="F4109" s="33"/>
      <c r="G4109" s="522"/>
      <c r="H4109" s="707">
        <v>50</v>
      </c>
      <c r="I4109" s="707">
        <f t="shared" si="128"/>
        <v>57.499999999999993</v>
      </c>
      <c r="J4109" s="707">
        <f t="shared" si="129"/>
        <v>65</v>
      </c>
      <c r="K4109" s="70"/>
    </row>
    <row r="4110" spans="1:11" ht="24" customHeight="1">
      <c r="A4110" s="33" t="s">
        <v>1251</v>
      </c>
      <c r="B4110" s="33" t="s">
        <v>1252</v>
      </c>
      <c r="C4110" s="33">
        <v>4</v>
      </c>
      <c r="D4110" s="262" t="s">
        <v>1201</v>
      </c>
      <c r="E4110" s="33">
        <v>4</v>
      </c>
      <c r="F4110" s="33"/>
      <c r="G4110" s="522"/>
      <c r="H4110" s="707">
        <v>90</v>
      </c>
      <c r="I4110" s="707">
        <f t="shared" si="128"/>
        <v>103.49999999999999</v>
      </c>
      <c r="J4110" s="707">
        <f t="shared" si="129"/>
        <v>117</v>
      </c>
      <c r="K4110" s="70"/>
    </row>
    <row r="4111" spans="1:11" ht="24" customHeight="1">
      <c r="A4111" s="33" t="s">
        <v>996</v>
      </c>
      <c r="B4111" s="33" t="s">
        <v>25</v>
      </c>
      <c r="C4111" s="33">
        <v>3</v>
      </c>
      <c r="D4111" s="262" t="s">
        <v>992</v>
      </c>
      <c r="E4111" s="33">
        <v>3</v>
      </c>
      <c r="F4111" s="33"/>
      <c r="G4111" s="522"/>
      <c r="H4111" s="707"/>
      <c r="I4111" s="707">
        <f t="shared" si="128"/>
        <v>0</v>
      </c>
      <c r="J4111" s="707">
        <f t="shared" si="129"/>
        <v>0</v>
      </c>
      <c r="K4111" s="70"/>
    </row>
    <row r="4112" spans="1:11" ht="24" customHeight="1">
      <c r="A4112" s="74" t="s">
        <v>1480</v>
      </c>
      <c r="B4112" s="74" t="s">
        <v>1481</v>
      </c>
      <c r="C4112" s="74">
        <v>1</v>
      </c>
      <c r="D4112" s="33" t="s">
        <v>1372</v>
      </c>
      <c r="E4112" s="33">
        <v>5</v>
      </c>
      <c r="F4112" s="33"/>
      <c r="G4112" s="522"/>
      <c r="H4112" s="707"/>
      <c r="I4112" s="707">
        <f t="shared" si="128"/>
        <v>0</v>
      </c>
      <c r="J4112" s="707">
        <f t="shared" si="129"/>
        <v>0</v>
      </c>
      <c r="K4112" s="70"/>
    </row>
    <row r="4113" spans="1:11" ht="24" customHeight="1">
      <c r="A4113" s="11" t="s">
        <v>3153</v>
      </c>
      <c r="B4113" s="34" t="s">
        <v>207</v>
      </c>
      <c r="C4113" s="11">
        <v>2</v>
      </c>
      <c r="D4113" s="262" t="s">
        <v>3053</v>
      </c>
      <c r="E4113" s="33">
        <v>3</v>
      </c>
      <c r="F4113" s="33"/>
      <c r="G4113" s="522"/>
      <c r="H4113" s="707">
        <v>30</v>
      </c>
      <c r="I4113" s="707">
        <f t="shared" si="128"/>
        <v>34.5</v>
      </c>
      <c r="J4113" s="707">
        <f t="shared" si="129"/>
        <v>39</v>
      </c>
      <c r="K4113" s="70"/>
    </row>
    <row r="4114" spans="1:11" ht="24" customHeight="1">
      <c r="A4114" s="17" t="s">
        <v>1753</v>
      </c>
      <c r="B4114" s="17" t="s">
        <v>83</v>
      </c>
      <c r="C4114" s="17">
        <v>3</v>
      </c>
      <c r="D4114" s="678" t="s">
        <v>1723</v>
      </c>
      <c r="E4114" s="15">
        <v>1</v>
      </c>
      <c r="F4114" s="15"/>
      <c r="G4114" s="684"/>
      <c r="H4114" s="708"/>
      <c r="I4114" s="707">
        <f t="shared" si="128"/>
        <v>0</v>
      </c>
      <c r="J4114" s="708">
        <f t="shared" si="129"/>
        <v>0</v>
      </c>
      <c r="K4114" s="70"/>
    </row>
    <row r="4115" spans="1:11" ht="24" customHeight="1">
      <c r="A4115" s="33" t="s">
        <v>8144</v>
      </c>
      <c r="B4115" s="33" t="s">
        <v>8145</v>
      </c>
      <c r="C4115" s="33">
        <v>10</v>
      </c>
      <c r="D4115" s="262" t="s">
        <v>8137</v>
      </c>
      <c r="E4115" s="33">
        <v>5</v>
      </c>
      <c r="F4115" s="33"/>
      <c r="G4115" s="522"/>
      <c r="H4115" s="708">
        <v>0.88</v>
      </c>
      <c r="I4115" s="707">
        <f t="shared" si="128"/>
        <v>1.012</v>
      </c>
      <c r="J4115" s="708">
        <f t="shared" si="129"/>
        <v>1.1440000000000001</v>
      </c>
      <c r="K4115" s="93"/>
    </row>
    <row r="4116" spans="1:11" ht="24" customHeight="1">
      <c r="A4116" s="33" t="s">
        <v>3580</v>
      </c>
      <c r="B4116" s="33" t="s">
        <v>172</v>
      </c>
      <c r="C4116" s="33">
        <v>45</v>
      </c>
      <c r="D4116" s="262" t="s">
        <v>8137</v>
      </c>
      <c r="E4116" s="33">
        <v>5</v>
      </c>
      <c r="F4116" s="33"/>
      <c r="G4116" s="522"/>
      <c r="H4116" s="707">
        <v>2.56</v>
      </c>
      <c r="I4116" s="707">
        <f t="shared" si="128"/>
        <v>2.944</v>
      </c>
      <c r="J4116" s="707">
        <f t="shared" si="129"/>
        <v>3.3280000000000003</v>
      </c>
      <c r="K4116" s="70"/>
    </row>
    <row r="4117" spans="1:11" ht="24" customHeight="1">
      <c r="A4117" s="33" t="s">
        <v>8138</v>
      </c>
      <c r="B4117" s="84" t="s">
        <v>779</v>
      </c>
      <c r="C4117" s="33">
        <v>93</v>
      </c>
      <c r="D4117" s="262" t="s">
        <v>8137</v>
      </c>
      <c r="E4117" s="33">
        <v>5</v>
      </c>
      <c r="F4117" s="33"/>
      <c r="G4117" s="522"/>
      <c r="H4117" s="707">
        <v>3.76</v>
      </c>
      <c r="I4117" s="707">
        <f t="shared" si="128"/>
        <v>4.3239999999999998</v>
      </c>
      <c r="J4117" s="707">
        <f t="shared" si="129"/>
        <v>4.8879999999999999</v>
      </c>
      <c r="K4117" s="70"/>
    </row>
    <row r="4118" spans="1:11" ht="24" customHeight="1">
      <c r="A4118" s="33" t="s">
        <v>1000</v>
      </c>
      <c r="B4118" s="33" t="s">
        <v>27</v>
      </c>
      <c r="C4118" s="33">
        <v>4</v>
      </c>
      <c r="D4118" s="262" t="s">
        <v>992</v>
      </c>
      <c r="E4118" s="33">
        <v>3</v>
      </c>
      <c r="F4118" s="33"/>
      <c r="G4118" s="522"/>
      <c r="H4118" s="707"/>
      <c r="I4118" s="707">
        <f t="shared" si="128"/>
        <v>0</v>
      </c>
      <c r="J4118" s="707">
        <f t="shared" si="129"/>
        <v>0</v>
      </c>
      <c r="K4118" s="70"/>
    </row>
    <row r="4119" spans="1:11" ht="24" customHeight="1">
      <c r="A4119" s="59" t="s">
        <v>1424</v>
      </c>
      <c r="B4119" s="33" t="s">
        <v>389</v>
      </c>
      <c r="C4119" s="33">
        <v>8</v>
      </c>
      <c r="D4119" s="262" t="s">
        <v>1372</v>
      </c>
      <c r="E4119" s="33">
        <v>4</v>
      </c>
      <c r="F4119" s="33"/>
      <c r="G4119" s="522"/>
      <c r="H4119" s="707"/>
      <c r="I4119" s="707">
        <f t="shared" si="128"/>
        <v>0</v>
      </c>
      <c r="J4119" s="707">
        <f t="shared" si="129"/>
        <v>0</v>
      </c>
      <c r="K4119" s="70"/>
    </row>
    <row r="4120" spans="1:11" ht="24" customHeight="1">
      <c r="A4120" s="33" t="s">
        <v>1625</v>
      </c>
      <c r="B4120" s="33" t="s">
        <v>43</v>
      </c>
      <c r="C4120" s="33">
        <v>1</v>
      </c>
      <c r="D4120" s="262" t="s">
        <v>1548</v>
      </c>
      <c r="E4120" s="33">
        <v>3</v>
      </c>
      <c r="F4120" s="33"/>
      <c r="G4120" s="522"/>
      <c r="H4120" s="707">
        <v>250</v>
      </c>
      <c r="I4120" s="707">
        <f t="shared" si="128"/>
        <v>287.5</v>
      </c>
      <c r="J4120" s="707">
        <f t="shared" si="129"/>
        <v>325</v>
      </c>
      <c r="K4120" s="70"/>
    </row>
    <row r="4121" spans="1:11" ht="24" customHeight="1">
      <c r="A4121" s="2" t="s">
        <v>3715</v>
      </c>
      <c r="B4121" s="2" t="s">
        <v>3716</v>
      </c>
      <c r="C4121" s="2">
        <v>1</v>
      </c>
      <c r="D4121" s="259" t="s">
        <v>3705</v>
      </c>
      <c r="E4121" s="33">
        <v>2</v>
      </c>
      <c r="F4121" s="33"/>
      <c r="G4121" s="522"/>
      <c r="H4121" s="707"/>
      <c r="I4121" s="707">
        <f t="shared" si="128"/>
        <v>0</v>
      </c>
      <c r="J4121" s="707">
        <f t="shared" si="129"/>
        <v>0</v>
      </c>
      <c r="K4121" s="55"/>
    </row>
    <row r="4122" spans="1:11" ht="24" customHeight="1">
      <c r="A4122" s="3" t="s">
        <v>2825</v>
      </c>
      <c r="B4122" s="3" t="s">
        <v>10</v>
      </c>
      <c r="C4122" s="3">
        <v>2</v>
      </c>
      <c r="D4122" s="726" t="s">
        <v>2802</v>
      </c>
      <c r="E4122" s="33">
        <v>2</v>
      </c>
      <c r="F4122" s="33"/>
      <c r="G4122" s="522"/>
      <c r="H4122" s="707"/>
      <c r="I4122" s="707">
        <f t="shared" si="128"/>
        <v>0</v>
      </c>
      <c r="J4122" s="707">
        <f t="shared" si="129"/>
        <v>0</v>
      </c>
      <c r="K4122" s="70"/>
    </row>
    <row r="4123" spans="1:11" ht="24" customHeight="1">
      <c r="A4123" s="2" t="s">
        <v>68</v>
      </c>
      <c r="B4123" s="2" t="s">
        <v>10</v>
      </c>
      <c r="C4123" s="2">
        <v>20</v>
      </c>
      <c r="D4123" s="259" t="s">
        <v>11</v>
      </c>
      <c r="E4123" s="33">
        <v>1</v>
      </c>
      <c r="F4123" s="33"/>
      <c r="G4123" s="522"/>
      <c r="H4123" s="707"/>
      <c r="I4123" s="707">
        <f t="shared" si="128"/>
        <v>0</v>
      </c>
      <c r="J4123" s="707">
        <f t="shared" si="129"/>
        <v>0</v>
      </c>
      <c r="K4123" s="70"/>
    </row>
    <row r="4124" spans="1:11" ht="24" customHeight="1">
      <c r="A4124" s="2" t="s">
        <v>351</v>
      </c>
      <c r="B4124" s="2" t="s">
        <v>10</v>
      </c>
      <c r="C4124" s="2">
        <v>2</v>
      </c>
      <c r="D4124" s="259" t="s">
        <v>274</v>
      </c>
      <c r="E4124" s="33">
        <v>1</v>
      </c>
      <c r="F4124" s="33"/>
      <c r="G4124" s="522"/>
      <c r="H4124" s="707">
        <v>50</v>
      </c>
      <c r="I4124" s="707">
        <f t="shared" si="128"/>
        <v>57.499999999999993</v>
      </c>
      <c r="J4124" s="707">
        <f t="shared" si="129"/>
        <v>65</v>
      </c>
      <c r="K4124" s="70"/>
    </row>
    <row r="4125" spans="1:11" ht="24" customHeight="1">
      <c r="A4125" s="2" t="s">
        <v>76</v>
      </c>
      <c r="B4125" s="2" t="s">
        <v>10</v>
      </c>
      <c r="C4125" s="2">
        <v>2</v>
      </c>
      <c r="D4125" s="259" t="s">
        <v>11</v>
      </c>
      <c r="E4125" s="33">
        <v>1</v>
      </c>
      <c r="F4125" s="33"/>
      <c r="G4125" s="522"/>
      <c r="H4125" s="707"/>
      <c r="I4125" s="707">
        <f t="shared" si="128"/>
        <v>0</v>
      </c>
      <c r="J4125" s="707">
        <f t="shared" si="129"/>
        <v>0</v>
      </c>
      <c r="K4125" s="70"/>
    </row>
    <row r="4126" spans="1:11" ht="24" customHeight="1">
      <c r="A4126" s="2" t="s">
        <v>70</v>
      </c>
      <c r="B4126" s="2" t="s">
        <v>10</v>
      </c>
      <c r="C4126" s="2">
        <v>2</v>
      </c>
      <c r="D4126" s="259" t="s">
        <v>11</v>
      </c>
      <c r="E4126" s="33">
        <v>1</v>
      </c>
      <c r="F4126" s="33"/>
      <c r="G4126" s="522"/>
      <c r="H4126" s="707">
        <v>55</v>
      </c>
      <c r="I4126" s="707">
        <f t="shared" si="128"/>
        <v>63.249999999999993</v>
      </c>
      <c r="J4126" s="707">
        <f t="shared" si="129"/>
        <v>71.5</v>
      </c>
      <c r="K4126" s="70"/>
    </row>
    <row r="4127" spans="1:11" ht="24" customHeight="1">
      <c r="A4127" s="2" t="s">
        <v>64</v>
      </c>
      <c r="B4127" s="2" t="s">
        <v>10</v>
      </c>
      <c r="C4127" s="2">
        <v>10</v>
      </c>
      <c r="D4127" s="259" t="s">
        <v>11</v>
      </c>
      <c r="E4127" s="33">
        <v>1</v>
      </c>
      <c r="F4127" s="33"/>
      <c r="G4127" s="522"/>
      <c r="H4127" s="707"/>
      <c r="I4127" s="707">
        <f t="shared" si="128"/>
        <v>0</v>
      </c>
      <c r="J4127" s="707">
        <f t="shared" si="129"/>
        <v>0</v>
      </c>
      <c r="K4127" s="70"/>
    </row>
    <row r="4128" spans="1:11" ht="24" customHeight="1">
      <c r="A4128" s="11" t="s">
        <v>64</v>
      </c>
      <c r="B4128" s="11" t="s">
        <v>10</v>
      </c>
      <c r="C4128" s="11">
        <v>2</v>
      </c>
      <c r="D4128" s="678" t="s">
        <v>3451</v>
      </c>
      <c r="E4128" s="15">
        <v>3</v>
      </c>
      <c r="F4128" s="15"/>
      <c r="G4128" s="684"/>
      <c r="H4128" s="707"/>
      <c r="I4128" s="707">
        <f t="shared" si="128"/>
        <v>0</v>
      </c>
      <c r="J4128" s="707">
        <f t="shared" si="129"/>
        <v>0</v>
      </c>
      <c r="K4128" s="70"/>
    </row>
    <row r="4129" spans="1:11" ht="24" customHeight="1">
      <c r="A4129" s="74" t="s">
        <v>2087</v>
      </c>
      <c r="B4129" s="74" t="s">
        <v>50</v>
      </c>
      <c r="C4129" s="74">
        <v>110</v>
      </c>
      <c r="D4129" s="262" t="s">
        <v>2026</v>
      </c>
      <c r="E4129" s="33">
        <v>5</v>
      </c>
      <c r="F4129" s="33"/>
      <c r="G4129" s="522"/>
      <c r="H4129" s="707"/>
      <c r="I4129" s="707">
        <f t="shared" si="128"/>
        <v>0</v>
      </c>
      <c r="J4129" s="707">
        <f t="shared" si="129"/>
        <v>0</v>
      </c>
      <c r="K4129" s="70"/>
    </row>
    <row r="4130" spans="1:11" ht="24" customHeight="1">
      <c r="A4130" s="74" t="s">
        <v>2481</v>
      </c>
      <c r="B4130" s="74" t="s">
        <v>10</v>
      </c>
      <c r="C4130" s="74">
        <v>4</v>
      </c>
      <c r="D4130" s="262" t="s">
        <v>2363</v>
      </c>
      <c r="E4130" s="33">
        <v>5</v>
      </c>
      <c r="F4130" s="33"/>
      <c r="G4130" s="522"/>
      <c r="H4130" s="707"/>
      <c r="I4130" s="707">
        <f t="shared" si="128"/>
        <v>0</v>
      </c>
      <c r="J4130" s="707">
        <f t="shared" si="129"/>
        <v>0</v>
      </c>
      <c r="K4130" s="70"/>
    </row>
    <row r="4131" spans="1:11" ht="24" customHeight="1">
      <c r="A4131" s="2" t="s">
        <v>67</v>
      </c>
      <c r="B4131" s="2" t="s">
        <v>10</v>
      </c>
      <c r="C4131" s="2">
        <v>2</v>
      </c>
      <c r="D4131" s="259" t="s">
        <v>11</v>
      </c>
      <c r="E4131" s="33">
        <v>1</v>
      </c>
      <c r="F4131" s="33"/>
      <c r="G4131" s="522"/>
      <c r="H4131" s="707"/>
      <c r="I4131" s="707">
        <f t="shared" si="128"/>
        <v>0</v>
      </c>
      <c r="J4131" s="707">
        <f t="shared" si="129"/>
        <v>0</v>
      </c>
      <c r="K4131" s="70"/>
    </row>
    <row r="4132" spans="1:11" ht="24" customHeight="1">
      <c r="A4132" s="2" t="s">
        <v>357</v>
      </c>
      <c r="B4132" s="2" t="s">
        <v>269</v>
      </c>
      <c r="C4132" s="2">
        <v>4</v>
      </c>
      <c r="D4132" s="259" t="s">
        <v>274</v>
      </c>
      <c r="E4132" s="33">
        <v>1</v>
      </c>
      <c r="F4132" s="33"/>
      <c r="G4132" s="522"/>
      <c r="H4132" s="707"/>
      <c r="I4132" s="707">
        <f t="shared" si="128"/>
        <v>0</v>
      </c>
      <c r="J4132" s="707">
        <f t="shared" si="129"/>
        <v>0</v>
      </c>
      <c r="K4132" s="70"/>
    </row>
    <row r="4133" spans="1:11" ht="24" customHeight="1">
      <c r="A4133" s="33" t="s">
        <v>1255</v>
      </c>
      <c r="B4133" s="33" t="s">
        <v>10</v>
      </c>
      <c r="C4133" s="33">
        <v>29</v>
      </c>
      <c r="D4133" s="262" t="s">
        <v>1201</v>
      </c>
      <c r="E4133" s="33">
        <v>4</v>
      </c>
      <c r="F4133" s="33"/>
      <c r="G4133" s="522"/>
      <c r="H4133" s="707"/>
      <c r="I4133" s="707">
        <f t="shared" si="128"/>
        <v>0</v>
      </c>
      <c r="J4133" s="707">
        <f t="shared" si="129"/>
        <v>0</v>
      </c>
      <c r="K4133" s="70" t="s">
        <v>51</v>
      </c>
    </row>
    <row r="4134" spans="1:11" ht="24" customHeight="1">
      <c r="A4134" s="2" t="s">
        <v>1255</v>
      </c>
      <c r="B4134" s="2" t="s">
        <v>10</v>
      </c>
      <c r="C4134" s="2">
        <v>2</v>
      </c>
      <c r="D4134" s="259" t="s">
        <v>3671</v>
      </c>
      <c r="E4134" s="33">
        <v>2</v>
      </c>
      <c r="F4134" s="33"/>
      <c r="G4134" s="522"/>
      <c r="H4134" s="707"/>
      <c r="I4134" s="707">
        <f t="shared" si="128"/>
        <v>0</v>
      </c>
      <c r="J4134" s="707">
        <f t="shared" si="129"/>
        <v>0</v>
      </c>
      <c r="K4134" s="70"/>
    </row>
    <row r="4135" spans="1:11" ht="24" customHeight="1">
      <c r="A4135" s="2" t="s">
        <v>3693</v>
      </c>
      <c r="B4135" s="2" t="s">
        <v>10</v>
      </c>
      <c r="C4135" s="2">
        <v>2</v>
      </c>
      <c r="D4135" s="259" t="s">
        <v>3671</v>
      </c>
      <c r="E4135" s="33">
        <v>2</v>
      </c>
      <c r="F4135" s="33"/>
      <c r="G4135" s="522"/>
      <c r="H4135" s="707"/>
      <c r="I4135" s="707">
        <f t="shared" si="128"/>
        <v>0</v>
      </c>
      <c r="J4135" s="707">
        <f t="shared" si="129"/>
        <v>0</v>
      </c>
      <c r="K4135" s="70"/>
    </row>
    <row r="4136" spans="1:11" ht="24" customHeight="1">
      <c r="A4136" s="2" t="s">
        <v>770</v>
      </c>
      <c r="B4136" s="2" t="s">
        <v>10</v>
      </c>
      <c r="C4136" s="2">
        <v>4</v>
      </c>
      <c r="D4136" s="259" t="s">
        <v>593</v>
      </c>
      <c r="E4136" s="33">
        <v>3</v>
      </c>
      <c r="F4136" s="33"/>
      <c r="G4136" s="522"/>
      <c r="H4136" s="707">
        <v>30</v>
      </c>
      <c r="I4136" s="707">
        <f t="shared" si="128"/>
        <v>34.5</v>
      </c>
      <c r="J4136" s="707">
        <f t="shared" si="129"/>
        <v>39</v>
      </c>
      <c r="K4136" s="70" t="s">
        <v>51</v>
      </c>
    </row>
    <row r="4137" spans="1:11" ht="24" customHeight="1">
      <c r="A4137" s="33" t="s">
        <v>2487</v>
      </c>
      <c r="B4137" s="33" t="s">
        <v>2488</v>
      </c>
      <c r="C4137" s="33">
        <v>1</v>
      </c>
      <c r="D4137" s="262" t="s">
        <v>2363</v>
      </c>
      <c r="E4137" s="33">
        <v>5</v>
      </c>
      <c r="F4137" s="33"/>
      <c r="G4137" s="522"/>
      <c r="H4137" s="707"/>
      <c r="I4137" s="707">
        <f t="shared" si="128"/>
        <v>0</v>
      </c>
      <c r="J4137" s="707">
        <f t="shared" si="129"/>
        <v>0</v>
      </c>
      <c r="K4137" s="70"/>
    </row>
    <row r="4138" spans="1:11" ht="24" customHeight="1">
      <c r="A4138" s="74" t="s">
        <v>2406</v>
      </c>
      <c r="B4138" s="74" t="s">
        <v>1465</v>
      </c>
      <c r="C4138" s="74">
        <v>1</v>
      </c>
      <c r="D4138" s="262" t="s">
        <v>2363</v>
      </c>
      <c r="E4138" s="33">
        <v>5</v>
      </c>
      <c r="F4138" s="33"/>
      <c r="G4138" s="522"/>
      <c r="H4138" s="707">
        <v>600</v>
      </c>
      <c r="I4138" s="707">
        <f t="shared" si="128"/>
        <v>690</v>
      </c>
      <c r="J4138" s="707">
        <f t="shared" si="129"/>
        <v>780</v>
      </c>
      <c r="K4138" s="70"/>
    </row>
    <row r="4139" spans="1:11" ht="24" customHeight="1">
      <c r="A4139" s="74" t="s">
        <v>1670</v>
      </c>
      <c r="B4139" s="74" t="s">
        <v>1671</v>
      </c>
      <c r="C4139" s="74">
        <v>5</v>
      </c>
      <c r="D4139" s="262" t="s">
        <v>1548</v>
      </c>
      <c r="E4139" s="33">
        <v>5</v>
      </c>
      <c r="F4139" s="33"/>
      <c r="G4139" s="522"/>
      <c r="H4139" s="707"/>
      <c r="I4139" s="707">
        <f t="shared" si="128"/>
        <v>0</v>
      </c>
      <c r="J4139" s="707">
        <f t="shared" si="129"/>
        <v>0</v>
      </c>
      <c r="K4139" s="70"/>
    </row>
    <row r="4140" spans="1:11" ht="24" customHeight="1">
      <c r="A4140" s="33" t="s">
        <v>2960</v>
      </c>
      <c r="B4140" s="33" t="s">
        <v>115</v>
      </c>
      <c r="C4140" s="33">
        <v>3</v>
      </c>
      <c r="D4140" s="677" t="s">
        <v>2947</v>
      </c>
      <c r="E4140" s="33">
        <v>4</v>
      </c>
      <c r="F4140" s="33"/>
      <c r="G4140" s="522"/>
      <c r="H4140" s="707"/>
      <c r="I4140" s="707">
        <f t="shared" si="128"/>
        <v>0</v>
      </c>
      <c r="J4140" s="707">
        <f t="shared" si="129"/>
        <v>0</v>
      </c>
      <c r="K4140" s="70"/>
    </row>
    <row r="4141" spans="1:11" ht="24" customHeight="1">
      <c r="A4141" s="2" t="s">
        <v>165</v>
      </c>
      <c r="B4141" s="2" t="s">
        <v>19</v>
      </c>
      <c r="C4141" s="2">
        <v>98</v>
      </c>
      <c r="D4141" s="259" t="s">
        <v>11</v>
      </c>
      <c r="E4141" s="33">
        <v>3</v>
      </c>
      <c r="F4141" s="33"/>
      <c r="G4141" s="522"/>
      <c r="H4141" s="707"/>
      <c r="I4141" s="707">
        <f t="shared" si="128"/>
        <v>0</v>
      </c>
      <c r="J4141" s="707">
        <f t="shared" si="129"/>
        <v>0</v>
      </c>
      <c r="K4141" s="70"/>
    </row>
    <row r="4142" spans="1:11" ht="24" customHeight="1">
      <c r="A4142" s="2" t="s">
        <v>109</v>
      </c>
      <c r="B4142" s="2" t="s">
        <v>110</v>
      </c>
      <c r="C4142" s="2" t="s">
        <v>111</v>
      </c>
      <c r="D4142" s="259" t="s">
        <v>11</v>
      </c>
      <c r="E4142" s="33">
        <v>2</v>
      </c>
      <c r="F4142" s="33"/>
      <c r="G4142" s="522"/>
      <c r="H4142" s="707">
        <v>15</v>
      </c>
      <c r="I4142" s="707">
        <f t="shared" si="128"/>
        <v>17.25</v>
      </c>
      <c r="J4142" s="707">
        <f t="shared" si="129"/>
        <v>19.5</v>
      </c>
      <c r="K4142" s="70" t="s">
        <v>99</v>
      </c>
    </row>
    <row r="4143" spans="1:11" ht="24" customHeight="1">
      <c r="A4143" s="33" t="s">
        <v>195</v>
      </c>
      <c r="B4143" s="2" t="s">
        <v>110</v>
      </c>
      <c r="C4143" s="2" t="s">
        <v>196</v>
      </c>
      <c r="D4143" s="259" t="s">
        <v>188</v>
      </c>
      <c r="E4143" s="33">
        <v>4</v>
      </c>
      <c r="F4143" s="33"/>
      <c r="G4143" s="522"/>
      <c r="H4143" s="707">
        <v>100</v>
      </c>
      <c r="I4143" s="707">
        <f t="shared" si="128"/>
        <v>114.99999999999999</v>
      </c>
      <c r="J4143" s="707">
        <f t="shared" si="129"/>
        <v>130</v>
      </c>
      <c r="K4143" s="70" t="s">
        <v>99</v>
      </c>
    </row>
    <row r="4144" spans="1:11" ht="24" customHeight="1">
      <c r="A4144" s="33" t="s">
        <v>1553</v>
      </c>
      <c r="B4144" s="33" t="s">
        <v>371</v>
      </c>
      <c r="C4144" s="33">
        <v>75</v>
      </c>
      <c r="D4144" s="262" t="s">
        <v>1548</v>
      </c>
      <c r="E4144" s="33">
        <v>3</v>
      </c>
      <c r="F4144" s="33"/>
      <c r="G4144" s="522"/>
      <c r="H4144" s="707">
        <v>2</v>
      </c>
      <c r="I4144" s="707">
        <f t="shared" si="128"/>
        <v>2.2999999999999998</v>
      </c>
      <c r="J4144" s="707">
        <f t="shared" si="129"/>
        <v>2.6</v>
      </c>
      <c r="K4144" s="70"/>
    </row>
    <row r="4145" spans="1:11" ht="24" customHeight="1">
      <c r="A4145" s="2" t="s">
        <v>3272</v>
      </c>
      <c r="B4145" s="2" t="s">
        <v>371</v>
      </c>
      <c r="C4145" s="2">
        <v>10</v>
      </c>
      <c r="D4145" s="259" t="s">
        <v>3273</v>
      </c>
      <c r="E4145" s="33">
        <v>2</v>
      </c>
      <c r="F4145" s="33"/>
      <c r="G4145" s="522"/>
      <c r="H4145" s="707"/>
      <c r="I4145" s="707">
        <f t="shared" si="128"/>
        <v>0</v>
      </c>
      <c r="J4145" s="707">
        <f t="shared" si="129"/>
        <v>0</v>
      </c>
      <c r="K4145" s="70"/>
    </row>
    <row r="4146" spans="1:11" ht="24" customHeight="1">
      <c r="A4146" s="33" t="s">
        <v>1554</v>
      </c>
      <c r="B4146" s="33" t="s">
        <v>1555</v>
      </c>
      <c r="C4146" s="33">
        <v>1</v>
      </c>
      <c r="D4146" s="262" t="s">
        <v>1548</v>
      </c>
      <c r="E4146" s="33">
        <v>3</v>
      </c>
      <c r="F4146" s="33"/>
      <c r="G4146" s="522"/>
      <c r="H4146" s="707"/>
      <c r="I4146" s="707">
        <f t="shared" si="128"/>
        <v>0</v>
      </c>
      <c r="J4146" s="707">
        <f t="shared" si="129"/>
        <v>0</v>
      </c>
      <c r="K4146" s="70"/>
    </row>
    <row r="4147" spans="1:11" ht="24" customHeight="1">
      <c r="A4147" s="33"/>
      <c r="B4147" s="74"/>
      <c r="C4147" s="33"/>
      <c r="D4147" s="262"/>
      <c r="E4147" s="33"/>
      <c r="F4147" s="33"/>
      <c r="G4147" s="522"/>
      <c r="H4147" s="707"/>
      <c r="I4147" s="707">
        <f t="shared" si="128"/>
        <v>0</v>
      </c>
      <c r="J4147" s="707">
        <f t="shared" si="129"/>
        <v>0</v>
      </c>
      <c r="K4147" s="70"/>
    </row>
    <row r="4148" spans="1:11" ht="24" customHeight="1">
      <c r="A4148" s="33"/>
      <c r="B4148" s="33"/>
      <c r="C4148" s="33"/>
      <c r="D4148" s="33"/>
      <c r="E4148" s="33"/>
      <c r="F4148" s="33"/>
      <c r="G4148" s="522"/>
      <c r="H4148" s="707"/>
      <c r="I4148" s="707">
        <f t="shared" si="128"/>
        <v>0</v>
      </c>
      <c r="J4148" s="707">
        <f t="shared" si="129"/>
        <v>0</v>
      </c>
      <c r="K4148" s="70"/>
    </row>
    <row r="4149" spans="1:11" ht="24" customHeight="1">
      <c r="A4149" s="33"/>
      <c r="B4149" s="33"/>
      <c r="C4149" s="33"/>
      <c r="D4149" s="262"/>
      <c r="E4149" s="33"/>
      <c r="F4149" s="33"/>
      <c r="G4149" s="522"/>
      <c r="H4149" s="707"/>
      <c r="I4149" s="707">
        <f t="shared" si="128"/>
        <v>0</v>
      </c>
      <c r="J4149" s="707">
        <f t="shared" si="129"/>
        <v>0</v>
      </c>
      <c r="K4149" s="55"/>
    </row>
    <row r="4150" spans="1:11" ht="24" customHeight="1">
      <c r="A4150" s="33"/>
      <c r="B4150" s="33"/>
      <c r="C4150" s="33"/>
      <c r="D4150" s="262"/>
      <c r="E4150" s="33"/>
      <c r="F4150" s="33"/>
      <c r="G4150" s="522"/>
      <c r="H4150" s="707"/>
      <c r="I4150" s="707">
        <f t="shared" si="128"/>
        <v>0</v>
      </c>
      <c r="J4150" s="707">
        <f t="shared" si="129"/>
        <v>0</v>
      </c>
      <c r="K4150" s="70"/>
    </row>
    <row r="4151" spans="1:11" ht="24" customHeight="1">
      <c r="A4151" s="33"/>
      <c r="B4151" s="33"/>
      <c r="C4151" s="33"/>
      <c r="D4151" s="33"/>
      <c r="E4151" s="33"/>
      <c r="F4151" s="33"/>
      <c r="G4151" s="522"/>
      <c r="H4151" s="707"/>
      <c r="I4151" s="707">
        <f t="shared" si="128"/>
        <v>0</v>
      </c>
      <c r="J4151" s="707">
        <f t="shared" si="129"/>
        <v>0</v>
      </c>
      <c r="K4151" s="70"/>
    </row>
    <row r="4152" spans="1:11" ht="24" customHeight="1">
      <c r="A4152" s="33"/>
      <c r="B4152" s="33"/>
      <c r="C4152" s="33"/>
      <c r="D4152" s="33"/>
      <c r="E4152" s="33"/>
      <c r="F4152" s="33"/>
      <c r="G4152" s="522"/>
      <c r="H4152" s="707"/>
      <c r="I4152" s="707">
        <f t="shared" si="128"/>
        <v>0</v>
      </c>
      <c r="J4152" s="707">
        <f t="shared" si="129"/>
        <v>0</v>
      </c>
      <c r="K4152" s="70"/>
    </row>
    <row r="4153" spans="1:11" ht="24" customHeight="1">
      <c r="A4153" s="33"/>
      <c r="B4153" s="33"/>
      <c r="C4153" s="33"/>
      <c r="D4153" s="262"/>
      <c r="E4153" s="33"/>
      <c r="F4153" s="33"/>
      <c r="G4153" s="522"/>
      <c r="H4153" s="707"/>
      <c r="I4153" s="707">
        <f t="shared" si="128"/>
        <v>0</v>
      </c>
      <c r="J4153" s="707">
        <f t="shared" si="129"/>
        <v>0</v>
      </c>
      <c r="K4153" s="70"/>
    </row>
    <row r="4154" spans="1:11" ht="24" customHeight="1">
      <c r="A4154" s="33"/>
      <c r="B4154" s="33"/>
      <c r="C4154" s="33"/>
      <c r="D4154" s="33"/>
      <c r="E4154" s="33"/>
      <c r="F4154" s="33"/>
      <c r="G4154" s="522"/>
      <c r="H4154" s="707"/>
      <c r="I4154" s="707">
        <f t="shared" si="128"/>
        <v>0</v>
      </c>
      <c r="J4154" s="707">
        <f t="shared" si="129"/>
        <v>0</v>
      </c>
      <c r="K4154" s="70"/>
    </row>
    <row r="4155" spans="1:11" ht="24" customHeight="1">
      <c r="A4155" s="74"/>
      <c r="B4155" s="74"/>
      <c r="C4155" s="33"/>
      <c r="D4155" s="33"/>
      <c r="E4155" s="33"/>
      <c r="F4155" s="33"/>
      <c r="G4155" s="522"/>
      <c r="H4155" s="708"/>
      <c r="I4155" s="707">
        <f t="shared" si="128"/>
        <v>0</v>
      </c>
      <c r="J4155" s="708">
        <f t="shared" si="129"/>
        <v>0</v>
      </c>
      <c r="K4155" s="70"/>
    </row>
    <row r="4156" spans="1:11" ht="24" customHeight="1">
      <c r="A4156" s="33"/>
      <c r="B4156" s="33"/>
      <c r="C4156" s="33"/>
      <c r="D4156" s="33"/>
      <c r="E4156" s="33"/>
      <c r="F4156" s="33"/>
      <c r="G4156" s="522"/>
      <c r="H4156" s="707"/>
      <c r="I4156" s="707">
        <f t="shared" si="128"/>
        <v>0</v>
      </c>
      <c r="J4156" s="707">
        <f t="shared" si="129"/>
        <v>0</v>
      </c>
      <c r="K4156" s="70"/>
    </row>
    <row r="4157" spans="1:11" ht="24" customHeight="1">
      <c r="A4157" s="74"/>
      <c r="B4157" s="74"/>
      <c r="C4157" s="74"/>
      <c r="D4157" s="33"/>
      <c r="E4157" s="33"/>
      <c r="F4157" s="33"/>
      <c r="G4157" s="522"/>
      <c r="H4157" s="707"/>
      <c r="I4157" s="707">
        <f t="shared" si="128"/>
        <v>0</v>
      </c>
      <c r="J4157" s="707">
        <f t="shared" si="129"/>
        <v>0</v>
      </c>
      <c r="K4157" s="70"/>
    </row>
    <row r="4158" spans="1:11" ht="24" customHeight="1">
      <c r="A4158" s="33"/>
      <c r="B4158" s="33"/>
      <c r="C4158" s="33"/>
      <c r="D4158" s="33"/>
      <c r="E4158" s="33"/>
      <c r="F4158" s="33"/>
      <c r="G4158" s="522"/>
      <c r="H4158" s="707"/>
      <c r="I4158" s="707">
        <f t="shared" si="128"/>
        <v>0</v>
      </c>
      <c r="J4158" s="707">
        <f t="shared" si="129"/>
        <v>0</v>
      </c>
      <c r="K4158" s="70"/>
    </row>
    <row r="4159" spans="1:11" ht="24" customHeight="1">
      <c r="A4159" s="74"/>
      <c r="B4159" s="33"/>
      <c r="C4159" s="33"/>
      <c r="D4159" s="33"/>
      <c r="E4159" s="33"/>
      <c r="F4159" s="33"/>
      <c r="G4159" s="522"/>
      <c r="H4159" s="707"/>
      <c r="I4159" s="707">
        <f t="shared" si="128"/>
        <v>0</v>
      </c>
      <c r="J4159" s="707">
        <f t="shared" si="129"/>
        <v>0</v>
      </c>
      <c r="K4159" s="70"/>
    </row>
    <row r="4160" spans="1:11" ht="24" customHeight="1">
      <c r="A4160" s="33"/>
      <c r="B4160" s="33"/>
      <c r="C4160" s="33"/>
      <c r="D4160" s="33"/>
      <c r="E4160" s="33"/>
      <c r="F4160" s="33"/>
      <c r="G4160" s="522"/>
      <c r="H4160" s="707"/>
      <c r="I4160" s="707">
        <f t="shared" si="128"/>
        <v>0</v>
      </c>
      <c r="J4160" s="707">
        <f t="shared" si="129"/>
        <v>0</v>
      </c>
      <c r="K4160" s="70"/>
    </row>
    <row r="4161" spans="1:11" ht="24" customHeight="1">
      <c r="A4161" s="33"/>
      <c r="B4161" s="33"/>
      <c r="C4161" s="33"/>
      <c r="D4161" s="33"/>
      <c r="E4161" s="33"/>
      <c r="F4161" s="33"/>
      <c r="G4161" s="522"/>
      <c r="H4161" s="707"/>
      <c r="I4161" s="707">
        <f t="shared" si="128"/>
        <v>0</v>
      </c>
      <c r="J4161" s="707">
        <f t="shared" si="129"/>
        <v>0</v>
      </c>
      <c r="K4161" s="70"/>
    </row>
    <row r="4162" spans="1:11" ht="24" customHeight="1">
      <c r="A4162" s="33"/>
      <c r="B4162" s="33"/>
      <c r="C4162" s="33"/>
      <c r="D4162" s="33"/>
      <c r="E4162" s="33"/>
      <c r="F4162" s="33"/>
      <c r="G4162" s="522"/>
      <c r="H4162" s="707"/>
      <c r="I4162" s="707">
        <f t="shared" si="128"/>
        <v>0</v>
      </c>
      <c r="J4162" s="707">
        <f t="shared" si="129"/>
        <v>0</v>
      </c>
      <c r="K4162" s="70"/>
    </row>
    <row r="4163" spans="1:11" ht="24" customHeight="1">
      <c r="A4163" s="33"/>
      <c r="B4163" s="33"/>
      <c r="C4163" s="33"/>
      <c r="D4163" s="33"/>
      <c r="E4163" s="33"/>
      <c r="F4163" s="33"/>
      <c r="G4163" s="522"/>
      <c r="H4163" s="707"/>
      <c r="I4163" s="707">
        <f t="shared" ref="I4163:I4226" si="130">H4163 * 1.15</f>
        <v>0</v>
      </c>
      <c r="J4163" s="707">
        <f t="shared" ref="J4163:J4226" si="131">H4163 * 1.3</f>
        <v>0</v>
      </c>
      <c r="K4163" s="70"/>
    </row>
    <row r="4164" spans="1:11" ht="24" customHeight="1">
      <c r="A4164" s="33"/>
      <c r="B4164" s="33"/>
      <c r="C4164" s="33"/>
      <c r="D4164" s="33"/>
      <c r="E4164" s="33"/>
      <c r="F4164" s="33"/>
      <c r="G4164" s="522"/>
      <c r="H4164" s="707"/>
      <c r="I4164" s="707">
        <f t="shared" si="130"/>
        <v>0</v>
      </c>
      <c r="J4164" s="707">
        <f t="shared" si="131"/>
        <v>0</v>
      </c>
      <c r="K4164" s="70"/>
    </row>
    <row r="4165" spans="1:11" ht="24" customHeight="1">
      <c r="A4165" s="33"/>
      <c r="B4165" s="33"/>
      <c r="C4165" s="33"/>
      <c r="D4165" s="33"/>
      <c r="E4165" s="33"/>
      <c r="F4165" s="33"/>
      <c r="G4165" s="522"/>
      <c r="H4165" s="707"/>
      <c r="I4165" s="707">
        <f t="shared" si="130"/>
        <v>0</v>
      </c>
      <c r="J4165" s="707">
        <f t="shared" si="131"/>
        <v>0</v>
      </c>
      <c r="K4165" s="70"/>
    </row>
    <row r="4166" spans="1:11" ht="24" customHeight="1">
      <c r="A4166" s="33"/>
      <c r="B4166" s="33"/>
      <c r="C4166" s="33"/>
      <c r="D4166" s="33"/>
      <c r="E4166" s="33"/>
      <c r="F4166" s="33"/>
      <c r="G4166" s="522"/>
      <c r="H4166" s="707"/>
      <c r="I4166" s="707">
        <f t="shared" si="130"/>
        <v>0</v>
      </c>
      <c r="J4166" s="707">
        <f t="shared" si="131"/>
        <v>0</v>
      </c>
      <c r="K4166" s="70"/>
    </row>
    <row r="4167" spans="1:11" ht="24" customHeight="1">
      <c r="A4167" s="33"/>
      <c r="B4167" s="33"/>
      <c r="C4167" s="33"/>
      <c r="D4167" s="33"/>
      <c r="E4167" s="33"/>
      <c r="F4167" s="33"/>
      <c r="G4167" s="522"/>
      <c r="H4167" s="707"/>
      <c r="I4167" s="707">
        <f t="shared" si="130"/>
        <v>0</v>
      </c>
      <c r="J4167" s="707">
        <f t="shared" si="131"/>
        <v>0</v>
      </c>
      <c r="K4167" s="70"/>
    </row>
    <row r="4168" spans="1:11" ht="24" customHeight="1">
      <c r="A4168" s="33"/>
      <c r="B4168" s="33"/>
      <c r="C4168" s="33"/>
      <c r="D4168" s="33"/>
      <c r="E4168" s="33"/>
      <c r="F4168" s="33"/>
      <c r="G4168" s="522"/>
      <c r="H4168" s="707"/>
      <c r="I4168" s="707">
        <f t="shared" si="130"/>
        <v>0</v>
      </c>
      <c r="J4168" s="707">
        <f t="shared" si="131"/>
        <v>0</v>
      </c>
      <c r="K4168" s="70"/>
    </row>
    <row r="4169" spans="1:11" ht="24" customHeight="1">
      <c r="A4169" s="33"/>
      <c r="B4169" s="33"/>
      <c r="C4169" s="33"/>
      <c r="D4169" s="33"/>
      <c r="E4169" s="33"/>
      <c r="F4169" s="33"/>
      <c r="G4169" s="522"/>
      <c r="H4169" s="707"/>
      <c r="I4169" s="707">
        <f t="shared" si="130"/>
        <v>0</v>
      </c>
      <c r="J4169" s="707">
        <f t="shared" si="131"/>
        <v>0</v>
      </c>
      <c r="K4169" s="70"/>
    </row>
    <row r="4170" spans="1:11" ht="24" customHeight="1">
      <c r="A4170" s="33"/>
      <c r="B4170" s="33"/>
      <c r="C4170" s="33"/>
      <c r="D4170" s="33"/>
      <c r="E4170" s="33"/>
      <c r="F4170" s="33"/>
      <c r="G4170" s="522"/>
      <c r="H4170" s="707"/>
      <c r="I4170" s="707">
        <f t="shared" si="130"/>
        <v>0</v>
      </c>
      <c r="J4170" s="707">
        <f t="shared" si="131"/>
        <v>0</v>
      </c>
      <c r="K4170" s="70"/>
    </row>
    <row r="4171" spans="1:11" ht="24" customHeight="1">
      <c r="A4171" s="17"/>
      <c r="B4171" s="17"/>
      <c r="C4171" s="17"/>
      <c r="D4171" s="58"/>
      <c r="E4171" s="17"/>
      <c r="F4171" s="17"/>
      <c r="G4171" s="687"/>
      <c r="H4171" s="707"/>
      <c r="I4171" s="707">
        <f t="shared" si="130"/>
        <v>0</v>
      </c>
      <c r="J4171" s="707">
        <f t="shared" si="131"/>
        <v>0</v>
      </c>
      <c r="K4171" s="70"/>
    </row>
    <row r="4172" spans="1:11" ht="24" customHeight="1">
      <c r="A4172" s="17"/>
      <c r="B4172" s="17"/>
      <c r="C4172" s="17"/>
      <c r="D4172" s="58"/>
      <c r="E4172" s="17"/>
      <c r="F4172" s="17"/>
      <c r="G4172" s="687"/>
      <c r="H4172" s="707"/>
      <c r="I4172" s="707">
        <f t="shared" si="130"/>
        <v>0</v>
      </c>
      <c r="J4172" s="707">
        <f t="shared" si="131"/>
        <v>0</v>
      </c>
      <c r="K4172" s="70"/>
    </row>
    <row r="4173" spans="1:11" ht="24" customHeight="1">
      <c r="A4173" s="17"/>
      <c r="B4173" s="17"/>
      <c r="C4173" s="17"/>
      <c r="D4173" s="58"/>
      <c r="E4173" s="17"/>
      <c r="F4173" s="17"/>
      <c r="G4173" s="687"/>
      <c r="H4173" s="707"/>
      <c r="I4173" s="707">
        <f t="shared" si="130"/>
        <v>0</v>
      </c>
      <c r="J4173" s="707">
        <f t="shared" si="131"/>
        <v>0</v>
      </c>
      <c r="K4173" s="70"/>
    </row>
    <row r="4174" spans="1:11" ht="24" customHeight="1">
      <c r="A4174" s="17"/>
      <c r="B4174" s="17"/>
      <c r="C4174" s="17"/>
      <c r="D4174" s="58"/>
      <c r="E4174" s="17"/>
      <c r="F4174" s="17"/>
      <c r="G4174" s="687"/>
      <c r="H4174" s="707"/>
      <c r="I4174" s="707">
        <f t="shared" si="130"/>
        <v>0</v>
      </c>
      <c r="J4174" s="707">
        <f t="shared" si="131"/>
        <v>0</v>
      </c>
      <c r="K4174" s="70"/>
    </row>
    <row r="4175" spans="1:11" ht="24" customHeight="1">
      <c r="A4175" s="17"/>
      <c r="B4175" s="17"/>
      <c r="C4175" s="17"/>
      <c r="D4175" s="58"/>
      <c r="E4175" s="17"/>
      <c r="F4175" s="17"/>
      <c r="G4175" s="687"/>
      <c r="H4175" s="707"/>
      <c r="I4175" s="707">
        <f t="shared" si="130"/>
        <v>0</v>
      </c>
      <c r="J4175" s="707">
        <f t="shared" si="131"/>
        <v>0</v>
      </c>
      <c r="K4175" s="70"/>
    </row>
    <row r="4176" spans="1:11" ht="24" customHeight="1">
      <c r="A4176" s="17"/>
      <c r="B4176" s="17"/>
      <c r="C4176" s="17"/>
      <c r="D4176" s="58"/>
      <c r="E4176" s="17"/>
      <c r="F4176" s="17"/>
      <c r="G4176" s="687"/>
      <c r="H4176" s="708"/>
      <c r="I4176" s="707">
        <f t="shared" si="130"/>
        <v>0</v>
      </c>
      <c r="J4176" s="708">
        <f t="shared" si="131"/>
        <v>0</v>
      </c>
      <c r="K4176" s="70"/>
    </row>
    <row r="4177" spans="1:11" ht="24" customHeight="1">
      <c r="A4177" s="17"/>
      <c r="B4177" s="17"/>
      <c r="C4177" s="33"/>
      <c r="D4177" s="58"/>
      <c r="E4177" s="17"/>
      <c r="F4177" s="17"/>
      <c r="G4177" s="687"/>
      <c r="H4177" s="707"/>
      <c r="I4177" s="707">
        <f t="shared" si="130"/>
        <v>0</v>
      </c>
      <c r="J4177" s="707">
        <f t="shared" si="131"/>
        <v>0</v>
      </c>
      <c r="K4177" s="70"/>
    </row>
    <row r="4178" spans="1:11" ht="24" customHeight="1">
      <c r="A4178" s="17"/>
      <c r="B4178" s="17"/>
      <c r="C4178" s="17"/>
      <c r="D4178" s="58"/>
      <c r="E4178" s="17"/>
      <c r="F4178" s="17"/>
      <c r="G4178" s="687"/>
      <c r="H4178" s="707"/>
      <c r="I4178" s="707">
        <f t="shared" si="130"/>
        <v>0</v>
      </c>
      <c r="J4178" s="707">
        <f t="shared" si="131"/>
        <v>0</v>
      </c>
      <c r="K4178" s="70"/>
    </row>
    <row r="4179" spans="1:11" ht="24" customHeight="1">
      <c r="A4179" s="17"/>
      <c r="B4179" s="17"/>
      <c r="C4179" s="17"/>
      <c r="D4179" s="58"/>
      <c r="E4179" s="17"/>
      <c r="F4179" s="17"/>
      <c r="G4179" s="687"/>
      <c r="H4179" s="707"/>
      <c r="I4179" s="707">
        <f t="shared" si="130"/>
        <v>0</v>
      </c>
      <c r="J4179" s="707">
        <f t="shared" si="131"/>
        <v>0</v>
      </c>
      <c r="K4179" s="70"/>
    </row>
    <row r="4180" spans="1:11" ht="24" customHeight="1">
      <c r="A4180" s="17"/>
      <c r="B4180" s="17"/>
      <c r="C4180" s="17"/>
      <c r="D4180" s="58"/>
      <c r="E4180" s="17"/>
      <c r="F4180" s="17"/>
      <c r="G4180" s="687"/>
      <c r="H4180" s="707"/>
      <c r="I4180" s="707">
        <f t="shared" si="130"/>
        <v>0</v>
      </c>
      <c r="J4180" s="707">
        <f t="shared" si="131"/>
        <v>0</v>
      </c>
      <c r="K4180" s="70"/>
    </row>
    <row r="4181" spans="1:11" ht="24" customHeight="1">
      <c r="A4181" s="33"/>
      <c r="B4181" s="33"/>
      <c r="C4181" s="33"/>
      <c r="D4181" s="33"/>
      <c r="E4181" s="33"/>
      <c r="F4181" s="33"/>
      <c r="G4181" s="522"/>
      <c r="H4181" s="707"/>
      <c r="I4181" s="707">
        <f t="shared" si="130"/>
        <v>0</v>
      </c>
      <c r="J4181" s="707">
        <f t="shared" si="131"/>
        <v>0</v>
      </c>
      <c r="K4181" s="70"/>
    </row>
    <row r="4182" spans="1:11" ht="24" customHeight="1">
      <c r="A4182" s="33"/>
      <c r="B4182" s="33"/>
      <c r="C4182" s="33"/>
      <c r="D4182" s="33"/>
      <c r="E4182" s="33"/>
      <c r="F4182" s="33"/>
      <c r="G4182" s="522"/>
      <c r="H4182" s="707"/>
      <c r="I4182" s="707">
        <f t="shared" si="130"/>
        <v>0</v>
      </c>
      <c r="J4182" s="707">
        <f t="shared" si="131"/>
        <v>0</v>
      </c>
      <c r="K4182" s="70"/>
    </row>
    <row r="4183" spans="1:11" ht="24" customHeight="1">
      <c r="A4183" s="33"/>
      <c r="B4183" s="33"/>
      <c r="C4183" s="33"/>
      <c r="D4183" s="33"/>
      <c r="E4183" s="33"/>
      <c r="F4183" s="33"/>
      <c r="G4183" s="522"/>
      <c r="H4183" s="707"/>
      <c r="I4183" s="707">
        <f t="shared" si="130"/>
        <v>0</v>
      </c>
      <c r="J4183" s="707">
        <f t="shared" si="131"/>
        <v>0</v>
      </c>
      <c r="K4183" s="70"/>
    </row>
    <row r="4184" spans="1:11" ht="24" customHeight="1">
      <c r="A4184" s="33"/>
      <c r="B4184" s="33"/>
      <c r="C4184" s="33"/>
      <c r="D4184" s="33"/>
      <c r="E4184" s="33"/>
      <c r="F4184" s="33"/>
      <c r="G4184" s="522"/>
      <c r="H4184" s="707"/>
      <c r="I4184" s="707">
        <f t="shared" si="130"/>
        <v>0</v>
      </c>
      <c r="J4184" s="707">
        <f t="shared" si="131"/>
        <v>0</v>
      </c>
      <c r="K4184" s="70"/>
    </row>
    <row r="4185" spans="1:11" ht="24" customHeight="1">
      <c r="A4185" s="33"/>
      <c r="B4185" s="33"/>
      <c r="C4185" s="33"/>
      <c r="D4185" s="33"/>
      <c r="E4185" s="33"/>
      <c r="F4185" s="33"/>
      <c r="G4185" s="522"/>
      <c r="H4185" s="707"/>
      <c r="I4185" s="707">
        <f t="shared" si="130"/>
        <v>0</v>
      </c>
      <c r="J4185" s="707">
        <f t="shared" si="131"/>
        <v>0</v>
      </c>
      <c r="K4185" s="70"/>
    </row>
    <row r="4186" spans="1:11" ht="24" customHeight="1">
      <c r="A4186" s="17"/>
      <c r="B4186" s="17"/>
      <c r="C4186" s="17"/>
      <c r="D4186" s="58"/>
      <c r="E4186" s="17"/>
      <c r="F4186" s="17"/>
      <c r="G4186" s="687"/>
      <c r="H4186" s="707"/>
      <c r="I4186" s="707">
        <f t="shared" si="130"/>
        <v>0</v>
      </c>
      <c r="J4186" s="707">
        <f t="shared" si="131"/>
        <v>0</v>
      </c>
      <c r="K4186" s="70"/>
    </row>
    <row r="4187" spans="1:11" ht="24" customHeight="1">
      <c r="A4187" s="33"/>
      <c r="B4187" s="33"/>
      <c r="C4187" s="33"/>
      <c r="D4187" s="33"/>
      <c r="E4187" s="33"/>
      <c r="F4187" s="33"/>
      <c r="G4187" s="522"/>
      <c r="H4187" s="707"/>
      <c r="I4187" s="707">
        <f t="shared" si="130"/>
        <v>0</v>
      </c>
      <c r="J4187" s="707">
        <f t="shared" si="131"/>
        <v>0</v>
      </c>
      <c r="K4187" s="70"/>
    </row>
    <row r="4188" spans="1:11" ht="24" customHeight="1">
      <c r="A4188" s="33"/>
      <c r="B4188" s="33"/>
      <c r="C4188" s="33"/>
      <c r="D4188" s="33"/>
      <c r="E4188" s="33"/>
      <c r="F4188" s="33"/>
      <c r="G4188" s="522"/>
      <c r="H4188" s="707"/>
      <c r="I4188" s="707">
        <f t="shared" si="130"/>
        <v>0</v>
      </c>
      <c r="J4188" s="707">
        <f t="shared" si="131"/>
        <v>0</v>
      </c>
      <c r="K4188" s="70"/>
    </row>
    <row r="4189" spans="1:11" ht="24" customHeight="1">
      <c r="A4189" s="33"/>
      <c r="B4189" s="33"/>
      <c r="C4189" s="33"/>
      <c r="D4189" s="33"/>
      <c r="E4189" s="33"/>
      <c r="F4189" s="33"/>
      <c r="G4189" s="522"/>
      <c r="H4189" s="707"/>
      <c r="I4189" s="707">
        <f t="shared" si="130"/>
        <v>0</v>
      </c>
      <c r="J4189" s="707">
        <f t="shared" si="131"/>
        <v>0</v>
      </c>
      <c r="K4189" s="70"/>
    </row>
    <row r="4190" spans="1:11" ht="24" customHeight="1">
      <c r="A4190" s="74"/>
      <c r="B4190" s="74"/>
      <c r="C4190" s="74"/>
      <c r="D4190" s="33"/>
      <c r="E4190" s="33"/>
      <c r="F4190" s="33"/>
      <c r="G4190" s="522"/>
      <c r="H4190" s="707"/>
      <c r="I4190" s="707">
        <f t="shared" si="130"/>
        <v>0</v>
      </c>
      <c r="J4190" s="707">
        <f t="shared" si="131"/>
        <v>0</v>
      </c>
      <c r="K4190" s="70"/>
    </row>
    <row r="4191" spans="1:11" ht="24" customHeight="1">
      <c r="A4191" s="74"/>
      <c r="B4191" s="74"/>
      <c r="C4191" s="74"/>
      <c r="D4191" s="33"/>
      <c r="E4191" s="33"/>
      <c r="F4191" s="33"/>
      <c r="G4191" s="522"/>
      <c r="H4191" s="707"/>
      <c r="I4191" s="707">
        <f t="shared" si="130"/>
        <v>0</v>
      </c>
      <c r="J4191" s="707">
        <f t="shared" si="131"/>
        <v>0</v>
      </c>
      <c r="K4191" s="70"/>
    </row>
    <row r="4192" spans="1:11" ht="24" customHeight="1">
      <c r="A4192" s="74"/>
      <c r="B4192" s="74"/>
      <c r="C4192" s="74"/>
      <c r="D4192" s="33"/>
      <c r="E4192" s="33"/>
      <c r="F4192" s="33"/>
      <c r="G4192" s="522"/>
      <c r="H4192" s="707"/>
      <c r="I4192" s="707">
        <f t="shared" si="130"/>
        <v>0</v>
      </c>
      <c r="J4192" s="707">
        <f t="shared" si="131"/>
        <v>0</v>
      </c>
      <c r="K4192" s="70"/>
    </row>
    <row r="4193" spans="1:11" ht="24" customHeight="1">
      <c r="A4193" s="33"/>
      <c r="B4193" s="33"/>
      <c r="C4193" s="33"/>
      <c r="D4193" s="33"/>
      <c r="E4193" s="33"/>
      <c r="F4193" s="33"/>
      <c r="G4193" s="522"/>
      <c r="H4193" s="707"/>
      <c r="I4193" s="707">
        <f t="shared" si="130"/>
        <v>0</v>
      </c>
      <c r="J4193" s="707">
        <f t="shared" si="131"/>
        <v>0</v>
      </c>
      <c r="K4193" s="70"/>
    </row>
    <row r="4194" spans="1:11" ht="24" customHeight="1">
      <c r="A4194" s="33"/>
      <c r="B4194" s="33"/>
      <c r="C4194" s="33"/>
      <c r="D4194" s="33"/>
      <c r="E4194" s="33"/>
      <c r="F4194" s="33"/>
      <c r="G4194" s="522"/>
      <c r="H4194" s="707"/>
      <c r="I4194" s="707">
        <f t="shared" si="130"/>
        <v>0</v>
      </c>
      <c r="J4194" s="707">
        <f t="shared" si="131"/>
        <v>0</v>
      </c>
      <c r="K4194" s="70"/>
    </row>
    <row r="4195" spans="1:11" ht="24" customHeight="1">
      <c r="A4195" s="33"/>
      <c r="B4195" s="33"/>
      <c r="C4195" s="33"/>
      <c r="D4195" s="33"/>
      <c r="E4195" s="33"/>
      <c r="F4195" s="33"/>
      <c r="G4195" s="522"/>
      <c r="H4195" s="707"/>
      <c r="I4195" s="707">
        <f t="shared" si="130"/>
        <v>0</v>
      </c>
      <c r="J4195" s="707">
        <f t="shared" si="131"/>
        <v>0</v>
      </c>
      <c r="K4195" s="70"/>
    </row>
    <row r="4196" spans="1:11" ht="24" customHeight="1">
      <c r="A4196" s="33"/>
      <c r="B4196" s="33"/>
      <c r="C4196" s="33"/>
      <c r="D4196" s="33"/>
      <c r="E4196" s="33"/>
      <c r="F4196" s="33"/>
      <c r="G4196" s="522"/>
      <c r="H4196" s="707"/>
      <c r="I4196" s="707">
        <f t="shared" si="130"/>
        <v>0</v>
      </c>
      <c r="J4196" s="707">
        <f t="shared" si="131"/>
        <v>0</v>
      </c>
      <c r="K4196" s="70"/>
    </row>
    <row r="4197" spans="1:11" ht="24" customHeight="1">
      <c r="A4197" s="74"/>
      <c r="B4197" s="74"/>
      <c r="C4197" s="33"/>
      <c r="D4197" s="33"/>
      <c r="E4197" s="33"/>
      <c r="F4197" s="33"/>
      <c r="G4197" s="522"/>
      <c r="H4197" s="707"/>
      <c r="I4197" s="707">
        <f t="shared" si="130"/>
        <v>0</v>
      </c>
      <c r="J4197" s="707">
        <f t="shared" si="131"/>
        <v>0</v>
      </c>
      <c r="K4197" s="70"/>
    </row>
    <row r="4198" spans="1:11" ht="24" customHeight="1">
      <c r="A4198" s="33"/>
      <c r="B4198" s="33"/>
      <c r="C4198" s="33"/>
      <c r="D4198" s="33"/>
      <c r="E4198" s="33"/>
      <c r="F4198" s="33"/>
      <c r="G4198" s="522"/>
      <c r="H4198" s="707"/>
      <c r="I4198" s="707">
        <f t="shared" si="130"/>
        <v>0</v>
      </c>
      <c r="J4198" s="707">
        <f t="shared" si="131"/>
        <v>0</v>
      </c>
      <c r="K4198" s="70"/>
    </row>
    <row r="4199" spans="1:11" ht="24" customHeight="1">
      <c r="A4199" s="33"/>
      <c r="B4199" s="33"/>
      <c r="C4199" s="33"/>
      <c r="D4199" s="33"/>
      <c r="E4199" s="33"/>
      <c r="F4199" s="33"/>
      <c r="G4199" s="522"/>
      <c r="H4199" s="707"/>
      <c r="I4199" s="707">
        <f t="shared" si="130"/>
        <v>0</v>
      </c>
      <c r="J4199" s="707">
        <f t="shared" si="131"/>
        <v>0</v>
      </c>
      <c r="K4199" s="70"/>
    </row>
    <row r="4200" spans="1:11" ht="24" customHeight="1">
      <c r="A4200" s="33"/>
      <c r="B4200" s="33"/>
      <c r="C4200" s="33"/>
      <c r="D4200" s="33"/>
      <c r="E4200" s="33"/>
      <c r="F4200" s="33"/>
      <c r="G4200" s="522"/>
      <c r="H4200" s="707"/>
      <c r="I4200" s="707">
        <f t="shared" si="130"/>
        <v>0</v>
      </c>
      <c r="J4200" s="707">
        <f t="shared" si="131"/>
        <v>0</v>
      </c>
      <c r="K4200" s="70"/>
    </row>
    <row r="4201" spans="1:11" ht="24" customHeight="1">
      <c r="A4201" s="33"/>
      <c r="B4201" s="33"/>
      <c r="C4201" s="33"/>
      <c r="D4201" s="33"/>
      <c r="E4201" s="33"/>
      <c r="F4201" s="33"/>
      <c r="G4201" s="522"/>
      <c r="H4201" s="707"/>
      <c r="I4201" s="707">
        <f t="shared" si="130"/>
        <v>0</v>
      </c>
      <c r="J4201" s="707">
        <f t="shared" si="131"/>
        <v>0</v>
      </c>
      <c r="K4201" s="70"/>
    </row>
    <row r="4202" spans="1:11" ht="24" customHeight="1">
      <c r="A4202" s="33"/>
      <c r="B4202" s="33"/>
      <c r="C4202" s="33"/>
      <c r="D4202" s="33"/>
      <c r="E4202" s="33"/>
      <c r="F4202" s="33"/>
      <c r="G4202" s="522"/>
      <c r="H4202" s="707"/>
      <c r="I4202" s="707">
        <f t="shared" si="130"/>
        <v>0</v>
      </c>
      <c r="J4202" s="707">
        <f t="shared" si="131"/>
        <v>0</v>
      </c>
      <c r="K4202" s="70"/>
    </row>
    <row r="4203" spans="1:11" ht="24" customHeight="1">
      <c r="A4203" s="33"/>
      <c r="B4203" s="33"/>
      <c r="C4203" s="33"/>
      <c r="D4203" s="33"/>
      <c r="E4203" s="33"/>
      <c r="F4203" s="33"/>
      <c r="G4203" s="522"/>
      <c r="H4203" s="707"/>
      <c r="I4203" s="707">
        <f t="shared" si="130"/>
        <v>0</v>
      </c>
      <c r="J4203" s="707">
        <f t="shared" si="131"/>
        <v>0</v>
      </c>
      <c r="K4203" s="70"/>
    </row>
    <row r="4204" spans="1:11" ht="24" customHeight="1">
      <c r="A4204" s="33"/>
      <c r="B4204" s="33"/>
      <c r="C4204" s="33"/>
      <c r="D4204" s="33"/>
      <c r="E4204" s="33"/>
      <c r="F4204" s="33"/>
      <c r="G4204" s="522"/>
      <c r="H4204" s="707"/>
      <c r="I4204" s="707">
        <f t="shared" si="130"/>
        <v>0</v>
      </c>
      <c r="J4204" s="707">
        <f t="shared" si="131"/>
        <v>0</v>
      </c>
      <c r="K4204" s="70"/>
    </row>
    <row r="4205" spans="1:11" ht="24" customHeight="1">
      <c r="A4205" s="33"/>
      <c r="B4205" s="33"/>
      <c r="C4205" s="33"/>
      <c r="D4205" s="33"/>
      <c r="E4205" s="33"/>
      <c r="F4205" s="33"/>
      <c r="G4205" s="522"/>
      <c r="H4205" s="707"/>
      <c r="I4205" s="707">
        <f t="shared" si="130"/>
        <v>0</v>
      </c>
      <c r="J4205" s="707">
        <f t="shared" si="131"/>
        <v>0</v>
      </c>
      <c r="K4205" s="70"/>
    </row>
    <row r="4206" spans="1:11" ht="24" customHeight="1">
      <c r="A4206" s="33"/>
      <c r="B4206" s="33"/>
      <c r="C4206" s="33"/>
      <c r="D4206" s="33"/>
      <c r="E4206" s="33"/>
      <c r="F4206" s="33"/>
      <c r="G4206" s="522"/>
      <c r="H4206" s="707"/>
      <c r="I4206" s="707">
        <f t="shared" si="130"/>
        <v>0</v>
      </c>
      <c r="J4206" s="707">
        <f t="shared" si="131"/>
        <v>0</v>
      </c>
      <c r="K4206" s="70"/>
    </row>
    <row r="4207" spans="1:11" ht="24" customHeight="1">
      <c r="A4207" s="33"/>
      <c r="B4207" s="33"/>
      <c r="C4207" s="33"/>
      <c r="D4207" s="33"/>
      <c r="E4207" s="33"/>
      <c r="F4207" s="33"/>
      <c r="G4207" s="522"/>
      <c r="H4207" s="707"/>
      <c r="I4207" s="707">
        <f t="shared" si="130"/>
        <v>0</v>
      </c>
      <c r="J4207" s="707">
        <f t="shared" si="131"/>
        <v>0</v>
      </c>
      <c r="K4207" s="70"/>
    </row>
    <row r="4208" spans="1:11" ht="24" customHeight="1">
      <c r="A4208" s="17"/>
      <c r="B4208" s="17"/>
      <c r="C4208" s="17"/>
      <c r="D4208" s="58"/>
      <c r="E4208" s="17"/>
      <c r="F4208" s="17"/>
      <c r="G4208" s="687"/>
      <c r="H4208" s="707"/>
      <c r="I4208" s="707">
        <f t="shared" si="130"/>
        <v>0</v>
      </c>
      <c r="J4208" s="707">
        <f t="shared" si="131"/>
        <v>0</v>
      </c>
      <c r="K4208" s="70"/>
    </row>
    <row r="4209" spans="1:11" ht="24" customHeight="1">
      <c r="A4209" s="17"/>
      <c r="B4209" s="17"/>
      <c r="C4209" s="17"/>
      <c r="D4209" s="58"/>
      <c r="E4209" s="17"/>
      <c r="F4209" s="17"/>
      <c r="G4209" s="687"/>
      <c r="H4209" s="707"/>
      <c r="I4209" s="707">
        <f t="shared" si="130"/>
        <v>0</v>
      </c>
      <c r="J4209" s="707">
        <f t="shared" si="131"/>
        <v>0</v>
      </c>
      <c r="K4209" s="70"/>
    </row>
    <row r="4210" spans="1:11" ht="24" customHeight="1">
      <c r="A4210" s="33"/>
      <c r="B4210" s="33"/>
      <c r="C4210" s="33"/>
      <c r="D4210" s="33"/>
      <c r="E4210" s="33"/>
      <c r="F4210" s="33"/>
      <c r="G4210" s="522"/>
      <c r="H4210" s="708"/>
      <c r="I4210" s="707">
        <f t="shared" si="130"/>
        <v>0</v>
      </c>
      <c r="J4210" s="708">
        <f t="shared" si="131"/>
        <v>0</v>
      </c>
      <c r="K4210" s="70"/>
    </row>
    <row r="4211" spans="1:11" ht="24" customHeight="1">
      <c r="A4211" s="17"/>
      <c r="B4211" s="244"/>
      <c r="C4211" s="17"/>
      <c r="D4211" s="58"/>
      <c r="E4211" s="17"/>
      <c r="F4211" s="17"/>
      <c r="G4211" s="687"/>
      <c r="H4211" s="707"/>
      <c r="I4211" s="707">
        <f t="shared" si="130"/>
        <v>0</v>
      </c>
      <c r="J4211" s="707">
        <f t="shared" si="131"/>
        <v>0</v>
      </c>
      <c r="K4211" s="70"/>
    </row>
    <row r="4212" spans="1:11" ht="24" customHeight="1">
      <c r="A4212" s="17"/>
      <c r="B4212" s="17"/>
      <c r="C4212" s="17"/>
      <c r="D4212" s="58"/>
      <c r="E4212" s="17"/>
      <c r="F4212" s="17"/>
      <c r="G4212" s="687"/>
      <c r="H4212" s="707"/>
      <c r="I4212" s="707">
        <f t="shared" si="130"/>
        <v>0</v>
      </c>
      <c r="J4212" s="707">
        <f t="shared" si="131"/>
        <v>0</v>
      </c>
      <c r="K4212" s="70"/>
    </row>
    <row r="4213" spans="1:11" ht="24" customHeight="1">
      <c r="A4213" s="17"/>
      <c r="B4213" s="17"/>
      <c r="C4213" s="17"/>
      <c r="D4213" s="58"/>
      <c r="E4213" s="17"/>
      <c r="F4213" s="17"/>
      <c r="G4213" s="687"/>
      <c r="H4213" s="707"/>
      <c r="I4213" s="707">
        <f t="shared" si="130"/>
        <v>0</v>
      </c>
      <c r="J4213" s="707">
        <f t="shared" si="131"/>
        <v>0</v>
      </c>
      <c r="K4213" s="70"/>
    </row>
    <row r="4214" spans="1:11" ht="24" customHeight="1">
      <c r="A4214" s="33"/>
      <c r="B4214" s="33"/>
      <c r="C4214" s="33"/>
      <c r="D4214" s="58"/>
      <c r="E4214" s="33"/>
      <c r="F4214" s="33"/>
      <c r="G4214" s="522"/>
      <c r="H4214" s="707"/>
      <c r="I4214" s="707">
        <f t="shared" si="130"/>
        <v>0</v>
      </c>
      <c r="J4214" s="707">
        <f t="shared" si="131"/>
        <v>0</v>
      </c>
      <c r="K4214" s="70"/>
    </row>
    <row r="4215" spans="1:11" ht="24" customHeight="1">
      <c r="A4215" s="17"/>
      <c r="B4215" s="17"/>
      <c r="C4215" s="17"/>
      <c r="D4215" s="58"/>
      <c r="E4215" s="17"/>
      <c r="F4215" s="17"/>
      <c r="G4215" s="687"/>
      <c r="H4215" s="707"/>
      <c r="I4215" s="707">
        <f t="shared" si="130"/>
        <v>0</v>
      </c>
      <c r="J4215" s="707">
        <f t="shared" si="131"/>
        <v>0</v>
      </c>
      <c r="K4215" s="70"/>
    </row>
    <row r="4216" spans="1:11" ht="24" customHeight="1">
      <c r="A4216" s="17"/>
      <c r="B4216" s="17"/>
      <c r="C4216" s="17"/>
      <c r="D4216" s="58"/>
      <c r="E4216" s="17"/>
      <c r="F4216" s="17"/>
      <c r="G4216" s="687"/>
      <c r="H4216" s="707"/>
      <c r="I4216" s="707">
        <f t="shared" si="130"/>
        <v>0</v>
      </c>
      <c r="J4216" s="707">
        <f t="shared" si="131"/>
        <v>0</v>
      </c>
      <c r="K4216" s="70"/>
    </row>
    <row r="4217" spans="1:11" ht="24" customHeight="1">
      <c r="A4217" s="17"/>
      <c r="B4217" s="17"/>
      <c r="C4217" s="17"/>
      <c r="D4217" s="58"/>
      <c r="E4217" s="17"/>
      <c r="F4217" s="17"/>
      <c r="G4217" s="687"/>
      <c r="H4217" s="707"/>
      <c r="I4217" s="707">
        <f t="shared" si="130"/>
        <v>0</v>
      </c>
      <c r="J4217" s="707">
        <f t="shared" si="131"/>
        <v>0</v>
      </c>
      <c r="K4217" s="70"/>
    </row>
    <row r="4218" spans="1:11" ht="24" customHeight="1">
      <c r="A4218" s="17"/>
      <c r="B4218" s="17"/>
      <c r="C4218" s="17"/>
      <c r="D4218" s="58"/>
      <c r="E4218" s="17"/>
      <c r="F4218" s="17"/>
      <c r="G4218" s="687"/>
      <c r="H4218" s="707"/>
      <c r="I4218" s="707">
        <f t="shared" si="130"/>
        <v>0</v>
      </c>
      <c r="J4218" s="707">
        <f t="shared" si="131"/>
        <v>0</v>
      </c>
      <c r="K4218" s="70"/>
    </row>
    <row r="4219" spans="1:11" ht="24" customHeight="1">
      <c r="A4219" s="17"/>
      <c r="B4219" s="17"/>
      <c r="C4219" s="33"/>
      <c r="D4219" s="58"/>
      <c r="E4219" s="17"/>
      <c r="F4219" s="17"/>
      <c r="G4219" s="687"/>
      <c r="H4219" s="707"/>
      <c r="I4219" s="707">
        <f t="shared" si="130"/>
        <v>0</v>
      </c>
      <c r="J4219" s="707">
        <f t="shared" si="131"/>
        <v>0</v>
      </c>
      <c r="K4219" s="70"/>
    </row>
    <row r="4220" spans="1:11" ht="24" customHeight="1">
      <c r="A4220" s="17"/>
      <c r="B4220" s="17"/>
      <c r="C4220" s="17"/>
      <c r="D4220" s="58"/>
      <c r="E4220" s="17"/>
      <c r="F4220" s="17"/>
      <c r="G4220" s="687"/>
      <c r="H4220" s="707"/>
      <c r="I4220" s="707">
        <f t="shared" si="130"/>
        <v>0</v>
      </c>
      <c r="J4220" s="707">
        <f t="shared" si="131"/>
        <v>0</v>
      </c>
      <c r="K4220" s="70"/>
    </row>
    <row r="4221" spans="1:11" ht="24" customHeight="1">
      <c r="A4221" s="17"/>
      <c r="B4221" s="17"/>
      <c r="C4221" s="17"/>
      <c r="D4221" s="58"/>
      <c r="E4221" s="17"/>
      <c r="F4221" s="17"/>
      <c r="G4221" s="687"/>
      <c r="H4221" s="707"/>
      <c r="I4221" s="707">
        <f t="shared" si="130"/>
        <v>0</v>
      </c>
      <c r="J4221" s="707">
        <f t="shared" si="131"/>
        <v>0</v>
      </c>
      <c r="K4221" s="70"/>
    </row>
    <row r="4222" spans="1:11" ht="24" customHeight="1">
      <c r="A4222" s="17"/>
      <c r="B4222" s="17"/>
      <c r="C4222" s="33"/>
      <c r="D4222" s="58"/>
      <c r="E4222" s="17"/>
      <c r="F4222" s="17"/>
      <c r="G4222" s="687"/>
      <c r="H4222" s="707"/>
      <c r="I4222" s="707">
        <f t="shared" si="130"/>
        <v>0</v>
      </c>
      <c r="J4222" s="707">
        <f t="shared" si="131"/>
        <v>0</v>
      </c>
      <c r="K4222" s="70"/>
    </row>
    <row r="4223" spans="1:11" ht="24" customHeight="1">
      <c r="A4223" s="33"/>
      <c r="B4223" s="33"/>
      <c r="C4223" s="33"/>
      <c r="D4223" s="17"/>
      <c r="E4223" s="17"/>
      <c r="F4223" s="17"/>
      <c r="G4223" s="687"/>
      <c r="H4223" s="707"/>
      <c r="I4223" s="707">
        <f t="shared" si="130"/>
        <v>0</v>
      </c>
      <c r="J4223" s="707">
        <f t="shared" si="131"/>
        <v>0</v>
      </c>
      <c r="K4223" s="70"/>
    </row>
    <row r="4224" spans="1:11" ht="24" customHeight="1">
      <c r="A4224" s="33"/>
      <c r="B4224" s="33"/>
      <c r="C4224" s="33"/>
      <c r="D4224" s="17"/>
      <c r="E4224" s="33"/>
      <c r="F4224" s="33"/>
      <c r="G4224" s="522"/>
      <c r="H4224" s="707"/>
      <c r="I4224" s="707">
        <f t="shared" si="130"/>
        <v>0</v>
      </c>
      <c r="J4224" s="707">
        <f t="shared" si="131"/>
        <v>0</v>
      </c>
      <c r="K4224" s="70"/>
    </row>
    <row r="4225" spans="1:11" ht="24" customHeight="1">
      <c r="A4225" s="33"/>
      <c r="B4225" s="33"/>
      <c r="C4225" s="33"/>
      <c r="D4225" s="71"/>
      <c r="E4225" s="33"/>
      <c r="F4225" s="33"/>
      <c r="G4225" s="522"/>
      <c r="H4225" s="707"/>
      <c r="I4225" s="707">
        <f t="shared" si="130"/>
        <v>0</v>
      </c>
      <c r="J4225" s="707">
        <f t="shared" si="131"/>
        <v>0</v>
      </c>
      <c r="K4225" s="70"/>
    </row>
    <row r="4226" spans="1:11" ht="24" customHeight="1">
      <c r="A4226" s="33"/>
      <c r="B4226" s="33"/>
      <c r="C4226" s="33"/>
      <c r="D4226" s="71"/>
      <c r="E4226" s="33"/>
      <c r="F4226" s="33"/>
      <c r="G4226" s="522"/>
      <c r="H4226" s="707"/>
      <c r="I4226" s="707">
        <f t="shared" si="130"/>
        <v>0</v>
      </c>
      <c r="J4226" s="707">
        <f t="shared" si="131"/>
        <v>0</v>
      </c>
      <c r="K4226" s="70"/>
    </row>
    <row r="4227" spans="1:11" ht="24" customHeight="1">
      <c r="A4227" s="33"/>
      <c r="B4227" s="33"/>
      <c r="C4227" s="33"/>
      <c r="D4227" s="71"/>
      <c r="E4227" s="33"/>
      <c r="F4227" s="33"/>
      <c r="G4227" s="522"/>
      <c r="H4227" s="707"/>
      <c r="I4227" s="707">
        <f t="shared" ref="I4227:I4276" si="132">H4227 * 1.15</f>
        <v>0</v>
      </c>
      <c r="J4227" s="707">
        <f t="shared" ref="J4227:J4276" si="133">H4227 * 1.3</f>
        <v>0</v>
      </c>
      <c r="K4227" s="70"/>
    </row>
    <row r="4228" spans="1:11" ht="24" customHeight="1">
      <c r="A4228" s="33"/>
      <c r="B4228" s="33"/>
      <c r="C4228" s="33"/>
      <c r="D4228" s="33"/>
      <c r="E4228" s="33"/>
      <c r="F4228" s="33"/>
      <c r="G4228" s="522"/>
      <c r="H4228" s="707"/>
      <c r="I4228" s="707">
        <f t="shared" si="132"/>
        <v>0</v>
      </c>
      <c r="J4228" s="707">
        <f t="shared" si="133"/>
        <v>0</v>
      </c>
      <c r="K4228" s="70"/>
    </row>
    <row r="4229" spans="1:11" ht="24" customHeight="1">
      <c r="A4229" s="17"/>
      <c r="B4229" s="58"/>
      <c r="C4229" s="17"/>
      <c r="D4229" s="33"/>
      <c r="E4229" s="17"/>
      <c r="F4229" s="17"/>
      <c r="G4229" s="687"/>
      <c r="H4229" s="707"/>
      <c r="I4229" s="707">
        <f t="shared" si="132"/>
        <v>0</v>
      </c>
      <c r="J4229" s="707">
        <f t="shared" si="133"/>
        <v>0</v>
      </c>
      <c r="K4229" s="70"/>
    </row>
    <row r="4230" spans="1:11" ht="24" customHeight="1">
      <c r="A4230" s="33"/>
      <c r="B4230" s="33"/>
      <c r="C4230" s="33"/>
      <c r="D4230" s="33"/>
      <c r="E4230" s="33"/>
      <c r="F4230" s="33"/>
      <c r="G4230" s="522"/>
      <c r="H4230" s="707"/>
      <c r="I4230" s="707">
        <f t="shared" si="132"/>
        <v>0</v>
      </c>
      <c r="J4230" s="707">
        <f t="shared" si="133"/>
        <v>0</v>
      </c>
      <c r="K4230" s="70"/>
    </row>
    <row r="4231" spans="1:11" ht="24" customHeight="1">
      <c r="A4231" s="33"/>
      <c r="B4231" s="71"/>
      <c r="C4231" s="71"/>
      <c r="D4231" s="33"/>
      <c r="E4231" s="71"/>
      <c r="F4231" s="71"/>
      <c r="G4231" s="686"/>
      <c r="H4231" s="707"/>
      <c r="I4231" s="707">
        <f t="shared" si="132"/>
        <v>0</v>
      </c>
      <c r="J4231" s="707">
        <f t="shared" si="133"/>
        <v>0</v>
      </c>
      <c r="K4231" s="70"/>
    </row>
    <row r="4232" spans="1:11" ht="24" customHeight="1">
      <c r="A4232" s="17"/>
      <c r="B4232" s="58"/>
      <c r="C4232" s="33"/>
      <c r="D4232" s="33"/>
      <c r="E4232" s="33"/>
      <c r="F4232" s="33"/>
      <c r="G4232" s="522"/>
      <c r="H4232" s="707"/>
      <c r="I4232" s="707">
        <f t="shared" si="132"/>
        <v>0</v>
      </c>
      <c r="J4232" s="707">
        <f t="shared" si="133"/>
        <v>0</v>
      </c>
      <c r="K4232" s="70"/>
    </row>
    <row r="4233" spans="1:11" ht="24" customHeight="1">
      <c r="A4233" s="33"/>
      <c r="B4233" s="33"/>
      <c r="C4233" s="33"/>
      <c r="D4233" s="33"/>
      <c r="E4233" s="33"/>
      <c r="F4233" s="33"/>
      <c r="G4233" s="522"/>
      <c r="H4233" s="707"/>
      <c r="I4233" s="707">
        <f t="shared" si="132"/>
        <v>0</v>
      </c>
      <c r="J4233" s="707">
        <f t="shared" si="133"/>
        <v>0</v>
      </c>
      <c r="K4233" s="70"/>
    </row>
    <row r="4234" spans="1:11" ht="24" customHeight="1">
      <c r="A4234" s="33"/>
      <c r="B4234" s="33"/>
      <c r="C4234" s="33"/>
      <c r="D4234" s="33"/>
      <c r="E4234" s="262"/>
      <c r="F4234" s="262"/>
      <c r="G4234" s="697"/>
      <c r="H4234" s="707"/>
      <c r="I4234" s="707">
        <f t="shared" si="132"/>
        <v>0</v>
      </c>
      <c r="J4234" s="707">
        <f t="shared" si="133"/>
        <v>0</v>
      </c>
      <c r="K4234" s="70"/>
    </row>
    <row r="4235" spans="1:11" ht="24" customHeight="1">
      <c r="A4235" s="33"/>
      <c r="B4235" s="66"/>
      <c r="C4235" s="66"/>
      <c r="D4235" s="66"/>
      <c r="E4235" s="682"/>
      <c r="F4235" s="682"/>
      <c r="G4235" s="698"/>
      <c r="H4235" s="707"/>
      <c r="I4235" s="707">
        <f t="shared" si="132"/>
        <v>0</v>
      </c>
      <c r="J4235" s="707">
        <f t="shared" si="133"/>
        <v>0</v>
      </c>
      <c r="K4235" s="70"/>
    </row>
    <row r="4236" spans="1:11" ht="24" customHeight="1">
      <c r="A4236" s="33"/>
      <c r="B4236" s="66"/>
      <c r="C4236" s="66"/>
      <c r="D4236" s="66"/>
      <c r="E4236" s="682"/>
      <c r="F4236" s="682"/>
      <c r="G4236" s="698"/>
      <c r="H4236" s="707"/>
      <c r="I4236" s="707">
        <f t="shared" si="132"/>
        <v>0</v>
      </c>
      <c r="J4236" s="707">
        <f t="shared" si="133"/>
        <v>0</v>
      </c>
      <c r="K4236" s="70"/>
    </row>
    <row r="4237" spans="1:11" ht="24" customHeight="1">
      <c r="A4237" s="33"/>
      <c r="B4237" s="33"/>
      <c r="C4237" s="33"/>
      <c r="D4237" s="33"/>
      <c r="E4237" s="262"/>
      <c r="F4237" s="262"/>
      <c r="G4237" s="697"/>
      <c r="H4237" s="707"/>
      <c r="I4237" s="707">
        <f t="shared" si="132"/>
        <v>0</v>
      </c>
      <c r="J4237" s="707">
        <f t="shared" si="133"/>
        <v>0</v>
      </c>
      <c r="K4237" s="70"/>
    </row>
    <row r="4238" spans="1:11" ht="24" customHeight="1">
      <c r="A4238" s="33"/>
      <c r="B4238" s="33"/>
      <c r="C4238" s="33"/>
      <c r="D4238" s="33"/>
      <c r="E4238" s="262"/>
      <c r="F4238" s="262"/>
      <c r="G4238" s="697"/>
      <c r="H4238" s="707"/>
      <c r="I4238" s="707">
        <f t="shared" si="132"/>
        <v>0</v>
      </c>
      <c r="J4238" s="707">
        <f t="shared" si="133"/>
        <v>0</v>
      </c>
      <c r="K4238" s="70"/>
    </row>
    <row r="4239" spans="1:11" ht="24" customHeight="1">
      <c r="A4239" s="33"/>
      <c r="B4239" s="33"/>
      <c r="C4239" s="33"/>
      <c r="D4239" s="33"/>
      <c r="E4239" s="33"/>
      <c r="F4239" s="33"/>
      <c r="G4239" s="522"/>
      <c r="H4239" s="707"/>
      <c r="I4239" s="707">
        <f t="shared" si="132"/>
        <v>0</v>
      </c>
      <c r="J4239" s="707">
        <f t="shared" si="133"/>
        <v>0</v>
      </c>
      <c r="K4239" s="70"/>
    </row>
    <row r="4240" spans="1:11" ht="24" customHeight="1">
      <c r="A4240" s="33"/>
      <c r="B4240" s="33"/>
      <c r="C4240" s="33"/>
      <c r="D4240" s="33"/>
      <c r="E4240" s="33"/>
      <c r="F4240" s="33"/>
      <c r="G4240" s="522"/>
      <c r="H4240" s="707"/>
      <c r="I4240" s="707">
        <f t="shared" si="132"/>
        <v>0</v>
      </c>
      <c r="J4240" s="707">
        <f t="shared" si="133"/>
        <v>0</v>
      </c>
      <c r="K4240" s="70"/>
    </row>
    <row r="4241" spans="1:11" ht="24" customHeight="1">
      <c r="A4241" s="33"/>
      <c r="B4241" s="33"/>
      <c r="C4241" s="33"/>
      <c r="D4241" s="33"/>
      <c r="E4241" s="33"/>
      <c r="F4241" s="33"/>
      <c r="G4241" s="522"/>
      <c r="H4241" s="707"/>
      <c r="I4241" s="707">
        <f t="shared" si="132"/>
        <v>0</v>
      </c>
      <c r="J4241" s="707">
        <f t="shared" si="133"/>
        <v>0</v>
      </c>
      <c r="K4241" s="70"/>
    </row>
    <row r="4242" spans="1:11" ht="24" customHeight="1">
      <c r="A4242" s="11"/>
      <c r="B4242" s="11"/>
      <c r="C4242" s="11"/>
      <c r="D4242" s="131"/>
      <c r="E4242" s="15"/>
      <c r="F4242" s="15"/>
      <c r="G4242" s="684"/>
      <c r="H4242" s="707">
        <v>50</v>
      </c>
      <c r="I4242" s="707">
        <f t="shared" si="132"/>
        <v>57.499999999999993</v>
      </c>
      <c r="J4242" s="707">
        <f t="shared" si="133"/>
        <v>65</v>
      </c>
      <c r="K4242" s="70"/>
    </row>
    <row r="4243" spans="1:11" ht="24" customHeight="1">
      <c r="A4243" s="17"/>
      <c r="B4243" s="244"/>
      <c r="C4243" s="17"/>
      <c r="D4243" s="58"/>
      <c r="E4243" s="17"/>
      <c r="F4243" s="17"/>
      <c r="G4243" s="687"/>
      <c r="H4243" s="707"/>
      <c r="I4243" s="707">
        <f t="shared" si="132"/>
        <v>0</v>
      </c>
      <c r="J4243" s="707">
        <f t="shared" si="133"/>
        <v>0</v>
      </c>
      <c r="K4243" s="70"/>
    </row>
    <row r="4244" spans="1:11" ht="24" customHeight="1">
      <c r="A4244" s="17"/>
      <c r="B4244" s="17"/>
      <c r="C4244" s="17"/>
      <c r="D4244" s="58"/>
      <c r="E4244" s="17"/>
      <c r="F4244" s="17"/>
      <c r="G4244" s="687"/>
      <c r="H4244" s="707"/>
      <c r="I4244" s="707">
        <f t="shared" si="132"/>
        <v>0</v>
      </c>
      <c r="J4244" s="707">
        <f t="shared" si="133"/>
        <v>0</v>
      </c>
      <c r="K4244" s="70"/>
    </row>
    <row r="4245" spans="1:11" ht="24" customHeight="1">
      <c r="A4245" s="17"/>
      <c r="B4245" s="17"/>
      <c r="C4245" s="17"/>
      <c r="D4245" s="58"/>
      <c r="E4245" s="17"/>
      <c r="F4245" s="17"/>
      <c r="G4245" s="687"/>
      <c r="H4245" s="707"/>
      <c r="I4245" s="707">
        <f t="shared" si="132"/>
        <v>0</v>
      </c>
      <c r="J4245" s="707">
        <f t="shared" si="133"/>
        <v>0</v>
      </c>
      <c r="K4245" s="70"/>
    </row>
    <row r="4246" spans="1:11" ht="24" customHeight="1">
      <c r="A4246" s="17"/>
      <c r="B4246" s="17"/>
      <c r="C4246" s="17"/>
      <c r="D4246" s="58"/>
      <c r="E4246" s="17"/>
      <c r="F4246" s="17"/>
      <c r="G4246" s="687"/>
      <c r="H4246" s="707"/>
      <c r="I4246" s="707">
        <f t="shared" si="132"/>
        <v>0</v>
      </c>
      <c r="J4246" s="707">
        <f t="shared" si="133"/>
        <v>0</v>
      </c>
      <c r="K4246" s="70"/>
    </row>
    <row r="4247" spans="1:11" ht="24" customHeight="1">
      <c r="A4247" s="33"/>
      <c r="B4247" s="33"/>
      <c r="C4247" s="33"/>
      <c r="D4247" s="33"/>
      <c r="E4247" s="33"/>
      <c r="F4247" s="33"/>
      <c r="G4247" s="522"/>
      <c r="H4247" s="707"/>
      <c r="I4247" s="707">
        <f t="shared" si="132"/>
        <v>0</v>
      </c>
      <c r="J4247" s="707">
        <f t="shared" si="133"/>
        <v>0</v>
      </c>
      <c r="K4247" s="70"/>
    </row>
    <row r="4248" spans="1:11" ht="24" customHeight="1">
      <c r="A4248" s="33"/>
      <c r="B4248" s="33"/>
      <c r="C4248" s="33"/>
      <c r="D4248" s="33"/>
      <c r="E4248" s="33"/>
      <c r="F4248" s="33"/>
      <c r="G4248" s="522"/>
      <c r="H4248" s="707"/>
      <c r="I4248" s="707">
        <f t="shared" si="132"/>
        <v>0</v>
      </c>
      <c r="J4248" s="707">
        <f t="shared" si="133"/>
        <v>0</v>
      </c>
      <c r="K4248" s="70"/>
    </row>
    <row r="4249" spans="1:11" ht="24" customHeight="1">
      <c r="A4249" s="33"/>
      <c r="B4249" s="33"/>
      <c r="C4249" s="33"/>
      <c r="D4249" s="33"/>
      <c r="E4249" s="33"/>
      <c r="F4249" s="33"/>
      <c r="G4249" s="522"/>
      <c r="H4249" s="707"/>
      <c r="I4249" s="707">
        <f t="shared" si="132"/>
        <v>0</v>
      </c>
      <c r="J4249" s="707">
        <f t="shared" si="133"/>
        <v>0</v>
      </c>
      <c r="K4249" s="55"/>
    </row>
    <row r="4250" spans="1:11" ht="24" customHeight="1">
      <c r="A4250" s="33"/>
      <c r="B4250" s="33"/>
      <c r="C4250" s="33"/>
      <c r="D4250" s="33"/>
      <c r="E4250" s="33"/>
      <c r="F4250" s="33"/>
      <c r="G4250" s="522"/>
      <c r="H4250" s="707"/>
      <c r="I4250" s="707">
        <f t="shared" si="132"/>
        <v>0</v>
      </c>
      <c r="J4250" s="707">
        <f t="shared" si="133"/>
        <v>0</v>
      </c>
      <c r="K4250" s="55"/>
    </row>
    <row r="4251" spans="1:11" ht="24" customHeight="1">
      <c r="A4251" s="33"/>
      <c r="B4251" s="33"/>
      <c r="C4251" s="33"/>
      <c r="D4251" s="33"/>
      <c r="E4251" s="33"/>
      <c r="F4251" s="33"/>
      <c r="G4251" s="522"/>
      <c r="H4251" s="707"/>
      <c r="I4251" s="707">
        <f t="shared" si="132"/>
        <v>0</v>
      </c>
      <c r="J4251" s="707">
        <f t="shared" si="133"/>
        <v>0</v>
      </c>
      <c r="K4251" s="55"/>
    </row>
    <row r="4252" spans="1:11" ht="24" customHeight="1">
      <c r="A4252" s="33"/>
      <c r="B4252" s="33"/>
      <c r="C4252" s="33"/>
      <c r="D4252" s="33"/>
      <c r="E4252" s="33"/>
      <c r="F4252" s="33"/>
      <c r="G4252" s="522"/>
      <c r="H4252" s="707"/>
      <c r="I4252" s="707">
        <f t="shared" si="132"/>
        <v>0</v>
      </c>
      <c r="J4252" s="707">
        <f t="shared" si="133"/>
        <v>0</v>
      </c>
      <c r="K4252" s="55"/>
    </row>
    <row r="4253" spans="1:11" ht="24" customHeight="1">
      <c r="A4253" s="33"/>
      <c r="B4253" s="33"/>
      <c r="C4253" s="33"/>
      <c r="D4253" s="33"/>
      <c r="E4253" s="33"/>
      <c r="F4253" s="33"/>
      <c r="G4253" s="522"/>
      <c r="H4253" s="707"/>
      <c r="I4253" s="707">
        <f t="shared" si="132"/>
        <v>0</v>
      </c>
      <c r="J4253" s="707">
        <f t="shared" si="133"/>
        <v>0</v>
      </c>
      <c r="K4253" s="55"/>
    </row>
    <row r="4254" spans="1:11" ht="24" customHeight="1">
      <c r="A4254" s="33"/>
      <c r="B4254" s="33"/>
      <c r="C4254" s="33"/>
      <c r="D4254" s="33"/>
      <c r="E4254" s="33"/>
      <c r="F4254" s="33"/>
      <c r="G4254" s="522"/>
      <c r="H4254" s="707"/>
      <c r="I4254" s="707">
        <f t="shared" si="132"/>
        <v>0</v>
      </c>
      <c r="J4254" s="707">
        <f t="shared" si="133"/>
        <v>0</v>
      </c>
      <c r="K4254" s="55"/>
    </row>
    <row r="4255" spans="1:11" ht="24" customHeight="1">
      <c r="A4255" s="33"/>
      <c r="B4255" s="33"/>
      <c r="C4255" s="33"/>
      <c r="D4255" s="33"/>
      <c r="E4255" s="33"/>
      <c r="F4255" s="33"/>
      <c r="G4255" s="522"/>
      <c r="H4255" s="707"/>
      <c r="I4255" s="707">
        <f t="shared" si="132"/>
        <v>0</v>
      </c>
      <c r="J4255" s="707">
        <f t="shared" si="133"/>
        <v>0</v>
      </c>
      <c r="K4255" s="70"/>
    </row>
    <row r="4256" spans="1:11" ht="24" customHeight="1">
      <c r="A4256" s="33"/>
      <c r="B4256" s="33"/>
      <c r="C4256" s="33"/>
      <c r="D4256" s="33"/>
      <c r="E4256" s="33"/>
      <c r="F4256" s="33"/>
      <c r="G4256" s="522"/>
      <c r="H4256" s="707"/>
      <c r="I4256" s="707">
        <f t="shared" si="132"/>
        <v>0</v>
      </c>
      <c r="J4256" s="707">
        <f t="shared" si="133"/>
        <v>0</v>
      </c>
      <c r="K4256" s="55"/>
    </row>
    <row r="4257" spans="1:11" ht="24" customHeight="1">
      <c r="A4257" s="33"/>
      <c r="B4257" s="33"/>
      <c r="C4257" s="33"/>
      <c r="D4257" s="33"/>
      <c r="E4257" s="33"/>
      <c r="F4257" s="33"/>
      <c r="G4257" s="522"/>
      <c r="H4257" s="707"/>
      <c r="I4257" s="707">
        <f t="shared" si="132"/>
        <v>0</v>
      </c>
      <c r="J4257" s="707">
        <f t="shared" si="133"/>
        <v>0</v>
      </c>
      <c r="K4257" s="55"/>
    </row>
    <row r="4258" spans="1:11" ht="24" customHeight="1">
      <c r="A4258" s="33"/>
      <c r="B4258" s="33"/>
      <c r="C4258" s="33"/>
      <c r="D4258" s="33"/>
      <c r="E4258" s="33"/>
      <c r="F4258" s="33"/>
      <c r="G4258" s="522"/>
      <c r="H4258" s="707"/>
      <c r="I4258" s="707">
        <f t="shared" si="132"/>
        <v>0</v>
      </c>
      <c r="J4258" s="707">
        <f t="shared" si="133"/>
        <v>0</v>
      </c>
      <c r="K4258" s="70"/>
    </row>
    <row r="4259" spans="1:11" ht="24" customHeight="1">
      <c r="A4259" s="33"/>
      <c r="B4259" s="33"/>
      <c r="C4259" s="33"/>
      <c r="D4259" s="33"/>
      <c r="E4259" s="33"/>
      <c r="F4259" s="33"/>
      <c r="G4259" s="522"/>
      <c r="H4259" s="707"/>
      <c r="I4259" s="707">
        <f t="shared" si="132"/>
        <v>0</v>
      </c>
      <c r="J4259" s="707">
        <f t="shared" si="133"/>
        <v>0</v>
      </c>
      <c r="K4259" s="55"/>
    </row>
    <row r="4260" spans="1:11" ht="24" customHeight="1">
      <c r="A4260" s="33"/>
      <c r="B4260" s="33"/>
      <c r="C4260" s="33"/>
      <c r="D4260" s="33"/>
      <c r="E4260" s="33"/>
      <c r="F4260" s="33"/>
      <c r="G4260" s="522"/>
      <c r="H4260" s="707"/>
      <c r="I4260" s="707">
        <f t="shared" si="132"/>
        <v>0</v>
      </c>
      <c r="J4260" s="707">
        <f t="shared" si="133"/>
        <v>0</v>
      </c>
      <c r="K4260" s="55"/>
    </row>
    <row r="4261" spans="1:11" ht="24" customHeight="1">
      <c r="A4261" s="33"/>
      <c r="B4261" s="33"/>
      <c r="C4261" s="33"/>
      <c r="D4261" s="33"/>
      <c r="E4261" s="33"/>
      <c r="F4261" s="33"/>
      <c r="G4261" s="522"/>
      <c r="H4261" s="707"/>
      <c r="I4261" s="707">
        <f t="shared" si="132"/>
        <v>0</v>
      </c>
      <c r="J4261" s="707">
        <f t="shared" si="133"/>
        <v>0</v>
      </c>
      <c r="K4261" s="70"/>
    </row>
    <row r="4262" spans="1:11" ht="24" customHeight="1">
      <c r="A4262" s="33"/>
      <c r="B4262" s="33"/>
      <c r="C4262" s="33"/>
      <c r="D4262" s="33"/>
      <c r="E4262" s="33"/>
      <c r="F4262" s="33"/>
      <c r="G4262" s="522"/>
      <c r="H4262" s="707"/>
      <c r="I4262" s="707">
        <f t="shared" si="132"/>
        <v>0</v>
      </c>
      <c r="J4262" s="707">
        <f t="shared" si="133"/>
        <v>0</v>
      </c>
      <c r="K4262" s="55"/>
    </row>
    <row r="4263" spans="1:11" ht="24" customHeight="1">
      <c r="A4263" s="33"/>
      <c r="B4263" s="33"/>
      <c r="C4263" s="33"/>
      <c r="D4263" s="33"/>
      <c r="E4263" s="33"/>
      <c r="F4263" s="33"/>
      <c r="G4263" s="522"/>
      <c r="H4263" s="707"/>
      <c r="I4263" s="707">
        <f t="shared" si="132"/>
        <v>0</v>
      </c>
      <c r="J4263" s="707">
        <f t="shared" si="133"/>
        <v>0</v>
      </c>
      <c r="K4263" s="55"/>
    </row>
    <row r="4264" spans="1:11" ht="24" customHeight="1">
      <c r="A4264" s="33"/>
      <c r="B4264" s="33"/>
      <c r="C4264" s="33"/>
      <c r="D4264" s="33"/>
      <c r="E4264" s="33"/>
      <c r="F4264" s="33"/>
      <c r="G4264" s="522"/>
      <c r="H4264" s="707"/>
      <c r="I4264" s="707">
        <f t="shared" si="132"/>
        <v>0</v>
      </c>
      <c r="J4264" s="707">
        <f t="shared" si="133"/>
        <v>0</v>
      </c>
      <c r="K4264" s="70"/>
    </row>
    <row r="4265" spans="1:11" ht="24" customHeight="1">
      <c r="A4265" s="33"/>
      <c r="B4265" s="33"/>
      <c r="C4265" s="33"/>
      <c r="D4265" s="33"/>
      <c r="E4265" s="33"/>
      <c r="F4265" s="33"/>
      <c r="G4265" s="522"/>
      <c r="H4265" s="707"/>
      <c r="I4265" s="707">
        <f t="shared" si="132"/>
        <v>0</v>
      </c>
      <c r="J4265" s="707">
        <f t="shared" si="133"/>
        <v>0</v>
      </c>
      <c r="K4265" s="70"/>
    </row>
    <row r="4266" spans="1:11" ht="24" customHeight="1">
      <c r="A4266" s="33"/>
      <c r="B4266" s="33"/>
      <c r="C4266" s="33"/>
      <c r="D4266" s="33"/>
      <c r="E4266" s="33"/>
      <c r="F4266" s="33"/>
      <c r="G4266" s="522"/>
      <c r="H4266" s="707"/>
      <c r="I4266" s="707">
        <f t="shared" si="132"/>
        <v>0</v>
      </c>
      <c r="J4266" s="707">
        <f t="shared" si="133"/>
        <v>0</v>
      </c>
      <c r="K4266" s="55"/>
    </row>
    <row r="4267" spans="1:11" ht="24" customHeight="1">
      <c r="A4267" s="33"/>
      <c r="B4267" s="33"/>
      <c r="C4267" s="33"/>
      <c r="D4267" s="33"/>
      <c r="E4267" s="33"/>
      <c r="F4267" s="33"/>
      <c r="G4267" s="522"/>
      <c r="H4267" s="707"/>
      <c r="I4267" s="707">
        <f t="shared" si="132"/>
        <v>0</v>
      </c>
      <c r="J4267" s="707">
        <f t="shared" si="133"/>
        <v>0</v>
      </c>
      <c r="K4267" s="55"/>
    </row>
    <row r="4268" spans="1:11" ht="24" customHeight="1">
      <c r="A4268" s="33"/>
      <c r="B4268" s="33"/>
      <c r="C4268" s="33"/>
      <c r="D4268" s="33"/>
      <c r="E4268" s="33"/>
      <c r="F4268" s="33"/>
      <c r="G4268" s="522"/>
      <c r="H4268" s="707"/>
      <c r="I4268" s="707">
        <f t="shared" si="132"/>
        <v>0</v>
      </c>
      <c r="J4268" s="707">
        <f t="shared" si="133"/>
        <v>0</v>
      </c>
      <c r="K4268" s="70"/>
    </row>
    <row r="4269" spans="1:11" ht="24" customHeight="1">
      <c r="A4269" s="33"/>
      <c r="B4269" s="55"/>
      <c r="C4269" s="33"/>
      <c r="D4269" s="33"/>
      <c r="E4269" s="33"/>
      <c r="F4269" s="33"/>
      <c r="G4269" s="522"/>
      <c r="H4269" s="707"/>
      <c r="I4269" s="707">
        <f t="shared" si="132"/>
        <v>0</v>
      </c>
      <c r="J4269" s="707">
        <f t="shared" si="133"/>
        <v>0</v>
      </c>
      <c r="K4269" s="70"/>
    </row>
    <row r="4270" spans="1:11" ht="24" customHeight="1">
      <c r="A4270" s="17"/>
      <c r="B4270" s="17"/>
      <c r="C4270" s="17"/>
      <c r="D4270" s="58"/>
      <c r="E4270" s="17"/>
      <c r="F4270" s="17"/>
      <c r="G4270" s="687"/>
      <c r="H4270" s="707"/>
      <c r="I4270" s="707">
        <f t="shared" si="132"/>
        <v>0</v>
      </c>
      <c r="J4270" s="707">
        <f t="shared" si="133"/>
        <v>0</v>
      </c>
      <c r="K4270" s="70"/>
    </row>
    <row r="4271" spans="1:11" ht="24" customHeight="1">
      <c r="A4271" s="33"/>
      <c r="B4271" s="33"/>
      <c r="C4271" s="33"/>
      <c r="D4271" s="33"/>
      <c r="E4271" s="33"/>
      <c r="F4271" s="33"/>
      <c r="G4271" s="522"/>
      <c r="H4271" s="707"/>
      <c r="I4271" s="707">
        <f t="shared" si="132"/>
        <v>0</v>
      </c>
      <c r="J4271" s="707">
        <f t="shared" si="133"/>
        <v>0</v>
      </c>
      <c r="K4271" s="70"/>
    </row>
    <row r="4272" spans="1:11" ht="24" customHeight="1">
      <c r="A4272" s="33"/>
      <c r="B4272" s="33"/>
      <c r="C4272" s="33"/>
      <c r="D4272" s="33"/>
      <c r="E4272" s="33"/>
      <c r="F4272" s="33"/>
      <c r="G4272" s="522"/>
      <c r="H4272" s="707"/>
      <c r="I4272" s="707">
        <f t="shared" si="132"/>
        <v>0</v>
      </c>
      <c r="J4272" s="707">
        <f t="shared" si="133"/>
        <v>0</v>
      </c>
      <c r="K4272" s="70"/>
    </row>
    <row r="4273" spans="1:11" ht="24" customHeight="1">
      <c r="A4273" s="33"/>
      <c r="B4273" s="33"/>
      <c r="C4273" s="33"/>
      <c r="D4273" s="2"/>
      <c r="E4273" s="33"/>
      <c r="F4273" s="33"/>
      <c r="G4273" s="522"/>
      <c r="H4273" s="707"/>
      <c r="I4273" s="707">
        <f t="shared" si="132"/>
        <v>0</v>
      </c>
      <c r="J4273" s="707">
        <f t="shared" si="133"/>
        <v>0</v>
      </c>
      <c r="K4273" s="2"/>
    </row>
    <row r="4274" spans="1:11" ht="24" customHeight="1">
      <c r="A4274" s="33"/>
      <c r="B4274" s="33"/>
      <c r="C4274" s="33"/>
      <c r="D4274" s="33"/>
      <c r="E4274" s="33"/>
      <c r="F4274" s="33"/>
      <c r="G4274" s="522"/>
      <c r="H4274" s="707"/>
      <c r="I4274" s="707">
        <f t="shared" si="132"/>
        <v>0</v>
      </c>
      <c r="J4274" s="707">
        <f t="shared" si="133"/>
        <v>0</v>
      </c>
      <c r="K4274" s="33"/>
    </row>
    <row r="4275" spans="1:11" ht="24" customHeight="1">
      <c r="A4275" s="33"/>
      <c r="B4275" s="33"/>
      <c r="C4275" s="33"/>
      <c r="D4275" s="33"/>
      <c r="E4275" s="33"/>
      <c r="F4275" s="33"/>
      <c r="G4275" s="522"/>
      <c r="H4275" s="707"/>
      <c r="I4275" s="707">
        <f t="shared" si="132"/>
        <v>0</v>
      </c>
      <c r="J4275" s="707">
        <f t="shared" si="133"/>
        <v>0</v>
      </c>
      <c r="K4275" s="55"/>
    </row>
    <row r="4276" spans="1:11" ht="24" customHeight="1">
      <c r="A4276" s="86"/>
      <c r="B4276" s="86"/>
      <c r="C4276" s="86"/>
      <c r="D4276" s="86"/>
      <c r="E4276" s="86"/>
      <c r="F4276" s="86"/>
      <c r="G4276" s="691"/>
      <c r="H4276" s="714"/>
      <c r="I4276" s="714">
        <f t="shared" si="132"/>
        <v>0</v>
      </c>
      <c r="J4276" s="714">
        <f t="shared" si="133"/>
        <v>0</v>
      </c>
      <c r="K4276" s="313"/>
    </row>
  </sheetData>
  <phoneticPr fontId="1" type="noConversion"/>
  <conditionalFormatting sqref="A4239:A4272">
    <cfRule type="duplicateValues" dxfId="246" priority="10"/>
  </conditionalFormatting>
  <conditionalFormatting sqref="B190 B191:C192 B193:B199 B200:C205 B228:C230 C231 D2321:J2321 B2513:J2513 B2515:J2515 H2517:J2517 H2519:J2519 H2521:J2521 H2523:J2523 H2525:J2525 H2527:J2527 H2529:J2529 H2535:J2535 H2539:J2539 H2541:J2541 H2543:J2544 H2549:J2549 H2552:J2552 H2558:J2558 H2561:J2561 H2564:J2564 H2566:J2566 H2568:J2568 H2571:J2571 H2574:J2574 H2580:J2580 H2583:J2583 H2586:J2587 H2589:J2589 H2592:J2592 H2595:J2595 H2603:J2603 H2619:J2619 H2621:J2622 H2626:J2626 H2632:J2632 H2643:J2644 H2658:J2658 H2660:J2670 H2677:J2677 H2681:J2682 H2686:J2686 B2690:C2692 E2690:J2692 H2695:J2696 H2700:J2703 E2770:J2770">
    <cfRule type="expression" dxfId="245" priority="69">
      <formula>#REF!="Yes"</formula>
    </cfRule>
    <cfRule type="expression" dxfId="244" priority="70">
      <formula>#REF!=1</formula>
    </cfRule>
  </conditionalFormatting>
  <conditionalFormatting sqref="B2321">
    <cfRule type="expression" dxfId="243" priority="133">
      <formula>#REF!="Yes"</formula>
    </cfRule>
    <cfRule type="expression" dxfId="242" priority="134">
      <formula>#REF!=1</formula>
    </cfRule>
  </conditionalFormatting>
  <conditionalFormatting sqref="B2525 D2525:G2525">
    <cfRule type="expression" dxfId="241" priority="118">
      <formula>#REF!=1</formula>
    </cfRule>
    <cfRule type="expression" dxfId="240" priority="117">
      <formula>#REF!="Yes"</formula>
    </cfRule>
  </conditionalFormatting>
  <conditionalFormatting sqref="B2586 D2586:G2586 B2587:G2587">
    <cfRule type="expression" dxfId="239" priority="81">
      <formula>#REF!="Yes"</formula>
    </cfRule>
    <cfRule type="expression" dxfId="238" priority="82">
      <formula>#REF!=1</formula>
    </cfRule>
  </conditionalFormatting>
  <conditionalFormatting sqref="B57:C57">
    <cfRule type="expression" dxfId="237" priority="12">
      <formula>#REF!=1</formula>
    </cfRule>
    <cfRule type="expression" dxfId="236" priority="11">
      <formula>#REF!="Yes"</formula>
    </cfRule>
  </conditionalFormatting>
  <conditionalFormatting sqref="B135:C145 B206:B227 B2580 D2580:G2580">
    <cfRule type="expression" dxfId="235" priority="85">
      <formula>#REF!="Yes"</formula>
    </cfRule>
    <cfRule type="expression" dxfId="234" priority="86">
      <formula>#REF!=1</formula>
    </cfRule>
  </conditionalFormatting>
  <conditionalFormatting sqref="B147:C147 B148 B149:C152 B153 B154:C157 B158 B159:C167 B168:B171 B172:C175 B176 B177:C187">
    <cfRule type="expression" dxfId="233" priority="68">
      <formula>#REF!=1</formula>
    </cfRule>
    <cfRule type="expression" dxfId="232" priority="67">
      <formula>#REF!="Yes"</formula>
    </cfRule>
  </conditionalFormatting>
  <conditionalFormatting sqref="B233:C233 B234 B235:C240 B241:B243 B244:C246 B247 B248:C252">
    <cfRule type="expression" dxfId="231" priority="66">
      <formula>#REF!=1</formula>
    </cfRule>
    <cfRule type="expression" dxfId="230" priority="65">
      <formula>#REF!="Yes"</formula>
    </cfRule>
  </conditionalFormatting>
  <conditionalFormatting sqref="B314:C316">
    <cfRule type="expression" dxfId="229" priority="53">
      <formula>#REF!="Yes"</formula>
    </cfRule>
    <cfRule type="expression" dxfId="228" priority="54">
      <formula>#REF!=1</formula>
    </cfRule>
  </conditionalFormatting>
  <conditionalFormatting sqref="B2677:C2677 E2677:G2677 B2681:C2682 E2681:G2682 B2686:C2686 E2686:G2686 B2695:C2696 E2695:G2696 B2700:C2703 E2700:G2703">
    <cfRule type="expression" dxfId="227" priority="72">
      <formula>#REF!=1</formula>
    </cfRule>
    <cfRule type="expression" dxfId="226" priority="71">
      <formula>#REF!="Yes"</formula>
    </cfRule>
  </conditionalFormatting>
  <conditionalFormatting sqref="B2713:C2713 E2713:G2713">
    <cfRule type="expression" dxfId="225" priority="6">
      <formula>#REF!="Yes"</formula>
    </cfRule>
    <cfRule type="expression" dxfId="224" priority="7">
      <formula>#REF!=1</formula>
    </cfRule>
  </conditionalFormatting>
  <conditionalFormatting sqref="B2770:C2770">
    <cfRule type="expression" dxfId="223" priority="4">
      <formula>#REF!="Yes"</formula>
    </cfRule>
    <cfRule type="expression" dxfId="222" priority="5">
      <formula>#REF!=1</formula>
    </cfRule>
  </conditionalFormatting>
  <conditionalFormatting sqref="B2517:G2517">
    <cfRule type="expression" dxfId="221" priority="126">
      <formula>#REF!=1</formula>
    </cfRule>
    <cfRule type="expression" dxfId="220" priority="125">
      <formula>#REF!="Yes"</formula>
    </cfRule>
  </conditionalFormatting>
  <conditionalFormatting sqref="B2519:G2519">
    <cfRule type="expression" dxfId="219" priority="124">
      <formula>#REF!=1</formula>
    </cfRule>
    <cfRule type="expression" dxfId="218" priority="123">
      <formula>#REF!="Yes"</formula>
    </cfRule>
  </conditionalFormatting>
  <conditionalFormatting sqref="B2521:G2521">
    <cfRule type="expression" dxfId="217" priority="121">
      <formula>#REF!="Yes"</formula>
    </cfRule>
    <cfRule type="expression" dxfId="216" priority="122">
      <formula>#REF!=1</formula>
    </cfRule>
  </conditionalFormatting>
  <conditionalFormatting sqref="B2523:G2523">
    <cfRule type="expression" dxfId="215" priority="119">
      <formula>#REF!="Yes"</formula>
    </cfRule>
    <cfRule type="expression" dxfId="214" priority="120">
      <formula>#REF!=1</formula>
    </cfRule>
  </conditionalFormatting>
  <conditionalFormatting sqref="B2527:G2527">
    <cfRule type="expression" dxfId="213" priority="115">
      <formula>#REF!="Yes"</formula>
    </cfRule>
    <cfRule type="expression" dxfId="212" priority="116">
      <formula>#REF!=1</formula>
    </cfRule>
  </conditionalFormatting>
  <conditionalFormatting sqref="B2529:G2529">
    <cfRule type="expression" dxfId="211" priority="114">
      <formula>#REF!=1</formula>
    </cfRule>
    <cfRule type="expression" dxfId="210" priority="113">
      <formula>#REF!="Yes"</formula>
    </cfRule>
  </conditionalFormatting>
  <conditionalFormatting sqref="B2535:G2535">
    <cfRule type="expression" dxfId="209" priority="112">
      <formula>#REF!=1</formula>
    </cfRule>
    <cfRule type="expression" dxfId="208" priority="111">
      <formula>#REF!="Yes"</formula>
    </cfRule>
  </conditionalFormatting>
  <conditionalFormatting sqref="B2539:G2539">
    <cfRule type="expression" dxfId="207" priority="109">
      <formula>#REF!="Yes"</formula>
    </cfRule>
    <cfRule type="expression" dxfId="206" priority="110">
      <formula>#REF!=1</formula>
    </cfRule>
  </conditionalFormatting>
  <conditionalFormatting sqref="B2541:G2541">
    <cfRule type="expression" dxfId="205" priority="107">
      <formula>#REF!="Yes"</formula>
    </cfRule>
    <cfRule type="expression" dxfId="204" priority="108">
      <formula>#REF!=1</formula>
    </cfRule>
  </conditionalFormatting>
  <conditionalFormatting sqref="B2543:G2544">
    <cfRule type="expression" dxfId="203" priority="105">
      <formula>#REF!="Yes"</formula>
    </cfRule>
    <cfRule type="expression" dxfId="202" priority="106">
      <formula>#REF!=1</formula>
    </cfRule>
  </conditionalFormatting>
  <conditionalFormatting sqref="B2549:G2549">
    <cfRule type="expression" dxfId="201" priority="104">
      <formula>#REF!=1</formula>
    </cfRule>
    <cfRule type="expression" dxfId="200" priority="103">
      <formula>#REF!="Yes"</formula>
    </cfRule>
  </conditionalFormatting>
  <conditionalFormatting sqref="B2552:G2552">
    <cfRule type="expression" dxfId="199" priority="102">
      <formula>#REF!=1</formula>
    </cfRule>
    <cfRule type="expression" dxfId="198" priority="101">
      <formula>#REF!="Yes"</formula>
    </cfRule>
  </conditionalFormatting>
  <conditionalFormatting sqref="B2558:G2558">
    <cfRule type="expression" dxfId="197" priority="100">
      <formula>#REF!=1</formula>
    </cfRule>
    <cfRule type="expression" dxfId="196" priority="99">
      <formula>#REF!="Yes"</formula>
    </cfRule>
  </conditionalFormatting>
  <conditionalFormatting sqref="B2561:G2561">
    <cfRule type="expression" dxfId="195" priority="98">
      <formula>#REF!=1</formula>
    </cfRule>
    <cfRule type="expression" dxfId="194" priority="97">
      <formula>#REF!="Yes"</formula>
    </cfRule>
  </conditionalFormatting>
  <conditionalFormatting sqref="B2564:G2564">
    <cfRule type="expression" dxfId="193" priority="95">
      <formula>#REF!="Yes"</formula>
    </cfRule>
    <cfRule type="expression" dxfId="192" priority="96">
      <formula>#REF!=1</formula>
    </cfRule>
  </conditionalFormatting>
  <conditionalFormatting sqref="B2566:G2566">
    <cfRule type="expression" dxfId="191" priority="93">
      <formula>#REF!="Yes"</formula>
    </cfRule>
    <cfRule type="expression" dxfId="190" priority="94">
      <formula>#REF!=1</formula>
    </cfRule>
  </conditionalFormatting>
  <conditionalFormatting sqref="B2568:G2568">
    <cfRule type="expression" dxfId="189" priority="91">
      <formula>#REF!="Yes"</formula>
    </cfRule>
    <cfRule type="expression" dxfId="188" priority="92">
      <formula>#REF!=1</formula>
    </cfRule>
  </conditionalFormatting>
  <conditionalFormatting sqref="B2571:G2571">
    <cfRule type="expression" dxfId="187" priority="89">
      <formula>#REF!="Yes"</formula>
    </cfRule>
    <cfRule type="expression" dxfId="186" priority="90">
      <formula>#REF!=1</formula>
    </cfRule>
  </conditionalFormatting>
  <conditionalFormatting sqref="B2574:G2574">
    <cfRule type="expression" dxfId="185" priority="87">
      <formula>#REF!="Yes"</formula>
    </cfRule>
    <cfRule type="expression" dxfId="184" priority="88">
      <formula>#REF!=1</formula>
    </cfRule>
  </conditionalFormatting>
  <conditionalFormatting sqref="B2583:G2583">
    <cfRule type="expression" dxfId="183" priority="83">
      <formula>#REF!="Yes"</formula>
    </cfRule>
    <cfRule type="expression" dxfId="182" priority="84">
      <formula>#REF!=1</formula>
    </cfRule>
  </conditionalFormatting>
  <conditionalFormatting sqref="B2589:G2589">
    <cfRule type="expression" dxfId="181" priority="80">
      <formula>#REF!=1</formula>
    </cfRule>
    <cfRule type="expression" dxfId="180" priority="79">
      <formula>#REF!="Yes"</formula>
    </cfRule>
  </conditionalFormatting>
  <conditionalFormatting sqref="B2592:G2592">
    <cfRule type="expression" dxfId="179" priority="78">
      <formula>#REF!=1</formula>
    </cfRule>
    <cfRule type="expression" dxfId="178" priority="77">
      <formula>#REF!="Yes"</formula>
    </cfRule>
  </conditionalFormatting>
  <conditionalFormatting sqref="B2595:G2595">
    <cfRule type="expression" dxfId="177" priority="75">
      <formula>#REF!="Yes"</formula>
    </cfRule>
    <cfRule type="expression" dxfId="176" priority="76">
      <formula>#REF!=1</formula>
    </cfRule>
  </conditionalFormatting>
  <conditionalFormatting sqref="B2603:G2603">
    <cfRule type="expression" dxfId="175" priority="74">
      <formula>#REF!=1</formula>
    </cfRule>
    <cfRule type="expression" dxfId="174" priority="73">
      <formula>#REF!="Yes"</formula>
    </cfRule>
  </conditionalFormatting>
  <conditionalFormatting sqref="B2619:G2619 B2621:G2621 B2622 D2622:G2622 B2626:G2626 B2632 D2632:G2632 B2643:G2643 B2644 D2644:G2644 B2658:G2658 B2660:G2660 B2661 D2661:G2661 B2662:G2663 B2664 D2664:G2664 B2665:G2665 B2670:G2670">
    <cfRule type="expression" dxfId="173" priority="131">
      <formula>#REF!="Yes"</formula>
    </cfRule>
    <cfRule type="expression" dxfId="172" priority="132">
      <formula>#REF!=1</formula>
    </cfRule>
  </conditionalFormatting>
  <conditionalFormatting sqref="D2666:G2669">
    <cfRule type="expression" dxfId="171" priority="17">
      <formula>#REF!=1</formula>
    </cfRule>
    <cfRule type="expression" dxfId="170" priority="16">
      <formula>#REF!="Yes"</formula>
    </cfRule>
  </conditionalFormatting>
  <conditionalFormatting sqref="F1">
    <cfRule type="containsText" dxfId="169" priority="3" operator="containsText" text="SOLD">
      <formula>NOT(ISERROR(SEARCH("SOLD",F1)))</formula>
    </cfRule>
    <cfRule type="containsText" dxfId="168" priority="2" operator="containsText" text="NO STOCK">
      <formula>NOT(ISERROR(SEARCH("NO STOCK",F1)))</formula>
    </cfRule>
  </conditionalFormatting>
  <conditionalFormatting sqref="K1:K576 K578:K603 K605:K3551 K3553:K4041 K4052:K4120 K4139 K4166 K4191 K4245 K4274:K1048576">
    <cfRule type="containsText" dxfId="167" priority="52" operator="containsText" text="NO ILS">
      <formula>NOT(ISERROR(SEARCH("NO ILS",K1)))</formula>
    </cfRule>
    <cfRule type="containsText" dxfId="166" priority="51" operator="containsText" text="QTY OK">
      <formula>NOT(ISERROR(SEARCH("QTY OK",K1)))</formula>
    </cfRule>
  </conditionalFormatting>
  <conditionalFormatting sqref="K1:K3551 K3553:K1048576">
    <cfRule type="containsText" dxfId="165" priority="9" operator="containsText" text="ENRIQUE">
      <formula>NOT(ISERROR(SEARCH("ENRIQUE",K1)))</formula>
    </cfRule>
    <cfRule type="containsText" dxfId="164" priority="8" operator="containsText" text="VENCIDO">
      <formula>NOT(ISERROR(SEARCH("VENCIDO",K1)))</formula>
    </cfRule>
  </conditionalFormatting>
  <conditionalFormatting sqref="K1:K1048576 F494:G495 F956:G956 F2848:G2848 F2864:G2864 F3036:G3037 F3231:G3234 F4172:G4172">
    <cfRule type="containsText" dxfId="163" priority="64" operator="containsText" text="SOLD">
      <formula>NOT(ISERROR(SEARCH("SOLD",F1)))</formula>
    </cfRule>
  </conditionalFormatting>
  <conditionalFormatting sqref="K638">
    <cfRule type="containsText" dxfId="162" priority="62" operator="containsText" text="SOLD">
      <formula>NOT(ISERROR(SEARCH("SOLD",K638)))</formula>
    </cfRule>
    <cfRule type="containsText" dxfId="161" priority="61" operator="containsText" text="NO STOCK">
      <formula>NOT(ISERROR(SEARCH("NO STOCK",K638)))</formula>
    </cfRule>
    <cfRule type="containsText" dxfId="160" priority="139" operator="containsText" text="NO ILS">
      <formula>NOT(ISERROR(SEARCH("NO ILS",K638)))</formula>
    </cfRule>
    <cfRule type="iconSet" priority="138">
      <iconSet iconSet="3Symbols2">
        <cfvo type="percent" val="0"/>
        <cfvo type="percent" val="33"/>
        <cfvo type="percent" val="67"/>
      </iconSet>
    </cfRule>
    <cfRule type="containsText" dxfId="159" priority="137" operator="containsText" text="QTY OK">
      <formula>NOT(ISERROR(SEARCH("QTY OK",K638)))</formula>
    </cfRule>
    <cfRule type="containsText" dxfId="158" priority="136" operator="containsText" text="QTY OK">
      <formula>NOT(ISERROR(SEARCH("QTY OK",K638)))</formula>
    </cfRule>
  </conditionalFormatting>
  <conditionalFormatting sqref="K1533">
    <cfRule type="iconSet" priority="142">
      <iconSet iconSet="3Symbols2">
        <cfvo type="percent" val="0"/>
        <cfvo type="percent" val="33"/>
        <cfvo type="percent" val="67"/>
      </iconSet>
    </cfRule>
  </conditionalFormatting>
  <conditionalFormatting sqref="K4099:K4120">
    <cfRule type="iconSet" priority="649">
      <iconSet iconSet="3Symbols2">
        <cfvo type="percent" val="0"/>
        <cfvo type="percent" val="33"/>
        <cfvo type="percent" val="67"/>
      </iconSet>
    </cfRule>
  </conditionalFormatting>
  <conditionalFormatting sqref="K4122:K4155">
    <cfRule type="containsText" dxfId="157" priority="629" operator="containsText" text="QTY OK">
      <formula>NOT(ISERROR(SEARCH("QTY OK",K4122)))</formula>
    </cfRule>
    <cfRule type="containsText" dxfId="156" priority="630" operator="containsText" text="QTY OK">
      <formula>NOT(ISERROR(SEARCH("QTY OK",K4122)))</formula>
    </cfRule>
    <cfRule type="iconSet" priority="631">
      <iconSet iconSet="3Symbols2">
        <cfvo type="percent" val="0"/>
        <cfvo type="percent" val="33"/>
        <cfvo type="percent" val="67"/>
      </iconSet>
    </cfRule>
    <cfRule type="containsText" dxfId="155" priority="632" operator="containsText" text="NO ILS">
      <formula>NOT(ISERROR(SEARCH("NO ILS",K4122)))</formula>
    </cfRule>
  </conditionalFormatting>
  <conditionalFormatting sqref="K4157:K4167 K4170:K4231">
    <cfRule type="containsText" dxfId="154" priority="26" operator="containsText" text="QTY OK">
      <formula>NOT(ISERROR(SEARCH("QTY OK",K4157)))</formula>
    </cfRule>
    <cfRule type="containsText" dxfId="153" priority="29" operator="containsText" text="NO ILS">
      <formula>NOT(ISERROR(SEARCH("NO ILS",K4157)))</formula>
    </cfRule>
    <cfRule type="containsText" dxfId="152" priority="27" operator="containsText" text="QTY OK">
      <formula>NOT(ISERROR(SEARCH("QTY OK",K4157)))</formula>
    </cfRule>
  </conditionalFormatting>
  <conditionalFormatting sqref="K4168:K4169 F494:G495 F956:G956 F2848:G2848 F2864:G2864 F3036:G3037 F3231:G3234 F4172:G4172">
    <cfRule type="containsText" dxfId="151" priority="63" operator="containsText" text="NO STOCK">
      <formula>NOT(ISERROR(SEARCH("NO STOCK",F494)))</formula>
    </cfRule>
  </conditionalFormatting>
  <conditionalFormatting sqref="K4170:K4231 K4157:K4167"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K4233:K4269">
    <cfRule type="containsText" dxfId="150" priority="33" operator="containsText" text="NO ILS">
      <formula>NOT(ISERROR(SEARCH("NO ILS",K4233)))</formula>
    </cfRule>
    <cfRule type="iconSet" priority="32">
      <iconSet iconSet="3Symbols2">
        <cfvo type="percent" val="0"/>
        <cfvo type="percent" val="33"/>
        <cfvo type="percent" val="67"/>
      </iconSet>
    </cfRule>
    <cfRule type="containsText" dxfId="149" priority="31" operator="containsText" text="QTY OK">
      <formula>NOT(ISERROR(SEARCH("QTY OK",K4233)))</formula>
    </cfRule>
    <cfRule type="containsText" dxfId="148" priority="30" operator="containsText" text="QTY OK">
      <formula>NOT(ISERROR(SEARCH("QTY OK",K4233)))</formula>
    </cfRule>
  </conditionalFormatting>
  <conditionalFormatting sqref="K4245 K4166 K4191 K1:K576 K578:K603 K605:K3551 K3553:K4041 K4052:K4120 K4139 K4274:K1048576">
    <cfRule type="containsText" dxfId="147" priority="50" operator="containsText" text="QTY OK">
      <formula>NOT(ISERROR(SEARCH("QTY OK",K1)))</formula>
    </cfRule>
  </conditionalFormatting>
  <conditionalFormatting sqref="K4271">
    <cfRule type="iconSet" priority="36">
      <iconSet iconSet="3Symbols2">
        <cfvo type="percent" val="0"/>
        <cfvo type="percent" val="33"/>
        <cfvo type="percent" val="67"/>
      </iconSet>
    </cfRule>
  </conditionalFormatting>
  <conditionalFormatting sqref="K4271:K4272">
    <cfRule type="containsText" dxfId="146" priority="37" operator="containsText" text="NO ILS">
      <formula>NOT(ISERROR(SEARCH("NO ILS",K4271)))</formula>
    </cfRule>
    <cfRule type="containsText" dxfId="145" priority="35" operator="containsText" text="QTY OK">
      <formula>NOT(ISERROR(SEARCH("QTY OK",K4271)))</formula>
    </cfRule>
    <cfRule type="containsText" dxfId="144" priority="34" operator="containsText" text="QTY OK">
      <formula>NOT(ISERROR(SEARCH("QTY OK",K4271)))</formula>
    </cfRule>
  </conditionalFormatting>
  <conditionalFormatting sqref="K4272">
    <cfRule type="iconSet" priority="40">
      <iconSet iconSet="3Symbols2">
        <cfvo type="percent" val="0"/>
        <cfvo type="percent" val="33"/>
        <cfvo type="percent" val="67"/>
      </iconSet>
    </cfRule>
  </conditionalFormatting>
  <conditionalFormatting sqref="K4274:K1048576 K4191 K4166 K578:K603 K605:K1532 K1534:K3551 K3553:K4041 K4052:K4098 K4103:K4105 K4139 K4245 K1:K576">
    <cfRule type="iconSet" priority="135">
      <iconSet iconSet="3Symbols2">
        <cfvo type="percent" val="0"/>
        <cfvo type="percent" val="33"/>
        <cfvo type="percent" val="67"/>
      </iconSet>
    </cfRule>
  </conditionalFormatting>
  <dataValidations xWindow="206" yWindow="274" count="6">
    <dataValidation allowBlank="1" showInputMessage="1" showErrorMessage="1" prompt="Enter the quantity in stock for each item in this column" sqref="E2303:G2303 H1:H772 H4073:J4275 E938:J940 H2337 H1149 H1897 E1:E879 H1899 H774:H879 I2:J879 F2:G879 E4093:G4275" xr:uid="{00000000-0002-0000-0000-000009000000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2 and the item meets the reorder criteria." sqref="A129:A134 A4073:A4080 A2:A10" xr:uid="{00000000-0002-0000-0000-000001000000}"/>
    <dataValidation allowBlank="1" showInputMessage="1" showErrorMessage="1" prompt="Enter the item inventory ID in this column" sqref="A1 A4273 A232 A98 B129:B134 A146 B4073:B4098 B4275 B2:B10" xr:uid="{00000000-0002-0000-0000-000002000000}"/>
    <dataValidation allowBlank="1" showInputMessage="1" showErrorMessage="1" prompt="Enter the name of the item in this column" sqref="B1 C4073:C4079 B232 B98 B4273 B146 C132:C134 C129:C130 C2:C10" xr:uid="{00000000-0002-0000-0000-000003000000}"/>
    <dataValidation allowBlank="1" showInputMessage="1" showErrorMessage="1" prompt="Enter the unit price of each item in this column" sqref="D1 D70 D98 D146 D189 D4273 K4273" xr:uid="{00000000-0002-0000-0000-00000A000000}"/>
    <dataValidation allowBlank="1" showInputMessage="1" showErrorMessage="1" prompt="Enter a description of the item in this column" sqref="C1 C232 C98 C146 C4273" xr:uid="{00000000-0002-0000-0000-00000B000000}"/>
  </dataValidations>
  <pageMargins left="0.7" right="0.7" top="0.75" bottom="0.75" header="0.3" footer="0.3"/>
  <pageSetup scale="5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0F5B-58FD-46EA-A8DE-5B93EE48820A}">
  <sheetPr>
    <tabColor rgb="FF92D050"/>
    <pageSetUpPr fitToPage="1"/>
  </sheetPr>
  <dimension ref="A1:Y1048571"/>
  <sheetViews>
    <sheetView zoomScale="89" zoomScaleNormal="89" zoomScaleSheetLayoutView="50" workbookViewId="0">
      <pane ySplit="3" topLeftCell="A1062" activePane="bottomLeft" state="frozen"/>
      <selection activeCell="E1031" sqref="E1031"/>
      <selection pane="bottomLeft" activeCell="G1080" sqref="G1080"/>
    </sheetView>
  </sheetViews>
  <sheetFormatPr defaultRowHeight="14.4"/>
  <cols>
    <col min="1" max="1" width="32.33203125" customWidth="1"/>
    <col min="2" max="2" width="18.44140625" bestFit="1" customWidth="1"/>
    <col min="3" max="3" width="37.6640625" customWidth="1"/>
    <col min="4" max="4" width="9.109375" bestFit="1" customWidth="1"/>
    <col min="5" max="5" width="14.6640625" bestFit="1" customWidth="1"/>
    <col min="6" max="6" width="11" bestFit="1" customWidth="1"/>
    <col min="7" max="7" width="14.33203125" bestFit="1" customWidth="1"/>
    <col min="8" max="8" width="33.5546875" style="173" customWidth="1"/>
    <col min="9" max="9" width="14.33203125" style="139" bestFit="1" customWidth="1"/>
    <col min="10" max="10" width="10.6640625" style="139" customWidth="1"/>
    <col min="11" max="11" width="16.44140625" style="139" bestFit="1" customWidth="1"/>
    <col min="12" max="13" width="16.44140625" style="139" customWidth="1"/>
    <col min="14" max="14" width="38.109375" style="24" customWidth="1"/>
    <col min="15" max="15" width="11.33203125" style="24" bestFit="1" customWidth="1"/>
  </cols>
  <sheetData>
    <row r="1" spans="1:25" ht="15" customHeight="1">
      <c r="A1" s="749" t="s">
        <v>3738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</row>
    <row r="2" spans="1:25" ht="15" customHeight="1">
      <c r="A2" s="749"/>
      <c r="B2" s="749"/>
      <c r="C2" s="749"/>
      <c r="D2" s="749"/>
      <c r="E2" s="749"/>
      <c r="F2" s="749"/>
      <c r="G2" s="749"/>
      <c r="H2" s="749"/>
      <c r="I2" s="749"/>
      <c r="J2" s="749"/>
      <c r="K2" s="749"/>
      <c r="L2" s="749"/>
      <c r="M2" s="749"/>
      <c r="N2" s="749"/>
      <c r="O2" s="749"/>
    </row>
    <row r="3" spans="1:25" s="248" customFormat="1">
      <c r="A3" s="528" t="s">
        <v>3739</v>
      </c>
      <c r="B3" s="529" t="s">
        <v>3740</v>
      </c>
      <c r="C3" s="530" t="s">
        <v>3741</v>
      </c>
      <c r="D3" s="531" t="s">
        <v>3742</v>
      </c>
      <c r="E3" s="531" t="s">
        <v>3743</v>
      </c>
      <c r="F3" s="531" t="s">
        <v>8059</v>
      </c>
      <c r="G3" s="531" t="s">
        <v>3744</v>
      </c>
      <c r="H3" s="531" t="s">
        <v>3745</v>
      </c>
      <c r="I3" s="532" t="s">
        <v>8058</v>
      </c>
      <c r="J3" s="671" t="s">
        <v>8</v>
      </c>
      <c r="K3" s="523" t="s">
        <v>8057</v>
      </c>
      <c r="L3" s="5" t="s">
        <v>8054</v>
      </c>
      <c r="M3" s="5" t="s">
        <v>8060</v>
      </c>
      <c r="N3" s="533" t="s">
        <v>3746</v>
      </c>
      <c r="O3" s="534" t="s">
        <v>3747</v>
      </c>
    </row>
    <row r="4" spans="1:25">
      <c r="A4" s="10">
        <v>729198</v>
      </c>
      <c r="B4" s="115" t="s">
        <v>3748</v>
      </c>
      <c r="C4" s="10" t="s">
        <v>3835</v>
      </c>
      <c r="D4" s="11">
        <v>1</v>
      </c>
      <c r="E4" s="10" t="s">
        <v>3836</v>
      </c>
      <c r="F4" s="10" t="s">
        <v>3750</v>
      </c>
      <c r="G4" s="129">
        <v>45708</v>
      </c>
      <c r="H4" s="161" t="s">
        <v>3837</v>
      </c>
      <c r="I4" s="633">
        <f ca="1">IF(ISBLANK(I4), "-", I4)</f>
        <v>0</v>
      </c>
      <c r="J4" s="648"/>
      <c r="K4" s="633"/>
      <c r="L4" s="522">
        <f t="shared" ref="L4:L67" ca="1" si="0">IF(OR(I4="", K4=""), I4 + K4, I4 + K4)</f>
        <v>100</v>
      </c>
      <c r="M4" s="160"/>
      <c r="N4" s="22"/>
      <c r="O4" s="22">
        <v>106</v>
      </c>
    </row>
    <row r="5" spans="1:25">
      <c r="A5" s="10">
        <v>5903947</v>
      </c>
      <c r="B5" s="34" t="s">
        <v>3748</v>
      </c>
      <c r="C5" s="10" t="s">
        <v>313</v>
      </c>
      <c r="D5" s="11">
        <v>1</v>
      </c>
      <c r="E5" s="11" t="s">
        <v>3887</v>
      </c>
      <c r="F5" s="11" t="s">
        <v>3750</v>
      </c>
      <c r="G5" s="129">
        <v>45490</v>
      </c>
      <c r="H5" s="161" t="s">
        <v>3888</v>
      </c>
      <c r="I5" s="634"/>
      <c r="J5" s="634"/>
      <c r="K5" s="634"/>
      <c r="L5" s="522">
        <f t="shared" si="0"/>
        <v>0</v>
      </c>
      <c r="M5" s="141"/>
      <c r="N5" s="22"/>
      <c r="O5" s="22">
        <v>106</v>
      </c>
    </row>
    <row r="6" spans="1:25">
      <c r="A6" s="10" t="s">
        <v>5731</v>
      </c>
      <c r="B6" s="115" t="s">
        <v>3748</v>
      </c>
      <c r="C6" s="10" t="s">
        <v>5730</v>
      </c>
      <c r="D6" s="11">
        <v>2</v>
      </c>
      <c r="E6" s="10" t="s">
        <v>4083</v>
      </c>
      <c r="F6" s="10" t="s">
        <v>3750</v>
      </c>
      <c r="G6" s="11"/>
      <c r="H6" s="161"/>
      <c r="I6" s="633"/>
      <c r="J6" s="648"/>
      <c r="K6" s="633"/>
      <c r="L6" s="522">
        <f t="shared" si="0"/>
        <v>0</v>
      </c>
      <c r="M6" s="160"/>
      <c r="N6" s="22"/>
      <c r="O6" s="22">
        <v>106</v>
      </c>
    </row>
    <row r="7" spans="1:25" hidden="1">
      <c r="A7" s="553">
        <v>26405</v>
      </c>
      <c r="B7" s="554">
        <v>41099</v>
      </c>
      <c r="C7" s="329" t="s">
        <v>3756</v>
      </c>
      <c r="D7" s="555">
        <v>0</v>
      </c>
      <c r="E7" s="556" t="s">
        <v>3757</v>
      </c>
      <c r="F7" s="556"/>
      <c r="G7" s="556"/>
      <c r="H7" s="557"/>
      <c r="I7" s="494"/>
      <c r="J7" s="670"/>
      <c r="K7" s="494"/>
      <c r="L7" s="494">
        <f t="shared" si="0"/>
        <v>0</v>
      </c>
      <c r="M7" s="494"/>
      <c r="N7" s="107" t="s">
        <v>3758</v>
      </c>
      <c r="O7" s="108" t="s">
        <v>3759</v>
      </c>
    </row>
    <row r="8" spans="1:25" hidden="1">
      <c r="A8" s="109">
        <v>26405</v>
      </c>
      <c r="B8" s="110">
        <v>55916</v>
      </c>
      <c r="C8" s="44" t="s">
        <v>3756</v>
      </c>
      <c r="D8" s="111">
        <v>0</v>
      </c>
      <c r="E8" s="111" t="s">
        <v>3760</v>
      </c>
      <c r="F8" s="111"/>
      <c r="G8" s="111"/>
      <c r="H8" s="172"/>
      <c r="I8" s="478"/>
      <c r="J8" s="524"/>
      <c r="K8" s="478"/>
      <c r="L8" s="478">
        <f t="shared" si="0"/>
        <v>0</v>
      </c>
      <c r="M8" s="478"/>
      <c r="N8" s="112" t="s">
        <v>3758</v>
      </c>
      <c r="O8" s="113" t="s">
        <v>3759</v>
      </c>
    </row>
    <row r="9" spans="1:25">
      <c r="A9" s="10" t="s">
        <v>5729</v>
      </c>
      <c r="B9" s="115" t="s">
        <v>3748</v>
      </c>
      <c r="C9" s="10" t="s">
        <v>5730</v>
      </c>
      <c r="D9" s="11">
        <v>2</v>
      </c>
      <c r="E9" s="10" t="s">
        <v>4083</v>
      </c>
      <c r="F9" s="10" t="s">
        <v>3750</v>
      </c>
      <c r="G9" s="11"/>
      <c r="H9" s="161"/>
      <c r="I9" s="633"/>
      <c r="J9" s="648"/>
      <c r="K9" s="633"/>
      <c r="L9" s="522">
        <f t="shared" si="0"/>
        <v>0</v>
      </c>
      <c r="M9" s="160"/>
      <c r="N9" s="22"/>
      <c r="O9" s="22">
        <v>106</v>
      </c>
    </row>
    <row r="10" spans="1:25">
      <c r="A10" s="10" t="s">
        <v>5736</v>
      </c>
      <c r="B10" s="115" t="s">
        <v>3748</v>
      </c>
      <c r="C10" s="10" t="s">
        <v>5737</v>
      </c>
      <c r="D10" s="11">
        <v>2</v>
      </c>
      <c r="E10" s="10" t="s">
        <v>5738</v>
      </c>
      <c r="F10" s="10" t="s">
        <v>3750</v>
      </c>
      <c r="G10" s="11"/>
      <c r="H10" s="161"/>
      <c r="I10" s="633"/>
      <c r="J10" s="648"/>
      <c r="K10" s="633"/>
      <c r="L10" s="522">
        <f t="shared" si="0"/>
        <v>0</v>
      </c>
      <c r="M10" s="160"/>
      <c r="N10" s="22"/>
      <c r="O10" s="22">
        <v>106</v>
      </c>
      <c r="Y10" t="s">
        <v>3769</v>
      </c>
    </row>
    <row r="11" spans="1:25">
      <c r="A11" s="10" t="s">
        <v>4977</v>
      </c>
      <c r="B11" s="34" t="s">
        <v>3748</v>
      </c>
      <c r="C11" s="10" t="s">
        <v>4383</v>
      </c>
      <c r="D11" s="11">
        <v>1</v>
      </c>
      <c r="E11" s="11" t="s">
        <v>3989</v>
      </c>
      <c r="F11" s="11" t="s">
        <v>3750</v>
      </c>
      <c r="G11" s="11"/>
      <c r="H11" s="161"/>
      <c r="I11" s="636"/>
      <c r="J11" s="638"/>
      <c r="K11" s="636"/>
      <c r="L11" s="522">
        <f t="shared" si="0"/>
        <v>0</v>
      </c>
      <c r="M11" s="474">
        <v>1600</v>
      </c>
      <c r="N11" s="22"/>
      <c r="O11" s="22">
        <v>106</v>
      </c>
    </row>
    <row r="12" spans="1:25" hidden="1">
      <c r="A12" s="256">
        <v>32050</v>
      </c>
      <c r="B12" s="558">
        <v>7853</v>
      </c>
      <c r="C12" s="260" t="s">
        <v>2281</v>
      </c>
      <c r="D12" s="555">
        <v>0</v>
      </c>
      <c r="E12" s="555" t="s">
        <v>3772</v>
      </c>
      <c r="F12" s="555"/>
      <c r="G12" s="555"/>
      <c r="H12" s="476"/>
      <c r="I12" s="169"/>
      <c r="J12" s="668"/>
      <c r="K12" s="169"/>
      <c r="L12" s="169">
        <f t="shared" si="0"/>
        <v>0</v>
      </c>
      <c r="M12" s="169"/>
      <c r="N12" s="221" t="s">
        <v>3758</v>
      </c>
      <c r="O12" s="122" t="s">
        <v>3759</v>
      </c>
    </row>
    <row r="13" spans="1:25">
      <c r="A13" s="10" t="s">
        <v>5314</v>
      </c>
      <c r="B13" s="34" t="s">
        <v>3748</v>
      </c>
      <c r="C13" s="10" t="s">
        <v>5315</v>
      </c>
      <c r="D13" s="11">
        <v>1</v>
      </c>
      <c r="E13" s="11" t="s">
        <v>5316</v>
      </c>
      <c r="F13" s="11" t="s">
        <v>3750</v>
      </c>
      <c r="G13" s="129"/>
      <c r="H13" s="161" t="s">
        <v>5317</v>
      </c>
      <c r="I13" s="636"/>
      <c r="J13" s="638"/>
      <c r="K13" s="636"/>
      <c r="L13" s="522">
        <f t="shared" si="0"/>
        <v>0</v>
      </c>
      <c r="M13" s="140"/>
      <c r="N13" s="12"/>
      <c r="O13" s="12">
        <v>106</v>
      </c>
    </row>
    <row r="14" spans="1:25">
      <c r="A14" s="10" t="s">
        <v>5378</v>
      </c>
      <c r="B14" s="34" t="s">
        <v>3748</v>
      </c>
      <c r="C14" s="10" t="s">
        <v>5379</v>
      </c>
      <c r="D14" s="11">
        <v>2</v>
      </c>
      <c r="E14" s="11" t="s">
        <v>4299</v>
      </c>
      <c r="F14" s="11" t="s">
        <v>3750</v>
      </c>
      <c r="G14" s="11"/>
      <c r="H14" s="161" t="s">
        <v>5380</v>
      </c>
      <c r="I14" s="634"/>
      <c r="J14" s="634"/>
      <c r="K14" s="634"/>
      <c r="L14" s="522">
        <f t="shared" si="0"/>
        <v>0</v>
      </c>
      <c r="M14" s="141"/>
      <c r="N14" s="22"/>
      <c r="O14" s="22">
        <v>106</v>
      </c>
    </row>
    <row r="15" spans="1:25">
      <c r="A15" s="10" t="s">
        <v>5485</v>
      </c>
      <c r="B15" s="34" t="s">
        <v>5486</v>
      </c>
      <c r="C15" s="10" t="s">
        <v>5487</v>
      </c>
      <c r="D15" s="11">
        <v>1</v>
      </c>
      <c r="E15" s="11" t="s">
        <v>5488</v>
      </c>
      <c r="F15" s="11" t="s">
        <v>3750</v>
      </c>
      <c r="G15" s="129">
        <v>44783</v>
      </c>
      <c r="H15" s="161" t="s">
        <v>3888</v>
      </c>
      <c r="I15" s="634"/>
      <c r="J15" s="634"/>
      <c r="K15" s="634"/>
      <c r="L15" s="522">
        <f t="shared" si="0"/>
        <v>0</v>
      </c>
      <c r="M15" s="141"/>
      <c r="N15" s="22"/>
      <c r="O15" s="22">
        <v>106</v>
      </c>
    </row>
    <row r="16" spans="1:25">
      <c r="A16" s="10" t="s">
        <v>5485</v>
      </c>
      <c r="B16" s="131" t="s">
        <v>5490</v>
      </c>
      <c r="C16" s="17" t="s">
        <v>5487</v>
      </c>
      <c r="D16" s="15">
        <v>1</v>
      </c>
      <c r="E16" s="15" t="s">
        <v>5491</v>
      </c>
      <c r="F16" s="15" t="s">
        <v>5492</v>
      </c>
      <c r="G16" s="129">
        <v>44783</v>
      </c>
      <c r="H16" s="161" t="s">
        <v>3888</v>
      </c>
      <c r="I16" s="634"/>
      <c r="J16" s="634"/>
      <c r="K16" s="634"/>
      <c r="L16" s="522">
        <f t="shared" si="0"/>
        <v>0</v>
      </c>
      <c r="M16" s="141"/>
      <c r="N16" s="31"/>
      <c r="O16" s="31">
        <v>106</v>
      </c>
    </row>
    <row r="17" spans="1:19" hidden="1">
      <c r="A17" s="256">
        <v>71234</v>
      </c>
      <c r="B17" s="558" t="s">
        <v>3782</v>
      </c>
      <c r="C17" s="260" t="s">
        <v>3783</v>
      </c>
      <c r="D17" s="555">
        <v>0</v>
      </c>
      <c r="E17" s="555" t="s">
        <v>3784</v>
      </c>
      <c r="F17" s="555" t="s">
        <v>3785</v>
      </c>
      <c r="G17" s="559">
        <v>45436</v>
      </c>
      <c r="H17" s="475" t="s">
        <v>3768</v>
      </c>
      <c r="I17" s="169"/>
      <c r="J17" s="668"/>
      <c r="K17" s="169"/>
      <c r="L17" s="169">
        <f t="shared" si="0"/>
        <v>0</v>
      </c>
      <c r="M17" s="169"/>
      <c r="N17" s="121" t="s">
        <v>3758</v>
      </c>
      <c r="O17" s="122" t="s">
        <v>3759</v>
      </c>
    </row>
    <row r="18" spans="1:19">
      <c r="A18" s="10" t="s">
        <v>5485</v>
      </c>
      <c r="B18" s="34" t="s">
        <v>5493</v>
      </c>
      <c r="C18" s="10" t="s">
        <v>5487</v>
      </c>
      <c r="D18" s="11">
        <v>1</v>
      </c>
      <c r="E18" s="11" t="s">
        <v>5491</v>
      </c>
      <c r="F18" s="11" t="s">
        <v>3750</v>
      </c>
      <c r="G18" s="129">
        <v>44783</v>
      </c>
      <c r="H18" s="161" t="s">
        <v>3888</v>
      </c>
      <c r="I18" s="634"/>
      <c r="J18" s="634"/>
      <c r="K18" s="634"/>
      <c r="L18" s="522">
        <f t="shared" si="0"/>
        <v>0</v>
      </c>
      <c r="M18" s="141"/>
      <c r="N18" s="22"/>
      <c r="O18" s="22">
        <v>106</v>
      </c>
    </row>
    <row r="19" spans="1:19" hidden="1">
      <c r="A19" s="256">
        <v>320115</v>
      </c>
      <c r="B19" s="560">
        <v>30458</v>
      </c>
      <c r="C19" s="561" t="s">
        <v>3789</v>
      </c>
      <c r="D19" s="555">
        <v>0</v>
      </c>
      <c r="E19" s="562" t="s">
        <v>3790</v>
      </c>
      <c r="F19" s="562" t="s">
        <v>3763</v>
      </c>
      <c r="G19" s="563">
        <v>45338</v>
      </c>
      <c r="H19" s="564" t="s">
        <v>3791</v>
      </c>
      <c r="I19" s="495">
        <v>650</v>
      </c>
      <c r="J19" s="495"/>
      <c r="K19" s="495"/>
      <c r="L19" s="661">
        <f t="shared" si="0"/>
        <v>650</v>
      </c>
      <c r="M19" s="495"/>
      <c r="N19" s="121" t="s">
        <v>3758</v>
      </c>
      <c r="O19" s="122" t="s">
        <v>3759</v>
      </c>
    </row>
    <row r="20" spans="1:19">
      <c r="A20" s="10" t="s">
        <v>856</v>
      </c>
      <c r="B20" s="34" t="s">
        <v>3748</v>
      </c>
      <c r="C20" s="10" t="s">
        <v>857</v>
      </c>
      <c r="D20" s="11">
        <v>1</v>
      </c>
      <c r="E20" s="11" t="s">
        <v>4334</v>
      </c>
      <c r="F20" s="11" t="s">
        <v>3750</v>
      </c>
      <c r="G20" s="11"/>
      <c r="H20" s="161"/>
      <c r="I20" s="634"/>
      <c r="J20" s="634"/>
      <c r="K20" s="634"/>
      <c r="L20" s="522">
        <f t="shared" si="0"/>
        <v>0</v>
      </c>
      <c r="M20" s="141"/>
      <c r="N20" s="22"/>
      <c r="O20" s="22">
        <v>106</v>
      </c>
    </row>
    <row r="21" spans="1:19">
      <c r="A21" s="10" t="s">
        <v>5541</v>
      </c>
      <c r="B21" s="34" t="s">
        <v>3748</v>
      </c>
      <c r="C21" s="10" t="s">
        <v>2599</v>
      </c>
      <c r="D21" s="11">
        <v>90</v>
      </c>
      <c r="E21" s="11" t="s">
        <v>5542</v>
      </c>
      <c r="F21" s="10" t="s">
        <v>3750</v>
      </c>
      <c r="G21" s="129">
        <v>45383</v>
      </c>
      <c r="H21" s="161" t="s">
        <v>5543</v>
      </c>
      <c r="I21" s="634"/>
      <c r="J21" s="634"/>
      <c r="K21" s="634"/>
      <c r="L21" s="522">
        <f t="shared" si="0"/>
        <v>0</v>
      </c>
      <c r="M21" s="141"/>
      <c r="N21" s="22"/>
      <c r="O21" s="22">
        <v>106</v>
      </c>
    </row>
    <row r="22" spans="1:19" hidden="1">
      <c r="A22" s="553">
        <v>340545</v>
      </c>
      <c r="B22" s="554">
        <v>5141</v>
      </c>
      <c r="C22" s="329" t="s">
        <v>3800</v>
      </c>
      <c r="D22" s="555">
        <v>0</v>
      </c>
      <c r="E22" s="556" t="s">
        <v>3801</v>
      </c>
      <c r="F22" s="556" t="s">
        <v>3780</v>
      </c>
      <c r="G22" s="565">
        <v>44481</v>
      </c>
      <c r="H22" s="557" t="s">
        <v>3802</v>
      </c>
      <c r="I22" s="503">
        <v>1900</v>
      </c>
      <c r="J22" s="503"/>
      <c r="K22" s="496"/>
      <c r="L22" s="657">
        <f t="shared" si="0"/>
        <v>1900</v>
      </c>
      <c r="M22" s="496"/>
      <c r="N22" s="40" t="s">
        <v>3758</v>
      </c>
      <c r="O22" s="120" t="s">
        <v>3759</v>
      </c>
    </row>
    <row r="23" spans="1:19" hidden="1">
      <c r="A23" s="109">
        <v>340545</v>
      </c>
      <c r="B23" s="110">
        <v>1606</v>
      </c>
      <c r="C23" s="44" t="s">
        <v>3800</v>
      </c>
      <c r="D23" s="111">
        <v>0</v>
      </c>
      <c r="E23" s="111" t="s">
        <v>3803</v>
      </c>
      <c r="F23" s="111" t="s">
        <v>3785</v>
      </c>
      <c r="G23" s="114">
        <v>44658</v>
      </c>
      <c r="H23" s="170" t="s">
        <v>3768</v>
      </c>
      <c r="I23" s="490">
        <v>1750</v>
      </c>
      <c r="J23" s="490"/>
      <c r="K23" s="481"/>
      <c r="L23" s="551">
        <f t="shared" si="0"/>
        <v>1750</v>
      </c>
      <c r="M23" s="481"/>
      <c r="N23" s="112" t="s">
        <v>3758</v>
      </c>
      <c r="O23" s="113" t="s">
        <v>3804</v>
      </c>
      <c r="S23" t="s">
        <v>3805</v>
      </c>
    </row>
    <row r="24" spans="1:19">
      <c r="A24" s="10" t="s">
        <v>5544</v>
      </c>
      <c r="B24" s="34" t="s">
        <v>3748</v>
      </c>
      <c r="C24" s="10" t="s">
        <v>2599</v>
      </c>
      <c r="D24" s="11">
        <v>33</v>
      </c>
      <c r="E24" s="10" t="s">
        <v>5542</v>
      </c>
      <c r="F24" s="10" t="s">
        <v>3750</v>
      </c>
      <c r="G24" s="129">
        <v>45551</v>
      </c>
      <c r="H24" s="161" t="s">
        <v>5543</v>
      </c>
      <c r="I24" s="637"/>
      <c r="J24" s="649"/>
      <c r="K24" s="637"/>
      <c r="L24" s="522">
        <f t="shared" si="0"/>
        <v>0</v>
      </c>
      <c r="M24" s="146"/>
      <c r="N24" s="22"/>
      <c r="O24" s="22">
        <v>106</v>
      </c>
    </row>
    <row r="25" spans="1:19" hidden="1">
      <c r="A25" s="256">
        <v>346937</v>
      </c>
      <c r="B25" s="558">
        <v>304412</v>
      </c>
      <c r="C25" s="260" t="s">
        <v>2507</v>
      </c>
      <c r="D25" s="555">
        <v>0</v>
      </c>
      <c r="E25" s="555" t="s">
        <v>3807</v>
      </c>
      <c r="F25" s="555"/>
      <c r="G25" s="555"/>
      <c r="H25" s="475"/>
      <c r="I25" s="497"/>
      <c r="J25" s="526"/>
      <c r="K25" s="497"/>
      <c r="L25" s="497">
        <f t="shared" si="0"/>
        <v>0</v>
      </c>
      <c r="M25" s="497"/>
      <c r="N25" s="121" t="s">
        <v>3758</v>
      </c>
      <c r="O25" s="122" t="s">
        <v>3759</v>
      </c>
    </row>
    <row r="26" spans="1:19">
      <c r="A26" s="10" t="s">
        <v>5734</v>
      </c>
      <c r="B26" s="115" t="s">
        <v>3748</v>
      </c>
      <c r="C26" s="10" t="s">
        <v>5735</v>
      </c>
      <c r="D26" s="11">
        <v>2</v>
      </c>
      <c r="E26" s="10" t="s">
        <v>3828</v>
      </c>
      <c r="F26" s="10" t="s">
        <v>3750</v>
      </c>
      <c r="G26" s="11"/>
      <c r="H26" s="161"/>
      <c r="I26" s="633"/>
      <c r="J26" s="648"/>
      <c r="K26" s="633"/>
      <c r="L26" s="522">
        <f t="shared" si="0"/>
        <v>0</v>
      </c>
      <c r="M26" s="160"/>
      <c r="N26" s="22"/>
      <c r="O26" s="22">
        <v>106</v>
      </c>
    </row>
    <row r="27" spans="1:19" hidden="1">
      <c r="A27" s="553">
        <v>371380</v>
      </c>
      <c r="B27" s="554">
        <v>222562</v>
      </c>
      <c r="C27" s="329" t="s">
        <v>3809</v>
      </c>
      <c r="D27" s="555">
        <v>0</v>
      </c>
      <c r="E27" s="556" t="s">
        <v>3810</v>
      </c>
      <c r="F27" s="556"/>
      <c r="G27" s="556"/>
      <c r="H27" s="557"/>
      <c r="I27" s="498"/>
      <c r="J27" s="527"/>
      <c r="K27" s="498"/>
      <c r="L27" s="498">
        <f t="shared" si="0"/>
        <v>0</v>
      </c>
      <c r="M27" s="498"/>
      <c r="N27" s="107" t="s">
        <v>3758</v>
      </c>
      <c r="O27" s="108" t="s">
        <v>3759</v>
      </c>
    </row>
    <row r="28" spans="1:19" hidden="1">
      <c r="A28" s="109">
        <v>430988</v>
      </c>
      <c r="B28" s="110" t="s">
        <v>3811</v>
      </c>
      <c r="C28" s="44" t="s">
        <v>3779</v>
      </c>
      <c r="D28" s="111">
        <v>0</v>
      </c>
      <c r="E28" s="111" t="s">
        <v>3812</v>
      </c>
      <c r="F28" s="111"/>
      <c r="G28" s="111"/>
      <c r="H28" s="170"/>
      <c r="I28" s="136"/>
      <c r="J28" s="525"/>
      <c r="K28" s="136"/>
      <c r="L28" s="136">
        <f t="shared" si="0"/>
        <v>0</v>
      </c>
      <c r="M28" s="136"/>
      <c r="N28" s="112" t="s">
        <v>3758</v>
      </c>
      <c r="O28" s="113" t="s">
        <v>3759</v>
      </c>
    </row>
    <row r="29" spans="1:19">
      <c r="A29" s="10" t="s">
        <v>5563</v>
      </c>
      <c r="B29" s="34" t="s">
        <v>5564</v>
      </c>
      <c r="C29" s="10" t="s">
        <v>5565</v>
      </c>
      <c r="D29" s="11">
        <v>1</v>
      </c>
      <c r="E29" s="11" t="s">
        <v>5547</v>
      </c>
      <c r="F29" s="11" t="s">
        <v>3750</v>
      </c>
      <c r="G29" s="11"/>
      <c r="H29" s="161"/>
      <c r="I29" s="636"/>
      <c r="J29" s="638"/>
      <c r="K29" s="636"/>
      <c r="L29" s="522">
        <f t="shared" si="0"/>
        <v>0</v>
      </c>
      <c r="M29" s="140"/>
      <c r="N29" s="12"/>
      <c r="O29" s="22">
        <v>106</v>
      </c>
    </row>
    <row r="30" spans="1:19">
      <c r="A30" s="10" t="s">
        <v>5732</v>
      </c>
      <c r="B30" s="115" t="s">
        <v>3748</v>
      </c>
      <c r="C30" s="10" t="s">
        <v>707</v>
      </c>
      <c r="D30" s="11">
        <v>1</v>
      </c>
      <c r="E30" s="10" t="s">
        <v>5733</v>
      </c>
      <c r="F30" s="10" t="s">
        <v>3750</v>
      </c>
      <c r="G30" s="11"/>
      <c r="H30" s="161"/>
      <c r="I30" s="633"/>
      <c r="J30" s="648"/>
      <c r="K30" s="633"/>
      <c r="L30" s="522">
        <f t="shared" si="0"/>
        <v>0</v>
      </c>
      <c r="M30" s="160"/>
      <c r="N30" s="22"/>
      <c r="O30" s="22">
        <v>106</v>
      </c>
    </row>
    <row r="31" spans="1:19">
      <c r="A31" s="33">
        <v>15344</v>
      </c>
      <c r="B31" s="33" t="s">
        <v>3748</v>
      </c>
      <c r="C31" s="33" t="s">
        <v>855</v>
      </c>
      <c r="D31" s="11">
        <v>1</v>
      </c>
      <c r="E31" s="10" t="s">
        <v>3749</v>
      </c>
      <c r="F31" s="10" t="s">
        <v>3750</v>
      </c>
      <c r="G31" s="11"/>
      <c r="H31" s="161"/>
      <c r="I31" s="633"/>
      <c r="J31" s="648"/>
      <c r="K31" s="633"/>
      <c r="L31" s="522">
        <f t="shared" si="0"/>
        <v>0</v>
      </c>
      <c r="M31" s="160"/>
      <c r="N31" s="22"/>
      <c r="O31" s="22" t="s">
        <v>3751</v>
      </c>
    </row>
    <row r="32" spans="1:19">
      <c r="A32" s="10">
        <v>56969</v>
      </c>
      <c r="B32" s="34">
        <v>24</v>
      </c>
      <c r="C32" s="10" t="s">
        <v>3786</v>
      </c>
      <c r="D32" s="11">
        <v>1</v>
      </c>
      <c r="E32" s="11" t="s">
        <v>3787</v>
      </c>
      <c r="F32" s="11" t="s">
        <v>3750</v>
      </c>
      <c r="G32" s="129">
        <v>39821</v>
      </c>
      <c r="H32" s="161" t="s">
        <v>3788</v>
      </c>
      <c r="I32" s="633"/>
      <c r="J32" s="648"/>
      <c r="K32" s="633"/>
      <c r="L32" s="522">
        <f t="shared" si="0"/>
        <v>0</v>
      </c>
      <c r="M32" s="160"/>
      <c r="N32" s="22"/>
      <c r="O32" s="22" t="s">
        <v>3751</v>
      </c>
    </row>
    <row r="33" spans="1:15">
      <c r="A33" s="10">
        <v>740007</v>
      </c>
      <c r="B33" s="115" t="s">
        <v>3748</v>
      </c>
      <c r="C33" s="10" t="s">
        <v>855</v>
      </c>
      <c r="D33" s="11">
        <v>4</v>
      </c>
      <c r="E33" s="10" t="s">
        <v>3749</v>
      </c>
      <c r="F33" s="10" t="s">
        <v>3750</v>
      </c>
      <c r="G33" s="11"/>
      <c r="H33" s="161"/>
      <c r="I33" s="633"/>
      <c r="J33" s="648"/>
      <c r="K33" s="633"/>
      <c r="L33" s="522">
        <f t="shared" si="0"/>
        <v>0</v>
      </c>
      <c r="M33" s="160"/>
      <c r="N33" s="22"/>
      <c r="O33" s="22" t="s">
        <v>3751</v>
      </c>
    </row>
    <row r="34" spans="1:15" hidden="1">
      <c r="A34" s="256">
        <v>731376</v>
      </c>
      <c r="B34" s="558">
        <v>181</v>
      </c>
      <c r="C34" s="260" t="s">
        <v>3827</v>
      </c>
      <c r="D34" s="555">
        <v>0</v>
      </c>
      <c r="E34" s="555" t="s">
        <v>3828</v>
      </c>
      <c r="F34" s="555"/>
      <c r="G34" s="555"/>
      <c r="H34" s="475"/>
      <c r="I34" s="169"/>
      <c r="J34" s="668"/>
      <c r="K34" s="169"/>
      <c r="L34" s="169">
        <f t="shared" si="0"/>
        <v>0</v>
      </c>
      <c r="M34" s="169"/>
      <c r="N34" s="121" t="s">
        <v>3758</v>
      </c>
      <c r="O34" s="122" t="s">
        <v>3759</v>
      </c>
    </row>
    <row r="35" spans="1:15">
      <c r="A35" s="10" t="s">
        <v>5769</v>
      </c>
      <c r="B35" s="34" t="s">
        <v>3748</v>
      </c>
      <c r="C35" s="10" t="s">
        <v>5770</v>
      </c>
      <c r="D35" s="11">
        <v>1</v>
      </c>
      <c r="E35" s="11" t="s">
        <v>4887</v>
      </c>
      <c r="F35" s="10" t="s">
        <v>3750</v>
      </c>
      <c r="G35" s="11"/>
      <c r="H35" s="161"/>
      <c r="I35" s="633"/>
      <c r="J35" s="648"/>
      <c r="K35" s="633"/>
      <c r="L35" s="522">
        <f t="shared" si="0"/>
        <v>0</v>
      </c>
      <c r="M35" s="160"/>
      <c r="N35" s="22"/>
      <c r="O35" s="22" t="s">
        <v>3751</v>
      </c>
    </row>
    <row r="36" spans="1:15">
      <c r="A36" s="10" t="s">
        <v>5281</v>
      </c>
      <c r="B36" s="34" t="s">
        <v>3748</v>
      </c>
      <c r="C36" s="10" t="s">
        <v>5282</v>
      </c>
      <c r="D36" s="11">
        <v>7</v>
      </c>
      <c r="E36" s="11" t="s">
        <v>4692</v>
      </c>
      <c r="F36" s="11" t="s">
        <v>3750</v>
      </c>
      <c r="G36" s="11"/>
      <c r="H36" s="161" t="s">
        <v>5283</v>
      </c>
      <c r="I36" s="637"/>
      <c r="J36" s="649"/>
      <c r="K36" s="637"/>
      <c r="L36" s="522">
        <f t="shared" si="0"/>
        <v>0</v>
      </c>
      <c r="M36" s="146"/>
      <c r="N36" s="22"/>
      <c r="O36" s="22" t="s">
        <v>3751</v>
      </c>
    </row>
    <row r="37" spans="1:15">
      <c r="A37" s="10" t="s">
        <v>5499</v>
      </c>
      <c r="B37" s="34" t="s">
        <v>3748</v>
      </c>
      <c r="C37" s="10" t="s">
        <v>5500</v>
      </c>
      <c r="D37" s="11">
        <v>1</v>
      </c>
      <c r="E37" s="11" t="s">
        <v>4229</v>
      </c>
      <c r="F37" s="11" t="s">
        <v>3750</v>
      </c>
      <c r="G37" s="11"/>
      <c r="H37" s="161" t="s">
        <v>5501</v>
      </c>
      <c r="I37" s="633"/>
      <c r="J37" s="648"/>
      <c r="K37" s="633"/>
      <c r="L37" s="522">
        <f t="shared" si="0"/>
        <v>0</v>
      </c>
      <c r="M37" s="160"/>
      <c r="N37" s="22"/>
      <c r="O37" s="22" t="s">
        <v>3751</v>
      </c>
    </row>
    <row r="38" spans="1:15">
      <c r="A38" s="10" t="s">
        <v>5764</v>
      </c>
      <c r="B38" s="115" t="s">
        <v>3748</v>
      </c>
      <c r="C38" s="10" t="s">
        <v>5765</v>
      </c>
      <c r="D38" s="11">
        <v>2</v>
      </c>
      <c r="E38" s="10" t="s">
        <v>4684</v>
      </c>
      <c r="F38" s="10" t="s">
        <v>3750</v>
      </c>
      <c r="G38" s="11"/>
      <c r="H38" s="161" t="s">
        <v>5766</v>
      </c>
      <c r="I38" s="633"/>
      <c r="J38" s="648"/>
      <c r="K38" s="633"/>
      <c r="L38" s="522">
        <f t="shared" si="0"/>
        <v>0</v>
      </c>
      <c r="M38" s="160"/>
      <c r="N38" s="22"/>
      <c r="O38" s="22" t="s">
        <v>3751</v>
      </c>
    </row>
    <row r="39" spans="1:15">
      <c r="A39" s="10" t="s">
        <v>5764</v>
      </c>
      <c r="B39" s="115" t="s">
        <v>3748</v>
      </c>
      <c r="C39" s="10" t="s">
        <v>5765</v>
      </c>
      <c r="D39" s="11">
        <v>2</v>
      </c>
      <c r="E39" s="10" t="s">
        <v>4686</v>
      </c>
      <c r="F39" s="10" t="s">
        <v>3750</v>
      </c>
      <c r="G39" s="11"/>
      <c r="H39" s="161" t="s">
        <v>5766</v>
      </c>
      <c r="I39" s="633"/>
      <c r="J39" s="648"/>
      <c r="K39" s="633"/>
      <c r="L39" s="522">
        <f t="shared" si="0"/>
        <v>0</v>
      </c>
      <c r="M39" s="160"/>
      <c r="N39" s="22"/>
      <c r="O39" s="22" t="s">
        <v>3751</v>
      </c>
    </row>
    <row r="40" spans="1:15">
      <c r="A40" s="10" t="s">
        <v>5764</v>
      </c>
      <c r="B40" s="115" t="s">
        <v>3748</v>
      </c>
      <c r="C40" s="10" t="s">
        <v>5765</v>
      </c>
      <c r="D40" s="11">
        <v>2</v>
      </c>
      <c r="E40" s="10" t="s">
        <v>5767</v>
      </c>
      <c r="F40" s="10" t="s">
        <v>3750</v>
      </c>
      <c r="G40" s="11"/>
      <c r="H40" s="161" t="s">
        <v>5766</v>
      </c>
      <c r="I40" s="633"/>
      <c r="J40" s="648"/>
      <c r="K40" s="633"/>
      <c r="L40" s="522">
        <f t="shared" si="0"/>
        <v>0</v>
      </c>
      <c r="M40" s="160"/>
      <c r="N40" s="22"/>
      <c r="O40" s="22" t="s">
        <v>3751</v>
      </c>
    </row>
    <row r="41" spans="1:15" hidden="1">
      <c r="A41" s="553">
        <v>887673</v>
      </c>
      <c r="B41" s="554" t="s">
        <v>3843</v>
      </c>
      <c r="C41" s="329" t="s">
        <v>3844</v>
      </c>
      <c r="D41" s="555">
        <v>0</v>
      </c>
      <c r="E41" s="556" t="s">
        <v>3845</v>
      </c>
      <c r="F41" s="556"/>
      <c r="G41" s="556"/>
      <c r="H41" s="557"/>
      <c r="I41" s="494"/>
      <c r="J41" s="670"/>
      <c r="K41" s="494"/>
      <c r="L41" s="494">
        <f t="shared" si="0"/>
        <v>0</v>
      </c>
      <c r="M41" s="494"/>
      <c r="N41" s="107" t="s">
        <v>3758</v>
      </c>
      <c r="O41" s="108" t="s">
        <v>3759</v>
      </c>
    </row>
    <row r="42" spans="1:15" hidden="1">
      <c r="A42" s="109">
        <v>887673</v>
      </c>
      <c r="B42" s="110" t="s">
        <v>3846</v>
      </c>
      <c r="C42" s="44" t="s">
        <v>3844</v>
      </c>
      <c r="D42" s="111">
        <v>0</v>
      </c>
      <c r="E42" s="111" t="s">
        <v>3847</v>
      </c>
      <c r="F42" s="111"/>
      <c r="G42" s="111"/>
      <c r="H42" s="170"/>
      <c r="I42" s="478"/>
      <c r="J42" s="524"/>
      <c r="K42" s="478"/>
      <c r="L42" s="478">
        <f t="shared" si="0"/>
        <v>0</v>
      </c>
      <c r="M42" s="478"/>
      <c r="N42" s="112" t="s">
        <v>3758</v>
      </c>
      <c r="O42" s="113" t="s">
        <v>3759</v>
      </c>
    </row>
    <row r="43" spans="1:15">
      <c r="A43" s="10" t="s">
        <v>5764</v>
      </c>
      <c r="B43" s="115" t="s">
        <v>3748</v>
      </c>
      <c r="C43" s="10" t="s">
        <v>5765</v>
      </c>
      <c r="D43" s="11">
        <v>2</v>
      </c>
      <c r="E43" s="10" t="s">
        <v>5768</v>
      </c>
      <c r="F43" s="10" t="s">
        <v>3750</v>
      </c>
      <c r="G43" s="11"/>
      <c r="H43" s="161" t="s">
        <v>5766</v>
      </c>
      <c r="I43" s="633"/>
      <c r="J43" s="648"/>
      <c r="K43" s="633"/>
      <c r="L43" s="522">
        <f t="shared" si="0"/>
        <v>0</v>
      </c>
      <c r="M43" s="160"/>
      <c r="N43" s="22"/>
      <c r="O43" s="22" t="s">
        <v>3751</v>
      </c>
    </row>
    <row r="44" spans="1:15">
      <c r="A44" s="10" t="s">
        <v>4650</v>
      </c>
      <c r="B44" s="34" t="s">
        <v>3748</v>
      </c>
      <c r="C44" s="10" t="s">
        <v>4651</v>
      </c>
      <c r="D44" s="11">
        <v>2</v>
      </c>
      <c r="E44" s="11" t="s">
        <v>4652</v>
      </c>
      <c r="F44" s="11" t="s">
        <v>3750</v>
      </c>
      <c r="G44" s="129">
        <v>45280</v>
      </c>
      <c r="H44" s="161" t="s">
        <v>4365</v>
      </c>
      <c r="I44" s="636"/>
      <c r="J44" s="638"/>
      <c r="K44" s="636"/>
      <c r="L44" s="522">
        <f t="shared" si="0"/>
        <v>0</v>
      </c>
      <c r="M44" s="140"/>
      <c r="N44" s="22"/>
      <c r="O44" s="623" t="s">
        <v>2754</v>
      </c>
    </row>
    <row r="45" spans="1:15" hidden="1">
      <c r="A45" s="553">
        <v>731753</v>
      </c>
      <c r="B45" s="554" t="s">
        <v>3851</v>
      </c>
      <c r="C45" s="329" t="s">
        <v>3852</v>
      </c>
      <c r="D45" s="555">
        <v>0</v>
      </c>
      <c r="E45" s="556" t="s">
        <v>3815</v>
      </c>
      <c r="F45" s="556" t="s">
        <v>3785</v>
      </c>
      <c r="G45" s="565">
        <v>45706</v>
      </c>
      <c r="H45" s="557" t="s">
        <v>3819</v>
      </c>
      <c r="I45" s="499">
        <v>7250</v>
      </c>
      <c r="J45" s="670"/>
      <c r="K45" s="499"/>
      <c r="L45" s="499">
        <f t="shared" si="0"/>
        <v>7250</v>
      </c>
      <c r="M45" s="499"/>
      <c r="N45" s="107" t="s">
        <v>3758</v>
      </c>
      <c r="O45" s="108" t="s">
        <v>3759</v>
      </c>
    </row>
    <row r="46" spans="1:15" hidden="1">
      <c r="A46" s="105">
        <v>2730426</v>
      </c>
      <c r="B46" s="8" t="s">
        <v>3853</v>
      </c>
      <c r="C46" s="10" t="s">
        <v>3854</v>
      </c>
      <c r="D46" s="111">
        <v>0</v>
      </c>
      <c r="E46" s="9" t="s">
        <v>3855</v>
      </c>
      <c r="F46" s="9" t="s">
        <v>3785</v>
      </c>
      <c r="G46" s="46">
        <v>45401</v>
      </c>
      <c r="H46" s="119" t="s">
        <v>3768</v>
      </c>
      <c r="I46" s="141">
        <v>2100</v>
      </c>
      <c r="J46" s="141"/>
      <c r="K46" s="141"/>
      <c r="L46" s="2">
        <f t="shared" si="0"/>
        <v>2100</v>
      </c>
      <c r="M46" s="141"/>
      <c r="N46" s="22" t="s">
        <v>3758</v>
      </c>
      <c r="O46" s="106" t="s">
        <v>3759</v>
      </c>
    </row>
    <row r="47" spans="1:15" hidden="1">
      <c r="A47" s="109">
        <v>4101054</v>
      </c>
      <c r="B47" s="110">
        <v>9492</v>
      </c>
      <c r="C47" s="44" t="s">
        <v>3856</v>
      </c>
      <c r="D47" s="111">
        <v>0</v>
      </c>
      <c r="E47" s="111" t="s">
        <v>3857</v>
      </c>
      <c r="F47" s="111"/>
      <c r="G47" s="111"/>
      <c r="H47" s="170"/>
      <c r="I47" s="478"/>
      <c r="J47" s="524"/>
      <c r="K47" s="478"/>
      <c r="L47" s="478">
        <f t="shared" si="0"/>
        <v>0</v>
      </c>
      <c r="M47" s="478"/>
      <c r="N47" s="112" t="s">
        <v>3758</v>
      </c>
      <c r="O47" s="113" t="s">
        <v>3759</v>
      </c>
    </row>
    <row r="48" spans="1:15">
      <c r="A48" s="10" t="s">
        <v>5391</v>
      </c>
      <c r="B48" s="34">
        <v>116586</v>
      </c>
      <c r="C48" s="10" t="s">
        <v>5392</v>
      </c>
      <c r="D48" s="11">
        <v>1</v>
      </c>
      <c r="E48" s="10" t="s">
        <v>5037</v>
      </c>
      <c r="F48" s="11" t="s">
        <v>3763</v>
      </c>
      <c r="G48" s="129">
        <v>39981</v>
      </c>
      <c r="H48" s="295" t="s">
        <v>5393</v>
      </c>
      <c r="I48" s="638"/>
      <c r="J48" s="638"/>
      <c r="K48" s="638"/>
      <c r="L48" s="522">
        <f t="shared" si="0"/>
        <v>0</v>
      </c>
      <c r="M48" s="142"/>
      <c r="N48" s="22"/>
      <c r="O48" s="623" t="s">
        <v>2754</v>
      </c>
    </row>
    <row r="49" spans="1:15">
      <c r="A49" s="10">
        <v>16335</v>
      </c>
      <c r="B49" s="34" t="s">
        <v>3748</v>
      </c>
      <c r="C49" s="10" t="s">
        <v>3752</v>
      </c>
      <c r="D49" s="11">
        <v>13</v>
      </c>
      <c r="E49" s="11" t="s">
        <v>3753</v>
      </c>
      <c r="F49" s="11" t="s">
        <v>3750</v>
      </c>
      <c r="G49" s="11"/>
      <c r="H49" s="161"/>
      <c r="I49" s="636"/>
      <c r="J49" s="638"/>
      <c r="K49" s="636"/>
      <c r="L49" s="522">
        <f t="shared" si="0"/>
        <v>0</v>
      </c>
      <c r="M49" s="140"/>
      <c r="N49" s="12"/>
      <c r="O49" s="12" t="s">
        <v>3754</v>
      </c>
    </row>
    <row r="50" spans="1:15">
      <c r="A50" s="10">
        <v>20020</v>
      </c>
      <c r="B50" s="34">
        <v>274683</v>
      </c>
      <c r="C50" s="10" t="s">
        <v>640</v>
      </c>
      <c r="D50" s="11">
        <v>1</v>
      </c>
      <c r="E50" s="11" t="s">
        <v>3755</v>
      </c>
      <c r="F50" s="11" t="s">
        <v>3750</v>
      </c>
      <c r="G50" s="11"/>
      <c r="H50" s="161"/>
      <c r="I50" s="638"/>
      <c r="J50" s="638"/>
      <c r="K50" s="638"/>
      <c r="L50" s="522">
        <f t="shared" si="0"/>
        <v>0</v>
      </c>
      <c r="M50" s="142"/>
      <c r="N50" s="12"/>
      <c r="O50" s="12" t="s">
        <v>3754</v>
      </c>
    </row>
    <row r="51" spans="1:15" hidden="1">
      <c r="A51" s="553">
        <v>7821343</v>
      </c>
      <c r="B51" s="554">
        <v>4151</v>
      </c>
      <c r="C51" s="329" t="s">
        <v>3862</v>
      </c>
      <c r="D51" s="555">
        <v>0</v>
      </c>
      <c r="E51" s="556" t="s">
        <v>3863</v>
      </c>
      <c r="F51" s="556" t="s">
        <v>3763</v>
      </c>
      <c r="G51" s="565">
        <v>44769</v>
      </c>
      <c r="H51" s="566" t="s">
        <v>3768</v>
      </c>
      <c r="I51" s="503">
        <v>1250</v>
      </c>
      <c r="J51" s="503"/>
      <c r="K51" s="496"/>
      <c r="L51" s="657">
        <f t="shared" si="0"/>
        <v>1250</v>
      </c>
      <c r="M51" s="496"/>
      <c r="N51" s="107" t="s">
        <v>3758</v>
      </c>
      <c r="O51" s="108" t="s">
        <v>3759</v>
      </c>
    </row>
    <row r="52" spans="1:15" hidden="1">
      <c r="A52" s="109">
        <v>7829998</v>
      </c>
      <c r="B52" s="110" t="s">
        <v>3864</v>
      </c>
      <c r="C52" s="44" t="s">
        <v>3865</v>
      </c>
      <c r="D52" s="111">
        <v>0</v>
      </c>
      <c r="E52" s="111" t="s">
        <v>3866</v>
      </c>
      <c r="F52" s="111"/>
      <c r="G52" s="111"/>
      <c r="H52" s="170"/>
      <c r="I52" s="478"/>
      <c r="J52" s="524"/>
      <c r="K52" s="478"/>
      <c r="L52" s="478">
        <f t="shared" si="0"/>
        <v>0</v>
      </c>
      <c r="M52" s="478"/>
      <c r="N52" s="112" t="s">
        <v>3758</v>
      </c>
      <c r="O52" s="113" t="s">
        <v>3759</v>
      </c>
    </row>
    <row r="53" spans="1:15">
      <c r="A53" s="10">
        <v>45939</v>
      </c>
      <c r="B53" s="34" t="s">
        <v>3748</v>
      </c>
      <c r="C53" s="10" t="s">
        <v>21</v>
      </c>
      <c r="D53" s="11">
        <v>2</v>
      </c>
      <c r="E53" s="11" t="s">
        <v>3778</v>
      </c>
      <c r="F53" s="11" t="s">
        <v>3750</v>
      </c>
      <c r="G53" s="11"/>
      <c r="H53" s="161"/>
      <c r="I53" s="638"/>
      <c r="J53" s="638"/>
      <c r="K53" s="638"/>
      <c r="L53" s="522">
        <f t="shared" si="0"/>
        <v>0</v>
      </c>
      <c r="M53" s="142"/>
      <c r="N53" s="22"/>
      <c r="O53" s="22" t="s">
        <v>3754</v>
      </c>
    </row>
    <row r="54" spans="1:15">
      <c r="A54" s="10">
        <v>2001405</v>
      </c>
      <c r="B54" s="34" t="s">
        <v>3874</v>
      </c>
      <c r="C54" s="10" t="s">
        <v>3875</v>
      </c>
      <c r="D54" s="11">
        <v>1</v>
      </c>
      <c r="E54" s="11" t="s">
        <v>3876</v>
      </c>
      <c r="F54" s="11" t="s">
        <v>3750</v>
      </c>
      <c r="G54" s="11"/>
      <c r="H54" s="161"/>
      <c r="I54" s="638"/>
      <c r="J54" s="638"/>
      <c r="K54" s="638"/>
      <c r="L54" s="522">
        <f t="shared" si="0"/>
        <v>0</v>
      </c>
      <c r="M54" s="142"/>
      <c r="N54" s="22"/>
      <c r="O54" s="22" t="s">
        <v>3754</v>
      </c>
    </row>
    <row r="55" spans="1:15">
      <c r="A55" s="10" t="s">
        <v>4052</v>
      </c>
      <c r="B55" s="34">
        <v>6824</v>
      </c>
      <c r="C55" s="10" t="s">
        <v>207</v>
      </c>
      <c r="D55" s="11">
        <v>1</v>
      </c>
      <c r="E55" s="11" t="s">
        <v>4053</v>
      </c>
      <c r="F55" s="11" t="s">
        <v>3750</v>
      </c>
      <c r="G55" s="11"/>
      <c r="H55" s="161"/>
      <c r="I55" s="639"/>
      <c r="J55" s="648"/>
      <c r="K55" s="639"/>
      <c r="L55" s="522">
        <f t="shared" si="0"/>
        <v>0</v>
      </c>
      <c r="M55" s="138"/>
      <c r="N55" s="22"/>
      <c r="O55" s="22" t="s">
        <v>3754</v>
      </c>
    </row>
    <row r="56" spans="1:15">
      <c r="A56" s="10" t="s">
        <v>4082</v>
      </c>
      <c r="B56" s="34" t="s">
        <v>3748</v>
      </c>
      <c r="C56" s="10" t="s">
        <v>418</v>
      </c>
      <c r="D56" s="11">
        <v>1</v>
      </c>
      <c r="E56" s="11" t="s">
        <v>4083</v>
      </c>
      <c r="F56" s="11" t="s">
        <v>3750</v>
      </c>
      <c r="G56" s="11"/>
      <c r="H56" s="161"/>
      <c r="I56" s="636"/>
      <c r="J56" s="638"/>
      <c r="K56" s="636"/>
      <c r="L56" s="522">
        <f t="shared" si="0"/>
        <v>0</v>
      </c>
      <c r="M56" s="140"/>
      <c r="N56" s="22"/>
      <c r="O56" s="22" t="s">
        <v>3754</v>
      </c>
    </row>
    <row r="57" spans="1:15" hidden="1">
      <c r="A57" s="256" t="s">
        <v>3879</v>
      </c>
      <c r="B57" s="558">
        <v>531150</v>
      </c>
      <c r="C57" s="260" t="s">
        <v>3880</v>
      </c>
      <c r="D57" s="555">
        <v>0</v>
      </c>
      <c r="E57" s="555" t="s">
        <v>3881</v>
      </c>
      <c r="F57" s="555"/>
      <c r="G57" s="555"/>
      <c r="H57" s="475"/>
      <c r="I57" s="169"/>
      <c r="J57" s="668"/>
      <c r="K57" s="169"/>
      <c r="L57" s="169">
        <f t="shared" si="0"/>
        <v>0</v>
      </c>
      <c r="M57" s="169"/>
      <c r="N57" s="121" t="s">
        <v>3758</v>
      </c>
      <c r="O57" s="122" t="s">
        <v>3759</v>
      </c>
    </row>
    <row r="58" spans="1:15">
      <c r="A58" s="10" t="s">
        <v>4194</v>
      </c>
      <c r="B58" s="34" t="s">
        <v>3748</v>
      </c>
      <c r="C58" s="10" t="s">
        <v>2132</v>
      </c>
      <c r="D58" s="11">
        <v>1</v>
      </c>
      <c r="E58" s="11" t="s">
        <v>4195</v>
      </c>
      <c r="F58" s="11" t="s">
        <v>3750</v>
      </c>
      <c r="G58" s="11"/>
      <c r="H58" s="161"/>
      <c r="I58" s="636"/>
      <c r="J58" s="638"/>
      <c r="K58" s="636"/>
      <c r="L58" s="522">
        <f t="shared" si="0"/>
        <v>0</v>
      </c>
      <c r="M58" s="140"/>
      <c r="N58" s="22"/>
      <c r="O58" s="22" t="s">
        <v>3754</v>
      </c>
    </row>
    <row r="59" spans="1:15" hidden="1">
      <c r="A59" s="256" t="s">
        <v>3883</v>
      </c>
      <c r="B59" s="558" t="s">
        <v>3884</v>
      </c>
      <c r="C59" s="260" t="s">
        <v>3885</v>
      </c>
      <c r="D59" s="555">
        <v>0</v>
      </c>
      <c r="E59" s="555" t="s">
        <v>3886</v>
      </c>
      <c r="F59" s="555" t="s">
        <v>3763</v>
      </c>
      <c r="G59" s="559">
        <v>45467</v>
      </c>
      <c r="H59" s="475" t="s">
        <v>3799</v>
      </c>
      <c r="I59" s="220">
        <v>1300</v>
      </c>
      <c r="J59" s="220"/>
      <c r="K59" s="220"/>
      <c r="L59" s="660">
        <f t="shared" si="0"/>
        <v>1300</v>
      </c>
      <c r="M59" s="220"/>
      <c r="N59" s="121" t="s">
        <v>3758</v>
      </c>
      <c r="O59" s="122" t="s">
        <v>3759</v>
      </c>
    </row>
    <row r="60" spans="1:15">
      <c r="A60" s="10" t="s">
        <v>4343</v>
      </c>
      <c r="B60" s="34" t="s">
        <v>3748</v>
      </c>
      <c r="C60" s="10" t="s">
        <v>34</v>
      </c>
      <c r="D60" s="11">
        <v>3</v>
      </c>
      <c r="E60" s="11" t="s">
        <v>4344</v>
      </c>
      <c r="F60" s="11" t="s">
        <v>3750</v>
      </c>
      <c r="G60" s="11"/>
      <c r="H60" s="161"/>
      <c r="I60" s="636"/>
      <c r="J60" s="638"/>
      <c r="K60" s="636"/>
      <c r="L60" s="522">
        <f t="shared" si="0"/>
        <v>0</v>
      </c>
      <c r="M60" s="140"/>
      <c r="N60" s="22"/>
      <c r="O60" s="22" t="s">
        <v>3754</v>
      </c>
    </row>
    <row r="61" spans="1:15" hidden="1">
      <c r="A61" s="553" t="s">
        <v>3883</v>
      </c>
      <c r="B61" s="554" t="s">
        <v>3889</v>
      </c>
      <c r="C61" s="329" t="s">
        <v>3890</v>
      </c>
      <c r="D61" s="555">
        <v>0</v>
      </c>
      <c r="E61" s="556" t="s">
        <v>3891</v>
      </c>
      <c r="F61" s="556" t="s">
        <v>3763</v>
      </c>
      <c r="G61" s="565">
        <v>45467</v>
      </c>
      <c r="H61" s="557" t="s">
        <v>3799</v>
      </c>
      <c r="I61" s="500">
        <v>1300</v>
      </c>
      <c r="J61" s="500"/>
      <c r="K61" s="500"/>
      <c r="L61" s="90">
        <f t="shared" si="0"/>
        <v>1300</v>
      </c>
      <c r="M61" s="500"/>
      <c r="N61" s="107" t="s">
        <v>3758</v>
      </c>
      <c r="O61" s="108" t="s">
        <v>3759</v>
      </c>
    </row>
    <row r="62" spans="1:15" hidden="1">
      <c r="A62" s="109" t="s">
        <v>3883</v>
      </c>
      <c r="B62" s="110" t="s">
        <v>3892</v>
      </c>
      <c r="C62" s="44" t="s">
        <v>3890</v>
      </c>
      <c r="D62" s="111">
        <v>0</v>
      </c>
      <c r="E62" s="111" t="s">
        <v>3891</v>
      </c>
      <c r="F62" s="111" t="s">
        <v>3763</v>
      </c>
      <c r="G62" s="114">
        <v>45461</v>
      </c>
      <c r="H62" s="170" t="s">
        <v>3799</v>
      </c>
      <c r="I62" s="479">
        <v>1300</v>
      </c>
      <c r="J62" s="479"/>
      <c r="K62" s="479"/>
      <c r="L62" s="5">
        <f t="shared" si="0"/>
        <v>1300</v>
      </c>
      <c r="M62" s="479"/>
      <c r="N62" s="112" t="s">
        <v>3758</v>
      </c>
      <c r="O62" s="113" t="s">
        <v>3759</v>
      </c>
    </row>
    <row r="63" spans="1:15">
      <c r="A63" s="10" t="s">
        <v>4378</v>
      </c>
      <c r="B63" s="34" t="s">
        <v>3748</v>
      </c>
      <c r="C63" s="10" t="s">
        <v>4379</v>
      </c>
      <c r="D63" s="11">
        <v>1</v>
      </c>
      <c r="E63" s="11" t="s">
        <v>4380</v>
      </c>
      <c r="F63" s="11" t="s">
        <v>3750</v>
      </c>
      <c r="G63" s="11"/>
      <c r="H63" s="161"/>
      <c r="I63" s="636"/>
      <c r="J63" s="638"/>
      <c r="K63" s="636"/>
      <c r="L63" s="522">
        <f t="shared" si="0"/>
        <v>0</v>
      </c>
      <c r="M63" s="140"/>
      <c r="N63" s="22"/>
      <c r="O63" s="22" t="s">
        <v>3754</v>
      </c>
    </row>
    <row r="64" spans="1:15" hidden="1">
      <c r="A64" s="553" t="s">
        <v>3883</v>
      </c>
      <c r="B64" s="554" t="s">
        <v>3895</v>
      </c>
      <c r="C64" s="329" t="s">
        <v>3890</v>
      </c>
      <c r="D64" s="555">
        <v>0</v>
      </c>
      <c r="E64" s="556" t="s">
        <v>3886</v>
      </c>
      <c r="F64" s="556" t="s">
        <v>3763</v>
      </c>
      <c r="G64" s="565">
        <v>45468</v>
      </c>
      <c r="H64" s="557" t="s">
        <v>3896</v>
      </c>
      <c r="I64" s="500">
        <v>1400</v>
      </c>
      <c r="J64" s="500"/>
      <c r="K64" s="500"/>
      <c r="L64" s="90">
        <f t="shared" si="0"/>
        <v>1400</v>
      </c>
      <c r="M64" s="500"/>
      <c r="N64" s="107" t="s">
        <v>3758</v>
      </c>
      <c r="O64" s="108" t="s">
        <v>3759</v>
      </c>
    </row>
    <row r="65" spans="1:15" hidden="1">
      <c r="A65" s="105" t="s">
        <v>3883</v>
      </c>
      <c r="B65" s="8" t="s">
        <v>3897</v>
      </c>
      <c r="C65" s="10" t="s">
        <v>3890</v>
      </c>
      <c r="D65" s="111">
        <v>0</v>
      </c>
      <c r="E65" s="9" t="s">
        <v>3898</v>
      </c>
      <c r="F65" s="9"/>
      <c r="G65" s="9"/>
      <c r="H65" s="119"/>
      <c r="I65" s="138"/>
      <c r="J65" s="471"/>
      <c r="K65" s="138"/>
      <c r="L65" s="138">
        <f t="shared" si="0"/>
        <v>0</v>
      </c>
      <c r="M65" s="138"/>
      <c r="N65" s="27" t="s">
        <v>3758</v>
      </c>
      <c r="O65" s="106" t="s">
        <v>3759</v>
      </c>
    </row>
    <row r="66" spans="1:15" hidden="1">
      <c r="A66" s="105" t="s">
        <v>3883</v>
      </c>
      <c r="B66" s="8" t="s">
        <v>3899</v>
      </c>
      <c r="C66" s="10" t="s">
        <v>3890</v>
      </c>
      <c r="D66" s="111">
        <v>0</v>
      </c>
      <c r="E66" s="9" t="s">
        <v>3898</v>
      </c>
      <c r="F66" s="9"/>
      <c r="G66" s="9"/>
      <c r="H66" s="119"/>
      <c r="I66" s="137"/>
      <c r="J66" s="487"/>
      <c r="K66" s="137"/>
      <c r="L66" s="137">
        <f t="shared" si="0"/>
        <v>0</v>
      </c>
      <c r="M66" s="137"/>
      <c r="N66" s="27" t="s">
        <v>3758</v>
      </c>
      <c r="O66" s="106" t="s">
        <v>3759</v>
      </c>
    </row>
    <row r="67" spans="1:15" hidden="1">
      <c r="A67" s="109" t="s">
        <v>3883</v>
      </c>
      <c r="B67" s="110" t="s">
        <v>3900</v>
      </c>
      <c r="C67" s="44" t="s">
        <v>3890</v>
      </c>
      <c r="D67" s="111">
        <v>0</v>
      </c>
      <c r="E67" s="111" t="s">
        <v>3898</v>
      </c>
      <c r="F67" s="111"/>
      <c r="G67" s="111"/>
      <c r="H67" s="172"/>
      <c r="I67" s="478"/>
      <c r="J67" s="524"/>
      <c r="K67" s="478"/>
      <c r="L67" s="478">
        <f t="shared" si="0"/>
        <v>0</v>
      </c>
      <c r="M67" s="478"/>
      <c r="N67" s="536" t="s">
        <v>3758</v>
      </c>
      <c r="O67" s="113" t="s">
        <v>3759</v>
      </c>
    </row>
    <row r="68" spans="1:15">
      <c r="A68" s="10" t="s">
        <v>4682</v>
      </c>
      <c r="B68" s="624" t="s">
        <v>4827</v>
      </c>
      <c r="C68" s="206" t="s">
        <v>690</v>
      </c>
      <c r="D68" s="445">
        <v>1</v>
      </c>
      <c r="E68" s="445" t="s">
        <v>4828</v>
      </c>
      <c r="F68" s="445" t="s">
        <v>3750</v>
      </c>
      <c r="G68" s="445"/>
      <c r="H68" s="625"/>
      <c r="I68" s="638"/>
      <c r="J68" s="638"/>
      <c r="K68" s="640"/>
      <c r="L68" s="522">
        <f t="shared" ref="L68:L131" si="1">IF(OR(I68="", K68=""), I68 + K68, I68 + K68)</f>
        <v>0</v>
      </c>
      <c r="M68" s="466"/>
      <c r="N68" s="208"/>
      <c r="O68" s="12" t="s">
        <v>3754</v>
      </c>
    </row>
    <row r="69" spans="1:15">
      <c r="A69" s="10" t="s">
        <v>4936</v>
      </c>
      <c r="B69" s="34">
        <v>608</v>
      </c>
      <c r="C69" s="10" t="s">
        <v>207</v>
      </c>
      <c r="D69" s="11">
        <v>1</v>
      </c>
      <c r="E69" s="11" t="s">
        <v>4937</v>
      </c>
      <c r="F69" s="11" t="s">
        <v>3750</v>
      </c>
      <c r="G69" s="11"/>
      <c r="H69" s="161"/>
      <c r="I69" s="638"/>
      <c r="J69" s="638"/>
      <c r="K69" s="638"/>
      <c r="L69" s="522">
        <f t="shared" si="1"/>
        <v>0</v>
      </c>
      <c r="M69" s="142"/>
      <c r="N69" s="22"/>
      <c r="O69" s="22" t="s">
        <v>3754</v>
      </c>
    </row>
    <row r="70" spans="1:15" hidden="1">
      <c r="A70" s="256">
        <v>33900004</v>
      </c>
      <c r="B70" s="567" t="s">
        <v>3907</v>
      </c>
      <c r="C70" s="568" t="s">
        <v>3906</v>
      </c>
      <c r="D70" s="555">
        <v>0</v>
      </c>
      <c r="E70" s="569" t="s">
        <v>3908</v>
      </c>
      <c r="F70" s="569" t="s">
        <v>3785</v>
      </c>
      <c r="G70" s="570">
        <v>44844</v>
      </c>
      <c r="H70" s="571" t="s">
        <v>3869</v>
      </c>
      <c r="I70" s="501">
        <v>3095</v>
      </c>
      <c r="J70" s="501"/>
      <c r="K70" s="501"/>
      <c r="L70" s="659">
        <f t="shared" si="1"/>
        <v>3095</v>
      </c>
      <c r="M70" s="501"/>
      <c r="N70" s="572" t="s">
        <v>3909</v>
      </c>
      <c r="O70" s="122" t="s">
        <v>3759</v>
      </c>
    </row>
    <row r="71" spans="1:15">
      <c r="A71" s="10" t="s">
        <v>4976</v>
      </c>
      <c r="B71" s="34" t="s">
        <v>3748</v>
      </c>
      <c r="C71" s="10" t="s">
        <v>2171</v>
      </c>
      <c r="D71" s="11">
        <v>1</v>
      </c>
      <c r="E71" s="11" t="s">
        <v>3887</v>
      </c>
      <c r="F71" s="11" t="s">
        <v>3750</v>
      </c>
      <c r="G71" s="11"/>
      <c r="H71" s="161"/>
      <c r="I71" s="639"/>
      <c r="J71" s="648"/>
      <c r="K71" s="639"/>
      <c r="L71" s="522">
        <f t="shared" si="1"/>
        <v>0</v>
      </c>
      <c r="M71" s="138"/>
      <c r="N71" s="22"/>
      <c r="O71" s="22" t="s">
        <v>3754</v>
      </c>
    </row>
    <row r="72" spans="1:15">
      <c r="A72" s="10" t="s">
        <v>5197</v>
      </c>
      <c r="B72" s="34" t="s">
        <v>5198</v>
      </c>
      <c r="C72" s="10" t="s">
        <v>5199</v>
      </c>
      <c r="D72" s="11">
        <v>1</v>
      </c>
      <c r="E72" s="11" t="s">
        <v>5200</v>
      </c>
      <c r="F72" s="11" t="s">
        <v>3750</v>
      </c>
      <c r="G72" s="129"/>
      <c r="H72" s="161"/>
      <c r="I72" s="638"/>
      <c r="J72" s="638"/>
      <c r="K72" s="638"/>
      <c r="L72" s="522">
        <f t="shared" si="1"/>
        <v>0</v>
      </c>
      <c r="M72" s="142"/>
      <c r="N72" s="22"/>
      <c r="O72" s="29" t="s">
        <v>3754</v>
      </c>
    </row>
    <row r="73" spans="1:15" hidden="1">
      <c r="A73" s="553" t="s">
        <v>3917</v>
      </c>
      <c r="B73" s="554">
        <v>12403</v>
      </c>
      <c r="C73" s="329" t="s">
        <v>3918</v>
      </c>
      <c r="D73" s="555">
        <v>0</v>
      </c>
      <c r="E73" s="565" t="s">
        <v>3919</v>
      </c>
      <c r="F73" s="565"/>
      <c r="G73" s="565"/>
      <c r="H73" s="573"/>
      <c r="I73" s="498"/>
      <c r="J73" s="527"/>
      <c r="K73" s="498"/>
      <c r="L73" s="498">
        <f t="shared" si="1"/>
        <v>0</v>
      </c>
      <c r="M73" s="498"/>
      <c r="N73" s="107" t="s">
        <v>3758</v>
      </c>
      <c r="O73" s="108" t="s">
        <v>3759</v>
      </c>
    </row>
    <row r="74" spans="1:15" hidden="1">
      <c r="A74" s="105" t="s">
        <v>3920</v>
      </c>
      <c r="B74" s="13" t="s">
        <v>3921</v>
      </c>
      <c r="C74" s="10" t="s">
        <v>3918</v>
      </c>
      <c r="D74" s="111">
        <v>0</v>
      </c>
      <c r="E74" s="7" t="s">
        <v>3922</v>
      </c>
      <c r="F74" s="7" t="s">
        <v>3763</v>
      </c>
      <c r="G74" s="46">
        <v>45589</v>
      </c>
      <c r="H74" s="119" t="s">
        <v>3923</v>
      </c>
      <c r="I74" s="160">
        <v>11100</v>
      </c>
      <c r="J74" s="471"/>
      <c r="K74" s="160"/>
      <c r="L74" s="160">
        <f t="shared" si="1"/>
        <v>11100</v>
      </c>
      <c r="M74" s="160"/>
      <c r="N74" s="22" t="s">
        <v>3758</v>
      </c>
      <c r="O74" s="106" t="s">
        <v>3759</v>
      </c>
    </row>
    <row r="75" spans="1:15" hidden="1">
      <c r="A75" s="105" t="s">
        <v>3924</v>
      </c>
      <c r="B75" s="8" t="s">
        <v>3925</v>
      </c>
      <c r="C75" s="10" t="s">
        <v>3926</v>
      </c>
      <c r="D75" s="111">
        <v>0</v>
      </c>
      <c r="E75" s="46" t="s">
        <v>3927</v>
      </c>
      <c r="F75" s="46"/>
      <c r="G75" s="46"/>
      <c r="H75" s="171"/>
      <c r="I75" s="137"/>
      <c r="J75" s="487"/>
      <c r="K75" s="137"/>
      <c r="L75" s="137">
        <f t="shared" si="1"/>
        <v>0</v>
      </c>
      <c r="M75" s="137"/>
      <c r="N75" s="22" t="s">
        <v>3758</v>
      </c>
      <c r="O75" s="106" t="s">
        <v>3759</v>
      </c>
    </row>
    <row r="76" spans="1:15" hidden="1">
      <c r="A76" s="105" t="s">
        <v>3883</v>
      </c>
      <c r="B76" s="8" t="s">
        <v>3928</v>
      </c>
      <c r="C76" s="10" t="s">
        <v>3929</v>
      </c>
      <c r="D76" s="111">
        <v>0</v>
      </c>
      <c r="E76" s="9" t="s">
        <v>3886</v>
      </c>
      <c r="F76" s="9" t="s">
        <v>3785</v>
      </c>
      <c r="G76" s="46">
        <v>45432</v>
      </c>
      <c r="H76" s="161" t="s">
        <v>3930</v>
      </c>
      <c r="I76" s="141">
        <v>950</v>
      </c>
      <c r="J76" s="141"/>
      <c r="K76" s="141"/>
      <c r="L76" s="2">
        <f t="shared" si="1"/>
        <v>950</v>
      </c>
      <c r="M76" s="141"/>
      <c r="N76" s="22" t="s">
        <v>3758</v>
      </c>
      <c r="O76" s="106" t="s">
        <v>3759</v>
      </c>
    </row>
    <row r="77" spans="1:15" hidden="1">
      <c r="A77" s="105" t="s">
        <v>3931</v>
      </c>
      <c r="B77" s="8">
        <v>23304</v>
      </c>
      <c r="C77" s="10" t="s">
        <v>3932</v>
      </c>
      <c r="D77" s="111">
        <v>0</v>
      </c>
      <c r="E77" s="9" t="s">
        <v>3933</v>
      </c>
      <c r="F77" s="9" t="s">
        <v>3763</v>
      </c>
      <c r="G77" s="46">
        <v>44770</v>
      </c>
      <c r="H77" s="119" t="s">
        <v>3934</v>
      </c>
      <c r="I77" s="137"/>
      <c r="J77" s="487"/>
      <c r="K77" s="137"/>
      <c r="L77" s="137">
        <f t="shared" si="1"/>
        <v>0</v>
      </c>
      <c r="M77" s="137"/>
      <c r="N77" s="22" t="s">
        <v>3758</v>
      </c>
      <c r="O77" s="106" t="s">
        <v>3759</v>
      </c>
    </row>
    <row r="78" spans="1:15" hidden="1">
      <c r="A78" s="105" t="s">
        <v>3935</v>
      </c>
      <c r="B78" s="8">
        <v>2006701</v>
      </c>
      <c r="C78" s="10" t="s">
        <v>3936</v>
      </c>
      <c r="D78" s="111">
        <v>0</v>
      </c>
      <c r="E78" s="9" t="s">
        <v>3937</v>
      </c>
      <c r="F78" s="9"/>
      <c r="G78" s="9"/>
      <c r="H78" s="119"/>
      <c r="I78" s="138"/>
      <c r="J78" s="471"/>
      <c r="K78" s="138"/>
      <c r="L78" s="138">
        <f t="shared" si="1"/>
        <v>0</v>
      </c>
      <c r="M78" s="138"/>
      <c r="N78" s="22" t="s">
        <v>3758</v>
      </c>
      <c r="O78" s="106" t="s">
        <v>3759</v>
      </c>
    </row>
    <row r="79" spans="1:15" hidden="1">
      <c r="A79" s="105" t="s">
        <v>3935</v>
      </c>
      <c r="B79" s="8" t="s">
        <v>3938</v>
      </c>
      <c r="C79" s="10" t="s">
        <v>3939</v>
      </c>
      <c r="D79" s="111">
        <v>0</v>
      </c>
      <c r="E79" s="9" t="s">
        <v>3891</v>
      </c>
      <c r="F79" s="9"/>
      <c r="G79" s="9"/>
      <c r="H79" s="119"/>
      <c r="I79" s="138"/>
      <c r="J79" s="471"/>
      <c r="K79" s="138"/>
      <c r="L79" s="138">
        <f t="shared" si="1"/>
        <v>0</v>
      </c>
      <c r="M79" s="138"/>
      <c r="N79" s="22" t="s">
        <v>3940</v>
      </c>
      <c r="O79" s="106" t="s">
        <v>3759</v>
      </c>
    </row>
    <row r="80" spans="1:15" hidden="1">
      <c r="A80" s="109" t="s">
        <v>3883</v>
      </c>
      <c r="B80" s="110" t="s">
        <v>3941</v>
      </c>
      <c r="C80" s="44" t="s">
        <v>3890</v>
      </c>
      <c r="D80" s="111">
        <v>0</v>
      </c>
      <c r="E80" s="111" t="s">
        <v>3886</v>
      </c>
      <c r="F80" s="111" t="s">
        <v>3798</v>
      </c>
      <c r="G80" s="114">
        <v>45452</v>
      </c>
      <c r="H80" s="170" t="s">
        <v>3819</v>
      </c>
      <c r="I80" s="264">
        <v>250</v>
      </c>
      <c r="J80" s="264"/>
      <c r="K80" s="264"/>
      <c r="L80" s="658">
        <f t="shared" si="1"/>
        <v>250</v>
      </c>
      <c r="M80" s="264"/>
      <c r="N80" s="112" t="s">
        <v>3758</v>
      </c>
      <c r="O80" s="113" t="s">
        <v>3759</v>
      </c>
    </row>
    <row r="81" spans="1:15">
      <c r="A81" s="10" t="s">
        <v>5197</v>
      </c>
      <c r="B81" s="34" t="s">
        <v>5201</v>
      </c>
      <c r="C81" s="10" t="s">
        <v>5199</v>
      </c>
      <c r="D81" s="11">
        <v>1</v>
      </c>
      <c r="E81" s="11" t="s">
        <v>5200</v>
      </c>
      <c r="F81" s="11" t="s">
        <v>3750</v>
      </c>
      <c r="G81" s="129"/>
      <c r="H81" s="161"/>
      <c r="I81" s="638"/>
      <c r="J81" s="638"/>
      <c r="K81" s="638"/>
      <c r="L81" s="522">
        <f t="shared" si="1"/>
        <v>0</v>
      </c>
      <c r="M81" s="142"/>
      <c r="N81" s="22"/>
      <c r="O81" s="29" t="s">
        <v>3754</v>
      </c>
    </row>
    <row r="82" spans="1:15" hidden="1">
      <c r="A82" s="553" t="s">
        <v>3945</v>
      </c>
      <c r="B82" s="554" t="s">
        <v>3946</v>
      </c>
      <c r="C82" s="329" t="s">
        <v>3947</v>
      </c>
      <c r="D82" s="555">
        <v>0</v>
      </c>
      <c r="E82" s="556" t="s">
        <v>3948</v>
      </c>
      <c r="F82" s="556"/>
      <c r="G82" s="556"/>
      <c r="H82" s="557"/>
      <c r="I82" s="494"/>
      <c r="J82" s="670"/>
      <c r="K82" s="494"/>
      <c r="L82" s="494">
        <f t="shared" si="1"/>
        <v>0</v>
      </c>
      <c r="M82" s="494"/>
      <c r="N82" s="107" t="s">
        <v>3758</v>
      </c>
      <c r="O82" s="108" t="s">
        <v>3759</v>
      </c>
    </row>
    <row r="83" spans="1:15" hidden="1">
      <c r="A83" s="105" t="s">
        <v>3945</v>
      </c>
      <c r="B83" s="8" t="s">
        <v>3949</v>
      </c>
      <c r="C83" s="10" t="s">
        <v>3947</v>
      </c>
      <c r="D83" s="111">
        <v>0</v>
      </c>
      <c r="E83" s="46" t="s">
        <v>3950</v>
      </c>
      <c r="F83" s="9" t="s">
        <v>3763</v>
      </c>
      <c r="G83" s="46">
        <v>45567</v>
      </c>
      <c r="H83" s="119" t="s">
        <v>3951</v>
      </c>
      <c r="I83" s="143"/>
      <c r="J83" s="669"/>
      <c r="K83" s="143"/>
      <c r="L83" s="143">
        <f t="shared" si="1"/>
        <v>0</v>
      </c>
      <c r="M83" s="143"/>
      <c r="N83" s="22" t="s">
        <v>3758</v>
      </c>
      <c r="O83" s="106" t="s">
        <v>3759</v>
      </c>
    </row>
    <row r="84" spans="1:15" hidden="1">
      <c r="A84" s="105" t="s">
        <v>3952</v>
      </c>
      <c r="B84" s="8" t="s">
        <v>3953</v>
      </c>
      <c r="C84" s="10" t="s">
        <v>3954</v>
      </c>
      <c r="D84" s="111">
        <v>0</v>
      </c>
      <c r="E84" s="9" t="s">
        <v>3955</v>
      </c>
      <c r="F84" s="9"/>
      <c r="G84" s="9"/>
      <c r="H84" s="119"/>
      <c r="I84" s="138"/>
      <c r="J84" s="471"/>
      <c r="K84" s="138"/>
      <c r="L84" s="138">
        <f t="shared" si="1"/>
        <v>0</v>
      </c>
      <c r="M84" s="138"/>
      <c r="N84" s="22" t="s">
        <v>3758</v>
      </c>
      <c r="O84" s="106" t="s">
        <v>3759</v>
      </c>
    </row>
    <row r="85" spans="1:15" hidden="1">
      <c r="A85" s="105" t="s">
        <v>3956</v>
      </c>
      <c r="B85" s="8">
        <v>1210</v>
      </c>
      <c r="C85" s="10" t="s">
        <v>692</v>
      </c>
      <c r="D85" s="111">
        <v>0</v>
      </c>
      <c r="E85" s="9" t="s">
        <v>3957</v>
      </c>
      <c r="F85" s="9"/>
      <c r="G85" s="9"/>
      <c r="H85" s="119"/>
      <c r="I85" s="138"/>
      <c r="J85" s="471"/>
      <c r="K85" s="138"/>
      <c r="L85" s="138">
        <f t="shared" si="1"/>
        <v>0</v>
      </c>
      <c r="M85" s="138"/>
      <c r="N85" s="22" t="s">
        <v>3758</v>
      </c>
      <c r="O85" s="106" t="s">
        <v>3759</v>
      </c>
    </row>
    <row r="86" spans="1:15" hidden="1">
      <c r="A86" s="105" t="s">
        <v>3956</v>
      </c>
      <c r="B86" s="8">
        <v>1253</v>
      </c>
      <c r="C86" s="10" t="s">
        <v>692</v>
      </c>
      <c r="D86" s="111">
        <v>0</v>
      </c>
      <c r="E86" s="9" t="s">
        <v>3958</v>
      </c>
      <c r="F86" s="9"/>
      <c r="G86" s="9"/>
      <c r="H86" s="119"/>
      <c r="I86" s="138"/>
      <c r="J86" s="471"/>
      <c r="K86" s="138"/>
      <c r="L86" s="138">
        <f t="shared" si="1"/>
        <v>0</v>
      </c>
      <c r="M86" s="138"/>
      <c r="N86" s="12" t="s">
        <v>3758</v>
      </c>
      <c r="O86" s="106" t="s">
        <v>3759</v>
      </c>
    </row>
    <row r="87" spans="1:15" hidden="1">
      <c r="A87" s="109" t="s">
        <v>3959</v>
      </c>
      <c r="B87" s="110">
        <v>176417</v>
      </c>
      <c r="C87" s="44" t="s">
        <v>2264</v>
      </c>
      <c r="D87" s="111">
        <v>0</v>
      </c>
      <c r="E87" s="111" t="s">
        <v>3960</v>
      </c>
      <c r="F87" s="111"/>
      <c r="G87" s="111"/>
      <c r="H87" s="170"/>
      <c r="I87" s="478"/>
      <c r="J87" s="524"/>
      <c r="K87" s="478"/>
      <c r="L87" s="478">
        <f t="shared" si="1"/>
        <v>0</v>
      </c>
      <c r="M87" s="478"/>
      <c r="N87" s="144" t="s">
        <v>3961</v>
      </c>
      <c r="O87" s="113" t="s">
        <v>3759</v>
      </c>
    </row>
    <row r="88" spans="1:15">
      <c r="A88" s="10" t="s">
        <v>5227</v>
      </c>
      <c r="B88" s="34" t="s">
        <v>5228</v>
      </c>
      <c r="C88" s="10" t="s">
        <v>5229</v>
      </c>
      <c r="D88" s="11">
        <v>1</v>
      </c>
      <c r="E88" s="11" t="s">
        <v>4325</v>
      </c>
      <c r="F88" s="11" t="s">
        <v>3750</v>
      </c>
      <c r="G88" s="11"/>
      <c r="H88" s="161"/>
      <c r="I88" s="638"/>
      <c r="J88" s="638"/>
      <c r="K88" s="638"/>
      <c r="L88" s="522">
        <f t="shared" si="1"/>
        <v>0</v>
      </c>
      <c r="M88" s="142"/>
      <c r="N88" s="22"/>
      <c r="O88" s="22" t="s">
        <v>3754</v>
      </c>
    </row>
    <row r="89" spans="1:15">
      <c r="A89" s="10" t="s">
        <v>5360</v>
      </c>
      <c r="B89" s="34" t="s">
        <v>3748</v>
      </c>
      <c r="C89" s="10" t="s">
        <v>83</v>
      </c>
      <c r="D89" s="11">
        <v>1</v>
      </c>
      <c r="E89" s="11" t="s">
        <v>5361</v>
      </c>
      <c r="F89" s="11" t="s">
        <v>3750</v>
      </c>
      <c r="G89" s="11"/>
      <c r="H89" s="161"/>
      <c r="I89" s="634"/>
      <c r="J89" s="634"/>
      <c r="K89" s="634"/>
      <c r="L89" s="522">
        <f t="shared" si="1"/>
        <v>0</v>
      </c>
      <c r="M89" s="141"/>
      <c r="N89" s="22"/>
      <c r="O89" s="22" t="s">
        <v>3754</v>
      </c>
    </row>
    <row r="90" spans="1:15">
      <c r="A90" s="10" t="s">
        <v>5426</v>
      </c>
      <c r="B90" s="34" t="s">
        <v>3748</v>
      </c>
      <c r="C90" s="10" t="s">
        <v>1476</v>
      </c>
      <c r="D90" s="11">
        <v>1</v>
      </c>
      <c r="E90" s="129" t="s">
        <v>4158</v>
      </c>
      <c r="F90" s="11" t="s">
        <v>3750</v>
      </c>
      <c r="G90" s="129"/>
      <c r="H90" s="211"/>
      <c r="I90" s="636"/>
      <c r="J90" s="638"/>
      <c r="K90" s="636"/>
      <c r="L90" s="522">
        <f t="shared" si="1"/>
        <v>0</v>
      </c>
      <c r="M90" s="140"/>
      <c r="N90" s="22"/>
      <c r="O90" s="22" t="s">
        <v>3754</v>
      </c>
    </row>
    <row r="91" spans="1:15">
      <c r="A91" s="10" t="s">
        <v>5433</v>
      </c>
      <c r="B91" s="34" t="s">
        <v>3748</v>
      </c>
      <c r="C91" s="10" t="s">
        <v>147</v>
      </c>
      <c r="D91" s="11">
        <v>4</v>
      </c>
      <c r="E91" s="11" t="s">
        <v>5361</v>
      </c>
      <c r="F91" s="11" t="s">
        <v>3750</v>
      </c>
      <c r="G91" s="11"/>
      <c r="H91" s="161"/>
      <c r="I91" s="634"/>
      <c r="J91" s="634"/>
      <c r="K91" s="634"/>
      <c r="L91" s="522">
        <f t="shared" si="1"/>
        <v>0</v>
      </c>
      <c r="M91" s="141"/>
      <c r="N91" s="22"/>
      <c r="O91" s="22" t="s">
        <v>3754</v>
      </c>
    </row>
    <row r="92" spans="1:15">
      <c r="A92" s="10" t="s">
        <v>5453</v>
      </c>
      <c r="B92" s="34" t="s">
        <v>3748</v>
      </c>
      <c r="C92" s="10" t="s">
        <v>707</v>
      </c>
      <c r="D92" s="11">
        <v>1</v>
      </c>
      <c r="E92" s="11" t="s">
        <v>4068</v>
      </c>
      <c r="F92" s="11" t="s">
        <v>3750</v>
      </c>
      <c r="G92" s="11"/>
      <c r="H92" s="161"/>
      <c r="I92" s="634"/>
      <c r="J92" s="634"/>
      <c r="K92" s="634"/>
      <c r="L92" s="522">
        <f t="shared" si="1"/>
        <v>0</v>
      </c>
      <c r="M92" s="141"/>
      <c r="N92" s="22"/>
      <c r="O92" s="22" t="s">
        <v>3754</v>
      </c>
    </row>
    <row r="93" spans="1:15" hidden="1">
      <c r="A93" s="553" t="s">
        <v>3975</v>
      </c>
      <c r="B93" s="554" t="s">
        <v>3976</v>
      </c>
      <c r="C93" s="329" t="s">
        <v>3977</v>
      </c>
      <c r="D93" s="555">
        <v>0</v>
      </c>
      <c r="E93" s="556" t="s">
        <v>3978</v>
      </c>
      <c r="F93" s="556"/>
      <c r="G93" s="556"/>
      <c r="H93" s="557"/>
      <c r="I93" s="498"/>
      <c r="J93" s="527"/>
      <c r="K93" s="498"/>
      <c r="L93" s="498">
        <f t="shared" si="1"/>
        <v>0</v>
      </c>
      <c r="M93" s="498"/>
      <c r="N93" s="107" t="s">
        <v>3758</v>
      </c>
      <c r="O93" s="108" t="s">
        <v>3759</v>
      </c>
    </row>
    <row r="94" spans="1:15" hidden="1">
      <c r="A94" s="109" t="s">
        <v>3975</v>
      </c>
      <c r="B94" s="110" t="s">
        <v>3979</v>
      </c>
      <c r="C94" s="44" t="s">
        <v>3980</v>
      </c>
      <c r="D94" s="111">
        <v>0</v>
      </c>
      <c r="E94" s="111" t="s">
        <v>3981</v>
      </c>
      <c r="F94" s="111" t="s">
        <v>3785</v>
      </c>
      <c r="G94" s="114">
        <v>45436</v>
      </c>
      <c r="H94" s="170" t="s">
        <v>3799</v>
      </c>
      <c r="I94" s="264">
        <v>1515</v>
      </c>
      <c r="J94" s="264"/>
      <c r="K94" s="264"/>
      <c r="L94" s="658">
        <f t="shared" si="1"/>
        <v>1515</v>
      </c>
      <c r="M94" s="264"/>
      <c r="N94" s="112" t="s">
        <v>3758</v>
      </c>
      <c r="O94" s="113" t="s">
        <v>3759</v>
      </c>
    </row>
    <row r="95" spans="1:15">
      <c r="A95" s="10" t="s">
        <v>5524</v>
      </c>
      <c r="B95" s="34" t="s">
        <v>5525</v>
      </c>
      <c r="C95" s="10" t="s">
        <v>5526</v>
      </c>
      <c r="D95" s="11">
        <v>1</v>
      </c>
      <c r="E95" s="11" t="s">
        <v>3753</v>
      </c>
      <c r="F95" s="11" t="s">
        <v>3750</v>
      </c>
      <c r="G95" s="11"/>
      <c r="H95" s="161"/>
      <c r="I95" s="636"/>
      <c r="J95" s="638"/>
      <c r="K95" s="636"/>
      <c r="L95" s="522">
        <f t="shared" si="1"/>
        <v>0</v>
      </c>
      <c r="M95" s="140"/>
      <c r="N95" s="12"/>
      <c r="O95" s="12" t="s">
        <v>3754</v>
      </c>
    </row>
    <row r="96" spans="1:15">
      <c r="A96" s="10" t="s">
        <v>5524</v>
      </c>
      <c r="B96" s="34" t="s">
        <v>5528</v>
      </c>
      <c r="C96" s="10" t="s">
        <v>5526</v>
      </c>
      <c r="D96" s="11">
        <v>1</v>
      </c>
      <c r="E96" s="11" t="s">
        <v>4950</v>
      </c>
      <c r="F96" s="288" t="s">
        <v>3750</v>
      </c>
      <c r="G96" s="11"/>
      <c r="H96" s="161"/>
      <c r="I96" s="638"/>
      <c r="J96" s="638"/>
      <c r="K96" s="638"/>
      <c r="L96" s="522">
        <f t="shared" si="1"/>
        <v>0</v>
      </c>
      <c r="M96" s="142"/>
      <c r="N96" s="22"/>
      <c r="O96" s="22" t="s">
        <v>3754</v>
      </c>
    </row>
    <row r="97" spans="1:15">
      <c r="A97" s="10" t="s">
        <v>2022</v>
      </c>
      <c r="B97" s="34" t="s">
        <v>3748</v>
      </c>
      <c r="C97" s="10" t="s">
        <v>5529</v>
      </c>
      <c r="D97" s="11">
        <v>1</v>
      </c>
      <c r="E97" s="11" t="s">
        <v>5530</v>
      </c>
      <c r="F97" s="11" t="s">
        <v>3750</v>
      </c>
      <c r="G97" s="11"/>
      <c r="H97" s="161"/>
      <c r="I97" s="634"/>
      <c r="J97" s="634"/>
      <c r="K97" s="634"/>
      <c r="L97" s="522">
        <f t="shared" si="1"/>
        <v>0</v>
      </c>
      <c r="M97" s="141"/>
      <c r="N97" s="22"/>
      <c r="O97" s="22" t="s">
        <v>3754</v>
      </c>
    </row>
    <row r="98" spans="1:15">
      <c r="A98" s="10" t="s">
        <v>5608</v>
      </c>
      <c r="B98" s="34" t="s">
        <v>5609</v>
      </c>
      <c r="C98" s="10" t="s">
        <v>707</v>
      </c>
      <c r="D98" s="11">
        <v>1</v>
      </c>
      <c r="E98" s="11" t="s">
        <v>3903</v>
      </c>
      <c r="F98" s="11" t="s">
        <v>3750</v>
      </c>
      <c r="G98" s="11"/>
      <c r="H98" s="161"/>
      <c r="I98" s="638"/>
      <c r="J98" s="638"/>
      <c r="K98" s="638"/>
      <c r="L98" s="522">
        <f t="shared" si="1"/>
        <v>0</v>
      </c>
      <c r="M98" s="142"/>
      <c r="N98" s="12"/>
      <c r="O98" s="12" t="s">
        <v>3754</v>
      </c>
    </row>
    <row r="99" spans="1:15">
      <c r="A99" s="10" t="s">
        <v>5616</v>
      </c>
      <c r="B99" s="34" t="s">
        <v>3748</v>
      </c>
      <c r="C99" s="10" t="s">
        <v>350</v>
      </c>
      <c r="D99" s="11">
        <v>1</v>
      </c>
      <c r="E99" s="11" t="s">
        <v>5530</v>
      </c>
      <c r="F99" s="11" t="s">
        <v>3750</v>
      </c>
      <c r="G99" s="11"/>
      <c r="H99" s="161"/>
      <c r="I99" s="634"/>
      <c r="J99" s="634"/>
      <c r="K99" s="634"/>
      <c r="L99" s="522">
        <f t="shared" si="1"/>
        <v>0</v>
      </c>
      <c r="M99" s="141"/>
      <c r="N99" s="22"/>
      <c r="O99" s="22" t="s">
        <v>3754</v>
      </c>
    </row>
    <row r="100" spans="1:15" hidden="1">
      <c r="A100" s="256" t="s">
        <v>3995</v>
      </c>
      <c r="B100" s="558">
        <v>941</v>
      </c>
      <c r="C100" s="260" t="s">
        <v>3996</v>
      </c>
      <c r="D100" s="555">
        <v>0</v>
      </c>
      <c r="E100" s="555" t="s">
        <v>3997</v>
      </c>
      <c r="F100" s="555"/>
      <c r="G100" s="555"/>
      <c r="H100" s="475"/>
      <c r="I100" s="169"/>
      <c r="J100" s="668"/>
      <c r="K100" s="169"/>
      <c r="L100" s="169">
        <f t="shared" si="1"/>
        <v>0</v>
      </c>
      <c r="M100" s="169"/>
      <c r="N100" s="121" t="s">
        <v>3940</v>
      </c>
      <c r="O100" s="122" t="s">
        <v>3759</v>
      </c>
    </row>
    <row r="101" spans="1:15">
      <c r="A101" s="10" t="s">
        <v>5632</v>
      </c>
      <c r="B101" s="34" t="s">
        <v>3748</v>
      </c>
      <c r="C101" s="10" t="s">
        <v>5633</v>
      </c>
      <c r="D101" s="11">
        <v>5</v>
      </c>
      <c r="E101" s="11" t="s">
        <v>5634</v>
      </c>
      <c r="F101" s="11" t="s">
        <v>3750</v>
      </c>
      <c r="G101" s="11"/>
      <c r="H101" s="161"/>
      <c r="I101" s="634"/>
      <c r="J101" s="634"/>
      <c r="K101" s="634"/>
      <c r="L101" s="522">
        <f t="shared" si="1"/>
        <v>0</v>
      </c>
      <c r="M101" s="141"/>
      <c r="N101" s="22"/>
      <c r="O101" s="22" t="s">
        <v>3754</v>
      </c>
    </row>
    <row r="102" spans="1:15" hidden="1">
      <c r="A102" s="553" t="s">
        <v>3999</v>
      </c>
      <c r="B102" s="554" t="s">
        <v>4000</v>
      </c>
      <c r="C102" s="329" t="s">
        <v>207</v>
      </c>
      <c r="D102" s="555">
        <v>0</v>
      </c>
      <c r="E102" s="556" t="s">
        <v>3762</v>
      </c>
      <c r="F102" s="556" t="s">
        <v>3763</v>
      </c>
      <c r="G102" s="565">
        <v>45175</v>
      </c>
      <c r="H102" s="557" t="s">
        <v>3768</v>
      </c>
      <c r="I102" s="498"/>
      <c r="J102" s="527"/>
      <c r="K102" s="498"/>
      <c r="L102" s="498">
        <f t="shared" si="1"/>
        <v>0</v>
      </c>
      <c r="M102" s="498"/>
      <c r="N102" s="40" t="s">
        <v>3758</v>
      </c>
      <c r="O102" s="120" t="s">
        <v>3759</v>
      </c>
    </row>
    <row r="103" spans="1:15" hidden="1">
      <c r="A103" s="105" t="s">
        <v>4001</v>
      </c>
      <c r="B103" s="8">
        <v>86318110</v>
      </c>
      <c r="C103" s="10" t="s">
        <v>3775</v>
      </c>
      <c r="D103" s="111">
        <v>0</v>
      </c>
      <c r="E103" s="9" t="s">
        <v>4002</v>
      </c>
      <c r="F103" s="9" t="s">
        <v>3785</v>
      </c>
      <c r="G103" s="46">
        <v>45064</v>
      </c>
      <c r="H103" s="119" t="s">
        <v>3768</v>
      </c>
      <c r="I103" s="141">
        <v>750</v>
      </c>
      <c r="J103" s="141"/>
      <c r="K103" s="141"/>
      <c r="L103" s="2">
        <f t="shared" si="1"/>
        <v>750</v>
      </c>
      <c r="M103" s="141"/>
      <c r="N103" s="22" t="s">
        <v>3758</v>
      </c>
      <c r="O103" s="106" t="s">
        <v>3759</v>
      </c>
    </row>
    <row r="104" spans="1:15" hidden="1">
      <c r="A104" s="109" t="s">
        <v>3975</v>
      </c>
      <c r="B104" s="463" t="s">
        <v>4003</v>
      </c>
      <c r="C104" s="44" t="s">
        <v>4004</v>
      </c>
      <c r="D104" s="111">
        <v>0</v>
      </c>
      <c r="E104" s="45" t="s">
        <v>4005</v>
      </c>
      <c r="F104" s="45" t="s">
        <v>3785</v>
      </c>
      <c r="G104" s="114">
        <v>45548</v>
      </c>
      <c r="H104" s="170" t="s">
        <v>3799</v>
      </c>
      <c r="I104" s="514">
        <v>2900</v>
      </c>
      <c r="J104" s="514"/>
      <c r="K104" s="488"/>
      <c r="L104" s="515">
        <f t="shared" si="1"/>
        <v>2900</v>
      </c>
      <c r="M104" s="488"/>
      <c r="N104" s="112" t="s">
        <v>3758</v>
      </c>
      <c r="O104" s="113" t="s">
        <v>3759</v>
      </c>
    </row>
    <row r="105" spans="1:15">
      <c r="A105" s="10" t="s">
        <v>5635</v>
      </c>
      <c r="B105" s="34">
        <v>3251</v>
      </c>
      <c r="C105" s="10" t="s">
        <v>5636</v>
      </c>
      <c r="D105" s="11">
        <v>1</v>
      </c>
      <c r="E105" s="11" t="s">
        <v>5637</v>
      </c>
      <c r="F105" s="11" t="s">
        <v>3750</v>
      </c>
      <c r="G105" s="11"/>
      <c r="H105" s="161"/>
      <c r="I105" s="638"/>
      <c r="J105" s="638"/>
      <c r="K105" s="638"/>
      <c r="L105" s="522">
        <f t="shared" si="1"/>
        <v>0</v>
      </c>
      <c r="M105" s="142"/>
      <c r="N105" s="22"/>
      <c r="O105" s="22" t="s">
        <v>3754</v>
      </c>
    </row>
    <row r="106" spans="1:15" hidden="1">
      <c r="A106" s="553" t="s">
        <v>4010</v>
      </c>
      <c r="B106" s="554" t="s">
        <v>4011</v>
      </c>
      <c r="C106" s="329" t="s">
        <v>3871</v>
      </c>
      <c r="D106" s="555">
        <v>0</v>
      </c>
      <c r="E106" s="556" t="s">
        <v>3836</v>
      </c>
      <c r="F106" s="556"/>
      <c r="G106" s="556"/>
      <c r="H106" s="557"/>
      <c r="I106" s="498"/>
      <c r="J106" s="527"/>
      <c r="K106" s="498"/>
      <c r="L106" s="498">
        <f t="shared" si="1"/>
        <v>0</v>
      </c>
      <c r="M106" s="498"/>
      <c r="N106" s="107" t="s">
        <v>3758</v>
      </c>
      <c r="O106" s="108" t="s">
        <v>3759</v>
      </c>
    </row>
    <row r="107" spans="1:15" hidden="1">
      <c r="A107" s="105" t="s">
        <v>4012</v>
      </c>
      <c r="B107" s="13" t="s">
        <v>4013</v>
      </c>
      <c r="C107" s="10" t="s">
        <v>4014</v>
      </c>
      <c r="D107" s="111">
        <v>0</v>
      </c>
      <c r="E107" s="46" t="s">
        <v>3771</v>
      </c>
      <c r="F107" s="46" t="s">
        <v>3785</v>
      </c>
      <c r="G107" s="46">
        <v>45394</v>
      </c>
      <c r="H107" s="171" t="s">
        <v>4015</v>
      </c>
      <c r="I107" s="141">
        <v>750</v>
      </c>
      <c r="J107" s="141"/>
      <c r="K107" s="141"/>
      <c r="L107" s="2">
        <f t="shared" si="1"/>
        <v>750</v>
      </c>
      <c r="M107" s="141"/>
      <c r="N107" s="22" t="s">
        <v>3758</v>
      </c>
      <c r="O107" s="106" t="s">
        <v>3759</v>
      </c>
    </row>
    <row r="108" spans="1:15" hidden="1">
      <c r="A108" s="105" t="s">
        <v>4016</v>
      </c>
      <c r="B108" s="8">
        <v>16270</v>
      </c>
      <c r="C108" s="10" t="s">
        <v>418</v>
      </c>
      <c r="D108" s="111">
        <v>0</v>
      </c>
      <c r="E108" s="9" t="s">
        <v>4017</v>
      </c>
      <c r="F108" s="9" t="s">
        <v>3798</v>
      </c>
      <c r="G108" s="46">
        <v>45268</v>
      </c>
      <c r="H108" s="119" t="s">
        <v>4009</v>
      </c>
      <c r="I108" s="141">
        <v>225</v>
      </c>
      <c r="J108" s="141"/>
      <c r="K108" s="141"/>
      <c r="L108" s="2">
        <f t="shared" si="1"/>
        <v>225</v>
      </c>
      <c r="M108" s="141"/>
      <c r="N108" s="22" t="s">
        <v>3758</v>
      </c>
      <c r="O108" s="106" t="s">
        <v>3759</v>
      </c>
    </row>
    <row r="109" spans="1:15" hidden="1">
      <c r="A109" s="109" t="s">
        <v>4018</v>
      </c>
      <c r="B109" s="110">
        <v>4293</v>
      </c>
      <c r="C109" s="44" t="s">
        <v>4019</v>
      </c>
      <c r="D109" s="111">
        <v>0</v>
      </c>
      <c r="E109" s="111" t="s">
        <v>3836</v>
      </c>
      <c r="F109" s="111" t="s">
        <v>3785</v>
      </c>
      <c r="G109" s="111"/>
      <c r="H109" s="170"/>
      <c r="I109" s="478"/>
      <c r="J109" s="524"/>
      <c r="K109" s="478"/>
      <c r="L109" s="478">
        <f t="shared" si="1"/>
        <v>0</v>
      </c>
      <c r="M109" s="478"/>
      <c r="N109" s="112" t="s">
        <v>3758</v>
      </c>
      <c r="O109" s="113" t="s">
        <v>3759</v>
      </c>
    </row>
    <row r="110" spans="1:15">
      <c r="A110" s="10" t="s">
        <v>5638</v>
      </c>
      <c r="B110" s="34" t="s">
        <v>5639</v>
      </c>
      <c r="C110" s="10" t="s">
        <v>5640</v>
      </c>
      <c r="D110" s="11">
        <v>1</v>
      </c>
      <c r="E110" s="11" t="s">
        <v>5641</v>
      </c>
      <c r="F110" s="11" t="s">
        <v>3750</v>
      </c>
      <c r="G110" s="11"/>
      <c r="H110" s="161"/>
      <c r="I110" s="634"/>
      <c r="J110" s="634"/>
      <c r="K110" s="634"/>
      <c r="L110" s="522">
        <f t="shared" si="1"/>
        <v>0</v>
      </c>
      <c r="M110" s="141"/>
      <c r="N110" s="22"/>
      <c r="O110" s="22" t="s">
        <v>3754</v>
      </c>
    </row>
    <row r="111" spans="1:15">
      <c r="A111" s="10" t="s">
        <v>3662</v>
      </c>
      <c r="B111" s="34" t="s">
        <v>3748</v>
      </c>
      <c r="C111" s="10" t="s">
        <v>3314</v>
      </c>
      <c r="D111" s="11">
        <v>4</v>
      </c>
      <c r="E111" s="11" t="s">
        <v>5646</v>
      </c>
      <c r="F111" s="11" t="s">
        <v>3750</v>
      </c>
      <c r="G111" s="11"/>
      <c r="H111" s="161" t="s">
        <v>5647</v>
      </c>
      <c r="I111" s="634"/>
      <c r="J111" s="634"/>
      <c r="K111" s="634"/>
      <c r="L111" s="522">
        <f t="shared" si="1"/>
        <v>0</v>
      </c>
      <c r="M111" s="141"/>
      <c r="N111" s="22"/>
      <c r="O111" s="22" t="s">
        <v>3754</v>
      </c>
    </row>
    <row r="112" spans="1:15">
      <c r="A112" s="10" t="s">
        <v>5663</v>
      </c>
      <c r="B112" s="34">
        <v>58205</v>
      </c>
      <c r="C112" s="10" t="s">
        <v>5664</v>
      </c>
      <c r="D112" s="11">
        <v>1</v>
      </c>
      <c r="E112" s="11" t="s">
        <v>5665</v>
      </c>
      <c r="F112" s="11" t="s">
        <v>3750</v>
      </c>
      <c r="G112" s="11"/>
      <c r="H112" s="161"/>
      <c r="I112" s="636"/>
      <c r="J112" s="638"/>
      <c r="K112" s="636"/>
      <c r="L112" s="522">
        <f t="shared" si="1"/>
        <v>0</v>
      </c>
      <c r="M112" s="140"/>
      <c r="N112" s="22"/>
      <c r="O112" s="22" t="s">
        <v>3754</v>
      </c>
    </row>
    <row r="113" spans="1:15" hidden="1">
      <c r="A113" s="553" t="s">
        <v>4022</v>
      </c>
      <c r="B113" s="554">
        <v>8815</v>
      </c>
      <c r="C113" s="329" t="s">
        <v>4023</v>
      </c>
      <c r="D113" s="555">
        <v>0</v>
      </c>
      <c r="E113" s="556" t="s">
        <v>4024</v>
      </c>
      <c r="F113" s="556" t="s">
        <v>3763</v>
      </c>
      <c r="G113" s="565">
        <v>42677</v>
      </c>
      <c r="H113" s="557" t="s">
        <v>4025</v>
      </c>
      <c r="I113" s="503">
        <v>450</v>
      </c>
      <c r="J113" s="503"/>
      <c r="K113" s="496"/>
      <c r="L113" s="657">
        <f t="shared" si="1"/>
        <v>450</v>
      </c>
      <c r="M113" s="496"/>
      <c r="N113" s="107" t="s">
        <v>3758</v>
      </c>
      <c r="O113" s="108" t="s">
        <v>3759</v>
      </c>
    </row>
    <row r="114" spans="1:15" hidden="1">
      <c r="A114" s="105" t="s">
        <v>4022</v>
      </c>
      <c r="B114" s="8">
        <v>8991</v>
      </c>
      <c r="C114" s="10" t="s">
        <v>4023</v>
      </c>
      <c r="D114" s="111">
        <v>0</v>
      </c>
      <c r="E114" s="9" t="s">
        <v>4024</v>
      </c>
      <c r="F114" s="9" t="s">
        <v>3780</v>
      </c>
      <c r="G114" s="46">
        <v>44991</v>
      </c>
      <c r="H114" s="119" t="s">
        <v>3768</v>
      </c>
      <c r="I114" s="142">
        <v>175</v>
      </c>
      <c r="J114" s="142"/>
      <c r="K114" s="140"/>
      <c r="L114" s="96">
        <f t="shared" si="1"/>
        <v>175</v>
      </c>
      <c r="M114" s="140"/>
      <c r="N114" s="22" t="s">
        <v>3758</v>
      </c>
      <c r="O114" s="106" t="s">
        <v>3759</v>
      </c>
    </row>
    <row r="115" spans="1:15" hidden="1">
      <c r="A115" s="105" t="s">
        <v>3448</v>
      </c>
      <c r="B115" s="8">
        <v>9695</v>
      </c>
      <c r="C115" s="10" t="s">
        <v>418</v>
      </c>
      <c r="D115" s="111">
        <v>0</v>
      </c>
      <c r="E115" s="7" t="s">
        <v>4008</v>
      </c>
      <c r="F115" s="7" t="s">
        <v>3798</v>
      </c>
      <c r="G115" s="46">
        <v>45629</v>
      </c>
      <c r="H115" s="119" t="s">
        <v>4009</v>
      </c>
      <c r="I115" s="138">
        <v>3500</v>
      </c>
      <c r="J115" s="471"/>
      <c r="K115" s="138"/>
      <c r="L115" s="138">
        <f t="shared" si="1"/>
        <v>3500</v>
      </c>
      <c r="M115" s="138"/>
      <c r="N115" s="22" t="s">
        <v>3758</v>
      </c>
      <c r="O115" s="106" t="s">
        <v>3759</v>
      </c>
    </row>
    <row r="116" spans="1:15" hidden="1">
      <c r="A116" s="105" t="s">
        <v>4026</v>
      </c>
      <c r="B116" s="8">
        <v>9982</v>
      </c>
      <c r="C116" s="10" t="s">
        <v>4023</v>
      </c>
      <c r="D116" s="111">
        <v>0</v>
      </c>
      <c r="E116" s="9" t="s">
        <v>4008</v>
      </c>
      <c r="F116" s="9"/>
      <c r="G116" s="9"/>
      <c r="H116" s="119"/>
      <c r="I116" s="138"/>
      <c r="J116" s="471"/>
      <c r="K116" s="138"/>
      <c r="L116" s="138">
        <f t="shared" si="1"/>
        <v>0</v>
      </c>
      <c r="M116" s="138"/>
      <c r="N116" s="22" t="s">
        <v>3940</v>
      </c>
      <c r="O116" s="106" t="s">
        <v>3759</v>
      </c>
    </row>
    <row r="117" spans="1:15" hidden="1">
      <c r="A117" s="105" t="s">
        <v>4026</v>
      </c>
      <c r="B117" s="8">
        <v>9982</v>
      </c>
      <c r="C117" s="10" t="s">
        <v>4023</v>
      </c>
      <c r="D117" s="111">
        <v>0</v>
      </c>
      <c r="E117" s="9" t="s">
        <v>4008</v>
      </c>
      <c r="F117" s="9"/>
      <c r="G117" s="9"/>
      <c r="H117" s="119"/>
      <c r="I117" s="138"/>
      <c r="J117" s="471"/>
      <c r="K117" s="138"/>
      <c r="L117" s="138">
        <f t="shared" si="1"/>
        <v>0</v>
      </c>
      <c r="M117" s="138"/>
      <c r="N117" s="32" t="s">
        <v>3758</v>
      </c>
      <c r="O117" s="106" t="s">
        <v>3759</v>
      </c>
    </row>
    <row r="118" spans="1:15" hidden="1">
      <c r="A118" s="109" t="s">
        <v>4027</v>
      </c>
      <c r="B118" s="110" t="s">
        <v>4028</v>
      </c>
      <c r="C118" s="44" t="s">
        <v>207</v>
      </c>
      <c r="D118" s="111">
        <v>0</v>
      </c>
      <c r="E118" s="111" t="s">
        <v>4029</v>
      </c>
      <c r="F118" s="111" t="s">
        <v>3780</v>
      </c>
      <c r="G118" s="114">
        <v>44656</v>
      </c>
      <c r="H118" s="170" t="s">
        <v>3768</v>
      </c>
      <c r="I118" s="478"/>
      <c r="J118" s="524"/>
      <c r="K118" s="478"/>
      <c r="L118" s="478">
        <f t="shared" si="1"/>
        <v>0</v>
      </c>
      <c r="M118" s="478"/>
      <c r="N118" s="112" t="s">
        <v>3758</v>
      </c>
      <c r="O118" s="113" t="s">
        <v>3759</v>
      </c>
    </row>
    <row r="119" spans="1:15">
      <c r="A119" s="10">
        <v>26405</v>
      </c>
      <c r="B119" s="34">
        <v>6435</v>
      </c>
      <c r="C119" s="10" t="s">
        <v>3761</v>
      </c>
      <c r="D119" s="11">
        <v>1</v>
      </c>
      <c r="E119" s="11" t="s">
        <v>3762</v>
      </c>
      <c r="F119" s="11" t="s">
        <v>3763</v>
      </c>
      <c r="G119" s="129">
        <v>45282</v>
      </c>
      <c r="H119" s="161" t="s">
        <v>3764</v>
      </c>
      <c r="I119" s="634"/>
      <c r="J119" s="634"/>
      <c r="K119" s="634"/>
      <c r="L119" s="522">
        <f t="shared" si="1"/>
        <v>0</v>
      </c>
      <c r="M119" s="474">
        <v>1250</v>
      </c>
      <c r="N119" s="22"/>
      <c r="O119" s="22" t="s">
        <v>3759</v>
      </c>
    </row>
    <row r="120" spans="1:15">
      <c r="A120" s="10">
        <v>30220</v>
      </c>
      <c r="B120" s="34" t="s">
        <v>3765</v>
      </c>
      <c r="C120" s="10" t="s">
        <v>3766</v>
      </c>
      <c r="D120" s="11">
        <v>1</v>
      </c>
      <c r="E120" s="11" t="s">
        <v>3767</v>
      </c>
      <c r="F120" s="11" t="s">
        <v>3763</v>
      </c>
      <c r="G120" s="129">
        <v>44859</v>
      </c>
      <c r="H120" s="161" t="s">
        <v>3768</v>
      </c>
      <c r="I120" s="638">
        <v>320</v>
      </c>
      <c r="J120" s="638" t="s">
        <v>8061</v>
      </c>
      <c r="K120" s="638"/>
      <c r="L120" s="522">
        <f t="shared" si="1"/>
        <v>320</v>
      </c>
      <c r="M120" s="142"/>
      <c r="N120" s="22"/>
      <c r="O120" s="22" t="s">
        <v>3759</v>
      </c>
    </row>
    <row r="121" spans="1:15">
      <c r="A121" s="10">
        <v>30220</v>
      </c>
      <c r="B121" s="34" t="s">
        <v>3770</v>
      </c>
      <c r="C121" s="10" t="s">
        <v>3766</v>
      </c>
      <c r="D121" s="11">
        <v>1</v>
      </c>
      <c r="E121" s="129" t="s">
        <v>3771</v>
      </c>
      <c r="F121" s="129" t="s">
        <v>3763</v>
      </c>
      <c r="G121" s="129">
        <v>45398</v>
      </c>
      <c r="H121" s="211" t="s">
        <v>3768</v>
      </c>
      <c r="I121" s="634">
        <v>11000</v>
      </c>
      <c r="J121" s="634" t="s">
        <v>8062</v>
      </c>
      <c r="K121" s="634">
        <v>900</v>
      </c>
      <c r="L121" s="522">
        <f t="shared" si="1"/>
        <v>11900</v>
      </c>
      <c r="M121" s="141"/>
      <c r="N121" s="22"/>
      <c r="O121" s="22" t="s">
        <v>3759</v>
      </c>
    </row>
    <row r="122" spans="1:15">
      <c r="A122" s="10">
        <v>30220</v>
      </c>
      <c r="B122" s="34" t="s">
        <v>3773</v>
      </c>
      <c r="C122" s="10" t="s">
        <v>3766</v>
      </c>
      <c r="D122" s="11">
        <v>1</v>
      </c>
      <c r="E122" s="129" t="s">
        <v>3774</v>
      </c>
      <c r="F122" s="129" t="s">
        <v>3763</v>
      </c>
      <c r="G122" s="129">
        <v>45398</v>
      </c>
      <c r="H122" s="211" t="s">
        <v>3768</v>
      </c>
      <c r="I122" s="634">
        <v>100</v>
      </c>
      <c r="J122" s="634" t="s">
        <v>8061</v>
      </c>
      <c r="K122" s="634">
        <v>900</v>
      </c>
      <c r="L122" s="522">
        <f t="shared" si="1"/>
        <v>1000</v>
      </c>
      <c r="M122" s="141"/>
      <c r="N122" s="22"/>
      <c r="O122" s="22" t="s">
        <v>3759</v>
      </c>
    </row>
    <row r="123" spans="1:15">
      <c r="A123" s="10">
        <v>42074</v>
      </c>
      <c r="B123" s="34">
        <v>4349</v>
      </c>
      <c r="C123" s="10" t="s">
        <v>3775</v>
      </c>
      <c r="D123" s="11">
        <v>1</v>
      </c>
      <c r="E123" s="11" t="s">
        <v>3776</v>
      </c>
      <c r="F123" s="11" t="s">
        <v>3763</v>
      </c>
      <c r="G123" s="129">
        <v>42494</v>
      </c>
      <c r="H123" s="161" t="s">
        <v>3777</v>
      </c>
      <c r="I123" s="638">
        <v>0</v>
      </c>
      <c r="J123" s="638" t="s">
        <v>8063</v>
      </c>
      <c r="K123" s="638">
        <v>0</v>
      </c>
      <c r="L123" s="522">
        <f t="shared" si="1"/>
        <v>0</v>
      </c>
      <c r="M123" s="142"/>
      <c r="N123" s="22"/>
      <c r="O123" s="22" t="s">
        <v>3759</v>
      </c>
    </row>
    <row r="124" spans="1:15" hidden="1">
      <c r="A124" s="553" t="s">
        <v>4038</v>
      </c>
      <c r="B124" s="554">
        <v>1376</v>
      </c>
      <c r="C124" s="329" t="s">
        <v>3992</v>
      </c>
      <c r="D124" s="555">
        <v>0</v>
      </c>
      <c r="E124" s="556" t="s">
        <v>4039</v>
      </c>
      <c r="F124" s="556" t="s">
        <v>3785</v>
      </c>
      <c r="G124" s="565">
        <v>45089</v>
      </c>
      <c r="H124" s="557" t="s">
        <v>3768</v>
      </c>
      <c r="I124" s="500">
        <v>500</v>
      </c>
      <c r="J124" s="500"/>
      <c r="K124" s="500"/>
      <c r="L124" s="90">
        <f t="shared" si="1"/>
        <v>500</v>
      </c>
      <c r="M124" s="500"/>
      <c r="N124" s="107" t="s">
        <v>3758</v>
      </c>
      <c r="O124" s="108" t="s">
        <v>3759</v>
      </c>
    </row>
    <row r="125" spans="1:15" hidden="1">
      <c r="A125" s="109" t="s">
        <v>4040</v>
      </c>
      <c r="B125" s="110">
        <v>1982</v>
      </c>
      <c r="C125" s="44" t="s">
        <v>3992</v>
      </c>
      <c r="D125" s="111">
        <v>0</v>
      </c>
      <c r="E125" s="111" t="s">
        <v>4039</v>
      </c>
      <c r="F125" s="111" t="s">
        <v>3763</v>
      </c>
      <c r="G125" s="114">
        <v>45295</v>
      </c>
      <c r="H125" s="170" t="s">
        <v>3768</v>
      </c>
      <c r="I125" s="479">
        <v>400</v>
      </c>
      <c r="J125" s="479"/>
      <c r="K125" s="479"/>
      <c r="L125" s="5">
        <f t="shared" si="1"/>
        <v>400</v>
      </c>
      <c r="M125" s="479"/>
      <c r="N125" s="112" t="s">
        <v>4041</v>
      </c>
      <c r="O125" s="113" t="s">
        <v>3759</v>
      </c>
    </row>
    <row r="126" spans="1:15">
      <c r="A126" s="10">
        <v>49988</v>
      </c>
      <c r="B126" s="34">
        <v>2396</v>
      </c>
      <c r="C126" s="10" t="s">
        <v>3779</v>
      </c>
      <c r="D126" s="11">
        <v>1</v>
      </c>
      <c r="E126" s="11" t="s">
        <v>3776</v>
      </c>
      <c r="F126" s="11" t="s">
        <v>3780</v>
      </c>
      <c r="G126" s="129">
        <v>43328</v>
      </c>
      <c r="H126" s="161" t="s">
        <v>3781</v>
      </c>
      <c r="I126" s="636">
        <v>0</v>
      </c>
      <c r="J126" s="638"/>
      <c r="K126" s="636">
        <v>250</v>
      </c>
      <c r="L126" s="522">
        <f t="shared" si="1"/>
        <v>250</v>
      </c>
      <c r="M126" s="140"/>
      <c r="N126" s="22"/>
      <c r="O126" s="22" t="s">
        <v>3759</v>
      </c>
    </row>
    <row r="127" spans="1:15">
      <c r="A127" s="10">
        <v>63169</v>
      </c>
      <c r="B127" s="34" t="s">
        <v>3792</v>
      </c>
      <c r="C127" s="10" t="s">
        <v>3793</v>
      </c>
      <c r="D127" s="11">
        <v>1</v>
      </c>
      <c r="E127" s="11" t="s">
        <v>3794</v>
      </c>
      <c r="F127" s="11" t="s">
        <v>3763</v>
      </c>
      <c r="G127" s="129">
        <v>45279</v>
      </c>
      <c r="H127" s="161" t="s">
        <v>3768</v>
      </c>
      <c r="I127" s="634">
        <v>0</v>
      </c>
      <c r="J127" s="634"/>
      <c r="K127" s="634">
        <v>1050</v>
      </c>
      <c r="L127" s="522">
        <f t="shared" si="1"/>
        <v>1050</v>
      </c>
      <c r="M127" s="474">
        <v>7000</v>
      </c>
      <c r="N127" s="22"/>
      <c r="O127" s="23" t="s">
        <v>3759</v>
      </c>
    </row>
    <row r="128" spans="1:15">
      <c r="A128" s="10">
        <v>75130</v>
      </c>
      <c r="B128" s="34" t="s">
        <v>3795</v>
      </c>
      <c r="C128" s="10" t="s">
        <v>3796</v>
      </c>
      <c r="D128" s="11">
        <v>1</v>
      </c>
      <c r="E128" s="11" t="s">
        <v>3797</v>
      </c>
      <c r="F128" s="11" t="s">
        <v>3798</v>
      </c>
      <c r="G128" s="129">
        <v>45484</v>
      </c>
      <c r="H128" s="161" t="s">
        <v>3799</v>
      </c>
      <c r="I128" s="634">
        <v>0</v>
      </c>
      <c r="J128" s="648"/>
      <c r="K128" s="634">
        <v>375</v>
      </c>
      <c r="L128" s="522">
        <f t="shared" si="1"/>
        <v>375</v>
      </c>
      <c r="M128" s="141"/>
      <c r="N128" s="22"/>
      <c r="O128" s="22" t="s">
        <v>3759</v>
      </c>
    </row>
    <row r="129" spans="1:15">
      <c r="A129" s="10">
        <v>314195</v>
      </c>
      <c r="B129" s="34" t="s">
        <v>5687</v>
      </c>
      <c r="C129" s="10" t="s">
        <v>3809</v>
      </c>
      <c r="D129" s="11">
        <v>1</v>
      </c>
      <c r="E129" s="11" t="s">
        <v>5688</v>
      </c>
      <c r="F129" s="11" t="s">
        <v>3785</v>
      </c>
      <c r="G129" s="129">
        <v>45793</v>
      </c>
      <c r="H129" s="161" t="s">
        <v>7993</v>
      </c>
      <c r="I129" s="633"/>
      <c r="J129" s="634"/>
      <c r="K129" s="633"/>
      <c r="L129" s="522">
        <f t="shared" si="1"/>
        <v>0</v>
      </c>
      <c r="M129" s="160"/>
      <c r="N129" s="22"/>
      <c r="O129" s="12" t="s">
        <v>3759</v>
      </c>
    </row>
    <row r="130" spans="1:15" hidden="1">
      <c r="A130" s="256" t="s">
        <v>4022</v>
      </c>
      <c r="B130" s="558">
        <v>19120</v>
      </c>
      <c r="C130" s="260" t="s">
        <v>4019</v>
      </c>
      <c r="D130" s="555">
        <v>0</v>
      </c>
      <c r="E130" s="555" t="s">
        <v>4047</v>
      </c>
      <c r="F130" s="555" t="s">
        <v>3798</v>
      </c>
      <c r="G130" s="559">
        <v>45687</v>
      </c>
      <c r="H130" s="475" t="s">
        <v>4045</v>
      </c>
      <c r="I130" s="245">
        <v>325</v>
      </c>
      <c r="J130" s="668"/>
      <c r="K130" s="245"/>
      <c r="L130" s="245">
        <f t="shared" si="1"/>
        <v>325</v>
      </c>
      <c r="M130" s="245"/>
      <c r="N130" s="121" t="s">
        <v>3758</v>
      </c>
      <c r="O130" s="122" t="s">
        <v>3759</v>
      </c>
    </row>
    <row r="131" spans="1:15">
      <c r="A131" s="10">
        <v>314195</v>
      </c>
      <c r="B131" s="34" t="s">
        <v>5689</v>
      </c>
      <c r="C131" s="10" t="s">
        <v>3809</v>
      </c>
      <c r="D131" s="11">
        <v>1</v>
      </c>
      <c r="E131" s="11" t="s">
        <v>5690</v>
      </c>
      <c r="F131" s="11" t="s">
        <v>3785</v>
      </c>
      <c r="G131" s="129">
        <v>45793</v>
      </c>
      <c r="H131" s="161" t="s">
        <v>7993</v>
      </c>
      <c r="I131" s="633"/>
      <c r="J131" s="648"/>
      <c r="K131" s="633"/>
      <c r="L131" s="522">
        <f t="shared" si="1"/>
        <v>0</v>
      </c>
      <c r="M131" s="160"/>
      <c r="N131" s="22"/>
      <c r="O131" s="12" t="s">
        <v>3759</v>
      </c>
    </row>
    <row r="132" spans="1:15">
      <c r="A132" s="10">
        <v>340545</v>
      </c>
      <c r="B132" s="34" t="s">
        <v>3806</v>
      </c>
      <c r="C132" s="10" t="s">
        <v>3800</v>
      </c>
      <c r="D132" s="11">
        <v>1</v>
      </c>
      <c r="E132" s="11" t="s">
        <v>3803</v>
      </c>
      <c r="F132" s="11" t="s">
        <v>3763</v>
      </c>
      <c r="G132" s="129">
        <v>44924</v>
      </c>
      <c r="H132" s="161" t="s">
        <v>3768</v>
      </c>
      <c r="I132" s="636"/>
      <c r="J132" s="638"/>
      <c r="K132" s="636"/>
      <c r="L132" s="522">
        <f t="shared" ref="L132:L195" si="2">IF(OR(I132="", K132=""), I132 + K132, I132 + K132)</f>
        <v>0</v>
      </c>
      <c r="M132" s="140"/>
      <c r="N132" s="22"/>
      <c r="O132" s="22" t="s">
        <v>3804</v>
      </c>
    </row>
    <row r="133" spans="1:15">
      <c r="A133" s="10">
        <v>340545</v>
      </c>
      <c r="B133" s="34">
        <v>2476</v>
      </c>
      <c r="C133" s="10" t="s">
        <v>207</v>
      </c>
      <c r="D133" s="11">
        <v>1</v>
      </c>
      <c r="E133" s="11" t="s">
        <v>3808</v>
      </c>
      <c r="F133" s="11" t="s">
        <v>3785</v>
      </c>
      <c r="G133" s="129">
        <v>44658</v>
      </c>
      <c r="H133" s="161" t="s">
        <v>3768</v>
      </c>
      <c r="I133" s="636"/>
      <c r="J133" s="638"/>
      <c r="K133" s="636"/>
      <c r="L133" s="522">
        <f t="shared" si="2"/>
        <v>0</v>
      </c>
      <c r="M133" s="140"/>
      <c r="N133" s="22"/>
      <c r="O133" s="22" t="s">
        <v>3804</v>
      </c>
    </row>
    <row r="134" spans="1:15" hidden="1">
      <c r="A134" s="553" t="s">
        <v>4057</v>
      </c>
      <c r="B134" s="554">
        <v>1148</v>
      </c>
      <c r="C134" s="329" t="s">
        <v>4058</v>
      </c>
      <c r="D134" s="555">
        <v>0</v>
      </c>
      <c r="E134" s="556" t="s">
        <v>4059</v>
      </c>
      <c r="F134" s="556" t="s">
        <v>4060</v>
      </c>
      <c r="G134" s="565">
        <v>45531</v>
      </c>
      <c r="H134" s="557" t="s">
        <v>3965</v>
      </c>
      <c r="I134" s="494"/>
      <c r="J134" s="670"/>
      <c r="K134" s="494"/>
      <c r="L134" s="494">
        <f t="shared" si="2"/>
        <v>0</v>
      </c>
      <c r="M134" s="494"/>
      <c r="N134" s="107" t="s">
        <v>3758</v>
      </c>
      <c r="O134" s="108" t="s">
        <v>3759</v>
      </c>
    </row>
    <row r="135" spans="1:15" hidden="1">
      <c r="A135" s="105" t="s">
        <v>4061</v>
      </c>
      <c r="B135" s="8">
        <v>981</v>
      </c>
      <c r="C135" s="10" t="s">
        <v>4062</v>
      </c>
      <c r="D135" s="111">
        <v>0</v>
      </c>
      <c r="E135" s="9" t="s">
        <v>4063</v>
      </c>
      <c r="F135" s="9" t="s">
        <v>3763</v>
      </c>
      <c r="G135" s="46">
        <v>44488</v>
      </c>
      <c r="H135" s="119" t="s">
        <v>3768</v>
      </c>
      <c r="I135" s="137"/>
      <c r="J135" s="487"/>
      <c r="K135" s="137"/>
      <c r="L135" s="137">
        <f t="shared" si="2"/>
        <v>0</v>
      </c>
      <c r="M135" s="137"/>
      <c r="N135" s="12" t="s">
        <v>3758</v>
      </c>
      <c r="O135" s="106" t="s">
        <v>3759</v>
      </c>
    </row>
    <row r="136" spans="1:15" hidden="1">
      <c r="A136" s="109" t="s">
        <v>4064</v>
      </c>
      <c r="B136" s="110">
        <v>43336</v>
      </c>
      <c r="C136" s="44" t="s">
        <v>2264</v>
      </c>
      <c r="D136" s="111">
        <v>0</v>
      </c>
      <c r="E136" s="111" t="s">
        <v>4065</v>
      </c>
      <c r="F136" s="111"/>
      <c r="G136" s="111"/>
      <c r="H136" s="170"/>
      <c r="I136" s="478"/>
      <c r="J136" s="524"/>
      <c r="K136" s="478"/>
      <c r="L136" s="478">
        <f t="shared" si="2"/>
        <v>0</v>
      </c>
      <c r="M136" s="478"/>
      <c r="N136" s="144" t="s">
        <v>3758</v>
      </c>
      <c r="O136" s="113" t="s">
        <v>3759</v>
      </c>
    </row>
    <row r="137" spans="1:15">
      <c r="A137" s="10">
        <v>340545</v>
      </c>
      <c r="B137" s="34" t="s">
        <v>8021</v>
      </c>
      <c r="C137" s="10" t="s">
        <v>8022</v>
      </c>
      <c r="D137" s="11">
        <v>1</v>
      </c>
      <c r="E137" s="11" t="s">
        <v>4109</v>
      </c>
      <c r="F137" s="11" t="s">
        <v>3785</v>
      </c>
      <c r="G137" s="129">
        <v>45929</v>
      </c>
      <c r="H137" s="161" t="s">
        <v>3799</v>
      </c>
      <c r="I137" s="633"/>
      <c r="J137" s="648"/>
      <c r="K137" s="633"/>
      <c r="L137" s="522">
        <f t="shared" si="2"/>
        <v>0</v>
      </c>
      <c r="M137" s="160"/>
      <c r="N137" s="22"/>
      <c r="O137" s="22" t="s">
        <v>3759</v>
      </c>
    </row>
    <row r="138" spans="1:15">
      <c r="A138" s="462">
        <v>340565</v>
      </c>
      <c r="B138" s="316" t="s">
        <v>3813</v>
      </c>
      <c r="C138" s="464" t="s">
        <v>3814</v>
      </c>
      <c r="D138" s="464">
        <v>1</v>
      </c>
      <c r="E138" s="464" t="s">
        <v>8155</v>
      </c>
      <c r="F138" s="465" t="s">
        <v>3785</v>
      </c>
      <c r="G138" s="626">
        <v>45593</v>
      </c>
      <c r="H138" s="319" t="s">
        <v>3799</v>
      </c>
      <c r="I138" s="319"/>
      <c r="J138" s="319"/>
      <c r="K138" s="642"/>
      <c r="L138" s="522">
        <f t="shared" si="2"/>
        <v>0</v>
      </c>
      <c r="M138" s="319"/>
      <c r="N138" s="407" t="s">
        <v>7995</v>
      </c>
      <c r="O138" s="22" t="s">
        <v>3759</v>
      </c>
    </row>
    <row r="139" spans="1:15" hidden="1">
      <c r="A139" s="256" t="s">
        <v>4069</v>
      </c>
      <c r="B139" s="558">
        <v>744</v>
      </c>
      <c r="C139" s="260" t="s">
        <v>4070</v>
      </c>
      <c r="D139" s="555">
        <v>0</v>
      </c>
      <c r="E139" s="555" t="s">
        <v>4071</v>
      </c>
      <c r="F139" s="555"/>
      <c r="G139" s="555"/>
      <c r="H139" s="475"/>
      <c r="I139" s="319"/>
      <c r="J139" s="319"/>
      <c r="K139" s="169"/>
      <c r="L139" s="169">
        <f t="shared" si="2"/>
        <v>0</v>
      </c>
      <c r="M139" s="169"/>
      <c r="N139" s="121" t="s">
        <v>3758</v>
      </c>
      <c r="O139" s="122" t="s">
        <v>3759</v>
      </c>
    </row>
    <row r="140" spans="1:15">
      <c r="A140" s="462">
        <v>371380</v>
      </c>
      <c r="B140" s="462" t="s">
        <v>3816</v>
      </c>
      <c r="C140" s="316" t="s">
        <v>3817</v>
      </c>
      <c r="D140" s="464">
        <v>1</v>
      </c>
      <c r="E140" s="464" t="s">
        <v>8156</v>
      </c>
      <c r="F140" s="464" t="s">
        <v>3785</v>
      </c>
      <c r="G140" s="465">
        <v>45511</v>
      </c>
      <c r="H140" s="330" t="s">
        <v>7993</v>
      </c>
      <c r="I140" s="319"/>
      <c r="J140" s="319"/>
      <c r="K140" s="642"/>
      <c r="L140" s="522">
        <f t="shared" si="2"/>
        <v>0</v>
      </c>
      <c r="M140" s="319"/>
      <c r="N140" s="407" t="s">
        <v>7995</v>
      </c>
      <c r="O140" s="22" t="s">
        <v>3759</v>
      </c>
    </row>
    <row r="141" spans="1:15">
      <c r="A141" s="10">
        <v>525374</v>
      </c>
      <c r="B141" s="34" t="s">
        <v>3820</v>
      </c>
      <c r="C141" s="10" t="s">
        <v>690</v>
      </c>
      <c r="D141" s="11">
        <v>1</v>
      </c>
      <c r="E141" s="11" t="s">
        <v>3821</v>
      </c>
      <c r="F141" s="11" t="s">
        <v>3785</v>
      </c>
      <c r="G141" s="129">
        <v>45152</v>
      </c>
      <c r="H141" s="161" t="s">
        <v>3768</v>
      </c>
      <c r="I141" s="636"/>
      <c r="J141" s="638"/>
      <c r="K141" s="636"/>
      <c r="L141" s="522">
        <f t="shared" si="2"/>
        <v>0</v>
      </c>
      <c r="M141" s="140"/>
      <c r="N141" s="12"/>
      <c r="O141" s="12" t="s">
        <v>3759</v>
      </c>
    </row>
    <row r="142" spans="1:15">
      <c r="A142" s="10">
        <v>569672</v>
      </c>
      <c r="B142" s="34" t="s">
        <v>3822</v>
      </c>
      <c r="C142" s="10" t="s">
        <v>3823</v>
      </c>
      <c r="D142" s="11">
        <v>1</v>
      </c>
      <c r="E142" s="11" t="s">
        <v>3824</v>
      </c>
      <c r="F142" s="11" t="s">
        <v>3763</v>
      </c>
      <c r="G142" s="129">
        <v>45370</v>
      </c>
      <c r="H142" s="161" t="s">
        <v>3768</v>
      </c>
      <c r="I142" s="634"/>
      <c r="J142" s="634"/>
      <c r="K142" s="634"/>
      <c r="L142" s="522">
        <f t="shared" si="2"/>
        <v>0</v>
      </c>
      <c r="M142" s="141"/>
      <c r="N142" s="22"/>
      <c r="O142" s="22" t="s">
        <v>3759</v>
      </c>
    </row>
    <row r="143" spans="1:15">
      <c r="A143" s="10">
        <v>569672</v>
      </c>
      <c r="B143" s="34" t="s">
        <v>3825</v>
      </c>
      <c r="C143" s="10" t="s">
        <v>3823</v>
      </c>
      <c r="D143" s="11">
        <v>1</v>
      </c>
      <c r="E143" s="11" t="s">
        <v>3826</v>
      </c>
      <c r="F143" s="11" t="s">
        <v>3763</v>
      </c>
      <c r="G143" s="129">
        <v>45376</v>
      </c>
      <c r="H143" s="161" t="s">
        <v>3768</v>
      </c>
      <c r="I143" s="634"/>
      <c r="J143" s="634"/>
      <c r="K143" s="634"/>
      <c r="L143" s="522">
        <f t="shared" si="2"/>
        <v>0</v>
      </c>
      <c r="M143" s="141"/>
      <c r="N143" s="22"/>
      <c r="O143" s="22" t="s">
        <v>3759</v>
      </c>
    </row>
    <row r="144" spans="1:15">
      <c r="A144" s="316">
        <v>623303</v>
      </c>
      <c r="B144" s="462" t="s">
        <v>3829</v>
      </c>
      <c r="C144" s="316" t="s">
        <v>3830</v>
      </c>
      <c r="D144" s="464">
        <v>1</v>
      </c>
      <c r="E144" s="464" t="s">
        <v>8157</v>
      </c>
      <c r="F144" s="464" t="s">
        <v>3785</v>
      </c>
      <c r="G144" s="465">
        <v>45446</v>
      </c>
      <c r="H144" s="330" t="s">
        <v>3799</v>
      </c>
      <c r="I144" s="728"/>
      <c r="J144" s="728"/>
      <c r="K144" s="643"/>
      <c r="L144" s="522">
        <f t="shared" si="2"/>
        <v>0</v>
      </c>
      <c r="M144" s="318"/>
      <c r="N144" s="407" t="s">
        <v>7995</v>
      </c>
      <c r="O144" s="22" t="s">
        <v>3759</v>
      </c>
    </row>
    <row r="145" spans="1:15">
      <c r="A145" s="10">
        <v>701363</v>
      </c>
      <c r="B145" s="34">
        <v>2139</v>
      </c>
      <c r="C145" s="10" t="s">
        <v>3832</v>
      </c>
      <c r="D145" s="11">
        <v>1</v>
      </c>
      <c r="E145" s="11" t="s">
        <v>3833</v>
      </c>
      <c r="F145" s="11" t="s">
        <v>3785</v>
      </c>
      <c r="G145" s="129">
        <v>45317</v>
      </c>
      <c r="H145" s="161" t="s">
        <v>3834</v>
      </c>
      <c r="I145" s="729"/>
      <c r="J145" s="729"/>
      <c r="K145" s="634"/>
      <c r="L145" s="522">
        <f t="shared" si="2"/>
        <v>0</v>
      </c>
      <c r="M145" s="141"/>
      <c r="N145" s="22"/>
      <c r="O145" s="22" t="s">
        <v>3759</v>
      </c>
    </row>
    <row r="146" spans="1:15" hidden="1">
      <c r="A146" s="316" t="s">
        <v>4091</v>
      </c>
      <c r="B146" s="554" t="s">
        <v>4092</v>
      </c>
      <c r="C146" s="329" t="s">
        <v>4093</v>
      </c>
      <c r="D146" s="555">
        <v>0</v>
      </c>
      <c r="E146" s="556" t="s">
        <v>3978</v>
      </c>
      <c r="F146" s="556" t="s">
        <v>3785</v>
      </c>
      <c r="G146" s="565">
        <v>45438</v>
      </c>
      <c r="H146" s="557" t="s">
        <v>3834</v>
      </c>
      <c r="I146" s="728">
        <v>2875</v>
      </c>
      <c r="J146" s="728"/>
      <c r="K146" s="500"/>
      <c r="L146" s="90">
        <f t="shared" si="2"/>
        <v>2875</v>
      </c>
      <c r="M146" s="500"/>
      <c r="N146" s="107" t="s">
        <v>3758</v>
      </c>
      <c r="O146" s="108" t="s">
        <v>3759</v>
      </c>
    </row>
    <row r="147" spans="1:15" hidden="1">
      <c r="A147" s="316" t="s">
        <v>4091</v>
      </c>
      <c r="B147" s="8" t="s">
        <v>4094</v>
      </c>
      <c r="C147" s="10" t="s">
        <v>4095</v>
      </c>
      <c r="D147" s="111">
        <v>0</v>
      </c>
      <c r="E147" s="9" t="s">
        <v>4096</v>
      </c>
      <c r="F147" s="9"/>
      <c r="G147" s="9"/>
      <c r="H147" s="119"/>
      <c r="I147" s="728"/>
      <c r="J147" s="728"/>
      <c r="K147" s="138"/>
      <c r="L147" s="138">
        <f t="shared" si="2"/>
        <v>0</v>
      </c>
      <c r="M147" s="471"/>
      <c r="N147" s="21" t="s">
        <v>3758</v>
      </c>
      <c r="O147" s="106" t="s">
        <v>3759</v>
      </c>
    </row>
    <row r="148" spans="1:15" hidden="1">
      <c r="A148" s="316" t="s">
        <v>4091</v>
      </c>
      <c r="B148" s="110" t="s">
        <v>4097</v>
      </c>
      <c r="C148" s="44" t="s">
        <v>4093</v>
      </c>
      <c r="D148" s="111">
        <v>0</v>
      </c>
      <c r="E148" s="111" t="s">
        <v>3978</v>
      </c>
      <c r="F148" s="111"/>
      <c r="G148" s="111"/>
      <c r="H148" s="170"/>
      <c r="I148" s="728"/>
      <c r="J148" s="728"/>
      <c r="K148" s="478"/>
      <c r="L148" s="478">
        <f t="shared" si="2"/>
        <v>0</v>
      </c>
      <c r="M148" s="524"/>
      <c r="N148" s="112" t="s">
        <v>3758</v>
      </c>
      <c r="O148" s="113" t="s">
        <v>3759</v>
      </c>
    </row>
    <row r="149" spans="1:15">
      <c r="A149" s="10">
        <v>731378</v>
      </c>
      <c r="B149" s="34" t="s">
        <v>3838</v>
      </c>
      <c r="C149" s="10" t="s">
        <v>3827</v>
      </c>
      <c r="D149" s="11">
        <v>1</v>
      </c>
      <c r="E149" s="11" t="s">
        <v>3839</v>
      </c>
      <c r="F149" s="11" t="s">
        <v>3763</v>
      </c>
      <c r="G149" s="129">
        <v>45174</v>
      </c>
      <c r="H149" s="161" t="s">
        <v>3768</v>
      </c>
      <c r="I149" s="729"/>
      <c r="J149" s="729"/>
      <c r="K149" s="636"/>
      <c r="L149" s="522">
        <f t="shared" si="2"/>
        <v>0</v>
      </c>
      <c r="M149" s="142"/>
      <c r="N149" s="22"/>
      <c r="O149" s="22" t="s">
        <v>3759</v>
      </c>
    </row>
    <row r="150" spans="1:15" hidden="1">
      <c r="A150" s="316" t="s">
        <v>4099</v>
      </c>
      <c r="B150" s="574" t="s">
        <v>4100</v>
      </c>
      <c r="C150" s="329" t="s">
        <v>4093</v>
      </c>
      <c r="D150" s="555">
        <v>0</v>
      </c>
      <c r="E150" s="556" t="s">
        <v>4101</v>
      </c>
      <c r="F150" s="556" t="s">
        <v>3785</v>
      </c>
      <c r="G150" s="565">
        <v>45539</v>
      </c>
      <c r="H150" s="557" t="s">
        <v>3834</v>
      </c>
      <c r="I150" s="728">
        <v>3266</v>
      </c>
      <c r="J150" s="728"/>
      <c r="K150" s="502"/>
      <c r="L150" s="516">
        <f t="shared" si="2"/>
        <v>3266</v>
      </c>
      <c r="M150" s="741"/>
      <c r="N150" s="107" t="s">
        <v>3758</v>
      </c>
      <c r="O150" s="108" t="s">
        <v>3759</v>
      </c>
    </row>
    <row r="151" spans="1:15" hidden="1">
      <c r="A151" s="316" t="s">
        <v>4102</v>
      </c>
      <c r="B151" s="8">
        <v>240</v>
      </c>
      <c r="C151" s="10" t="s">
        <v>4103</v>
      </c>
      <c r="D151" s="111">
        <v>0</v>
      </c>
      <c r="E151" s="9" t="s">
        <v>4104</v>
      </c>
      <c r="F151" s="9" t="s">
        <v>3763</v>
      </c>
      <c r="G151" s="46">
        <v>44421</v>
      </c>
      <c r="H151" s="119" t="s">
        <v>3768</v>
      </c>
      <c r="I151" s="728">
        <v>1750</v>
      </c>
      <c r="J151" s="728"/>
      <c r="K151" s="140"/>
      <c r="L151" s="96">
        <f t="shared" si="2"/>
        <v>1750</v>
      </c>
      <c r="M151" s="142"/>
      <c r="N151" s="22" t="s">
        <v>3758</v>
      </c>
      <c r="O151" s="106" t="s">
        <v>3759</v>
      </c>
    </row>
    <row r="152" spans="1:15" hidden="1">
      <c r="A152" s="316" t="s">
        <v>4102</v>
      </c>
      <c r="B152" s="8">
        <v>529</v>
      </c>
      <c r="C152" s="10" t="s">
        <v>4103</v>
      </c>
      <c r="D152" s="111">
        <v>0</v>
      </c>
      <c r="E152" s="9" t="s">
        <v>4105</v>
      </c>
      <c r="F152" s="9" t="s">
        <v>3785</v>
      </c>
      <c r="G152" s="46">
        <v>45329</v>
      </c>
      <c r="H152" s="119" t="s">
        <v>3768</v>
      </c>
      <c r="I152" s="728">
        <v>4685</v>
      </c>
      <c r="J152" s="728"/>
      <c r="K152" s="141"/>
      <c r="L152" s="2">
        <f t="shared" si="2"/>
        <v>4685</v>
      </c>
      <c r="M152" s="141"/>
      <c r="N152" s="22" t="s">
        <v>3758</v>
      </c>
      <c r="O152" s="106" t="s">
        <v>3759</v>
      </c>
    </row>
    <row r="153" spans="1:15" hidden="1">
      <c r="A153" s="316" t="s">
        <v>4106</v>
      </c>
      <c r="B153" s="110" t="s">
        <v>4107</v>
      </c>
      <c r="C153" s="44" t="s">
        <v>4108</v>
      </c>
      <c r="D153" s="111">
        <v>0</v>
      </c>
      <c r="E153" s="111" t="s">
        <v>4109</v>
      </c>
      <c r="F153" s="111" t="s">
        <v>3763</v>
      </c>
      <c r="G153" s="114">
        <v>44804</v>
      </c>
      <c r="H153" s="170" t="s">
        <v>4110</v>
      </c>
      <c r="I153" s="728">
        <v>1050</v>
      </c>
      <c r="J153" s="728"/>
      <c r="K153" s="481"/>
      <c r="L153" s="551">
        <f t="shared" si="2"/>
        <v>1050</v>
      </c>
      <c r="M153" s="490"/>
      <c r="N153" s="144" t="s">
        <v>4041</v>
      </c>
      <c r="O153" s="145" t="s">
        <v>3759</v>
      </c>
    </row>
    <row r="154" spans="1:15">
      <c r="A154" s="10">
        <v>731378</v>
      </c>
      <c r="B154" s="34" t="s">
        <v>3840</v>
      </c>
      <c r="C154" s="10" t="s">
        <v>3827</v>
      </c>
      <c r="D154" s="11">
        <v>1</v>
      </c>
      <c r="E154" s="11" t="s">
        <v>3841</v>
      </c>
      <c r="F154" s="11" t="s">
        <v>3785</v>
      </c>
      <c r="G154" s="129">
        <v>45142</v>
      </c>
      <c r="H154" s="161" t="s">
        <v>3768</v>
      </c>
      <c r="I154" s="729"/>
      <c r="J154" s="729"/>
      <c r="K154" s="636"/>
      <c r="L154" s="522">
        <f t="shared" si="2"/>
        <v>0</v>
      </c>
      <c r="M154" s="142"/>
      <c r="N154" s="12"/>
      <c r="O154" s="12" t="s">
        <v>3759</v>
      </c>
    </row>
    <row r="155" spans="1:15">
      <c r="A155" s="10">
        <v>731378</v>
      </c>
      <c r="B155" s="34">
        <v>1005</v>
      </c>
      <c r="C155" s="115" t="s">
        <v>3827</v>
      </c>
      <c r="D155" s="11">
        <v>1</v>
      </c>
      <c r="E155" s="34" t="s">
        <v>3842</v>
      </c>
      <c r="F155" s="34" t="s">
        <v>3785</v>
      </c>
      <c r="G155" s="129">
        <v>45280</v>
      </c>
      <c r="H155" s="627" t="s">
        <v>3768</v>
      </c>
      <c r="I155" s="729"/>
      <c r="J155" s="729"/>
      <c r="K155" s="636"/>
      <c r="L155" s="522">
        <f t="shared" si="2"/>
        <v>0</v>
      </c>
      <c r="M155" s="142"/>
      <c r="N155" s="22"/>
      <c r="O155" s="22" t="s">
        <v>3759</v>
      </c>
    </row>
    <row r="156" spans="1:15">
      <c r="A156" s="10">
        <v>731378</v>
      </c>
      <c r="B156" s="34" t="s">
        <v>3848</v>
      </c>
      <c r="C156" s="10" t="s">
        <v>3827</v>
      </c>
      <c r="D156" s="11">
        <v>1</v>
      </c>
      <c r="E156" s="11" t="s">
        <v>3849</v>
      </c>
      <c r="F156" s="10" t="s">
        <v>3785</v>
      </c>
      <c r="G156" s="129">
        <v>45180</v>
      </c>
      <c r="H156" s="161" t="s">
        <v>3768</v>
      </c>
      <c r="I156" s="729"/>
      <c r="J156" s="729"/>
      <c r="K156" s="636"/>
      <c r="L156" s="522">
        <f t="shared" si="2"/>
        <v>0</v>
      </c>
      <c r="M156" s="142"/>
      <c r="N156" s="22"/>
      <c r="O156" s="22" t="s">
        <v>3759</v>
      </c>
    </row>
    <row r="157" spans="1:15">
      <c r="A157" s="10">
        <v>731378</v>
      </c>
      <c r="B157" s="34">
        <v>1495</v>
      </c>
      <c r="C157" s="115" t="s">
        <v>3827</v>
      </c>
      <c r="D157" s="11">
        <v>1</v>
      </c>
      <c r="E157" s="11" t="s">
        <v>3850</v>
      </c>
      <c r="F157" s="11" t="s">
        <v>3763</v>
      </c>
      <c r="G157" s="129">
        <v>45293</v>
      </c>
      <c r="H157" s="161" t="s">
        <v>3768</v>
      </c>
      <c r="I157" s="729"/>
      <c r="J157" s="729"/>
      <c r="K157" s="638"/>
      <c r="L157" s="522">
        <f t="shared" si="2"/>
        <v>0</v>
      </c>
      <c r="M157" s="142"/>
      <c r="N157" s="22"/>
      <c r="O157" s="22" t="s">
        <v>3759</v>
      </c>
    </row>
    <row r="158" spans="1:15">
      <c r="A158" s="10">
        <v>861555</v>
      </c>
      <c r="B158" s="34" t="s">
        <v>3858</v>
      </c>
      <c r="C158" s="10" t="s">
        <v>3859</v>
      </c>
      <c r="D158" s="11">
        <v>1</v>
      </c>
      <c r="E158" s="11" t="s">
        <v>3860</v>
      </c>
      <c r="F158" s="11" t="s">
        <v>3785</v>
      </c>
      <c r="G158" s="129">
        <v>45748</v>
      </c>
      <c r="H158" s="161" t="s">
        <v>7993</v>
      </c>
      <c r="I158" s="729"/>
      <c r="J158" s="729"/>
      <c r="K158" s="633"/>
      <c r="L158" s="522">
        <f t="shared" si="2"/>
        <v>0</v>
      </c>
      <c r="M158" s="471"/>
      <c r="N158" s="22"/>
      <c r="O158" s="22" t="s">
        <v>3759</v>
      </c>
    </row>
    <row r="159" spans="1:15">
      <c r="A159" s="316">
        <v>887673</v>
      </c>
      <c r="B159" s="462" t="s">
        <v>3861</v>
      </c>
      <c r="C159" s="316" t="s">
        <v>3809</v>
      </c>
      <c r="D159" s="464">
        <v>1</v>
      </c>
      <c r="E159" s="464" t="s">
        <v>8157</v>
      </c>
      <c r="F159" s="464" t="s">
        <v>3785</v>
      </c>
      <c r="G159" s="465">
        <v>45272</v>
      </c>
      <c r="H159" s="330" t="s">
        <v>3768</v>
      </c>
      <c r="I159" s="728"/>
      <c r="J159" s="728"/>
      <c r="K159" s="643"/>
      <c r="L159" s="522">
        <f t="shared" si="2"/>
        <v>0</v>
      </c>
      <c r="M159" s="318">
        <v>9500</v>
      </c>
      <c r="N159" s="407" t="s">
        <v>7995</v>
      </c>
      <c r="O159" s="22" t="s">
        <v>3759</v>
      </c>
    </row>
    <row r="160" spans="1:15" hidden="1">
      <c r="A160" s="316" t="s">
        <v>4128</v>
      </c>
      <c r="B160" s="554" t="s">
        <v>4129</v>
      </c>
      <c r="C160" s="329" t="s">
        <v>690</v>
      </c>
      <c r="D160" s="555">
        <v>0</v>
      </c>
      <c r="E160" s="556" t="s">
        <v>4130</v>
      </c>
      <c r="F160" s="556" t="s">
        <v>3785</v>
      </c>
      <c r="G160" s="565">
        <v>45210</v>
      </c>
      <c r="H160" s="557" t="s">
        <v>3768</v>
      </c>
      <c r="I160" s="728">
        <v>2050</v>
      </c>
      <c r="J160" s="728"/>
      <c r="K160" s="496"/>
      <c r="L160" s="657">
        <f t="shared" si="2"/>
        <v>2050</v>
      </c>
      <c r="M160" s="503"/>
      <c r="N160" s="107" t="s">
        <v>3758</v>
      </c>
      <c r="O160" s="108" t="s">
        <v>3759</v>
      </c>
    </row>
    <row r="161" spans="1:15" hidden="1">
      <c r="A161" s="316" t="s">
        <v>4128</v>
      </c>
      <c r="B161" s="8" t="s">
        <v>4131</v>
      </c>
      <c r="C161" s="10" t="s">
        <v>690</v>
      </c>
      <c r="D161" s="111">
        <v>0</v>
      </c>
      <c r="E161" s="9" t="s">
        <v>4130</v>
      </c>
      <c r="F161" s="9"/>
      <c r="G161" s="9"/>
      <c r="H161" s="119"/>
      <c r="I161" s="728"/>
      <c r="J161" s="728"/>
      <c r="K161" s="138"/>
      <c r="L161" s="138">
        <f t="shared" si="2"/>
        <v>0</v>
      </c>
      <c r="M161" s="471"/>
      <c r="N161" s="22" t="s">
        <v>3758</v>
      </c>
      <c r="O161" s="106" t="s">
        <v>3759</v>
      </c>
    </row>
    <row r="162" spans="1:15" hidden="1">
      <c r="A162" s="316" t="s">
        <v>4128</v>
      </c>
      <c r="B162" s="8" t="s">
        <v>4132</v>
      </c>
      <c r="C162" s="10" t="s">
        <v>690</v>
      </c>
      <c r="D162" s="111">
        <v>0</v>
      </c>
      <c r="E162" s="9" t="s">
        <v>4133</v>
      </c>
      <c r="F162" s="9"/>
      <c r="G162" s="9"/>
      <c r="H162" s="119"/>
      <c r="I162" s="728"/>
      <c r="J162" s="728"/>
      <c r="K162" s="138"/>
      <c r="L162" s="138">
        <f t="shared" si="2"/>
        <v>0</v>
      </c>
      <c r="M162" s="471"/>
      <c r="N162" s="22" t="s">
        <v>3758</v>
      </c>
      <c r="O162" s="106" t="s">
        <v>3759</v>
      </c>
    </row>
    <row r="163" spans="1:15" hidden="1">
      <c r="A163" s="316" t="s">
        <v>4134</v>
      </c>
      <c r="B163" s="110" t="s">
        <v>4135</v>
      </c>
      <c r="C163" s="44" t="s">
        <v>690</v>
      </c>
      <c r="D163" s="111">
        <v>0</v>
      </c>
      <c r="E163" s="111" t="s">
        <v>4136</v>
      </c>
      <c r="F163" s="111"/>
      <c r="G163" s="111"/>
      <c r="H163" s="170"/>
      <c r="I163" s="728"/>
      <c r="J163" s="728"/>
      <c r="K163" s="136"/>
      <c r="L163" s="136">
        <f t="shared" si="2"/>
        <v>0</v>
      </c>
      <c r="M163" s="525"/>
      <c r="N163" s="112" t="s">
        <v>3758</v>
      </c>
      <c r="O163" s="113" t="s">
        <v>3759</v>
      </c>
    </row>
    <row r="164" spans="1:15">
      <c r="A164" s="10">
        <v>898052</v>
      </c>
      <c r="B164" s="34" t="s">
        <v>3867</v>
      </c>
      <c r="C164" s="10" t="s">
        <v>3868</v>
      </c>
      <c r="D164" s="11">
        <v>1</v>
      </c>
      <c r="E164" s="11" t="s">
        <v>3771</v>
      </c>
      <c r="F164" s="11" t="s">
        <v>3785</v>
      </c>
      <c r="G164" s="129">
        <v>43984</v>
      </c>
      <c r="H164" s="161" t="s">
        <v>3869</v>
      </c>
      <c r="I164" s="729"/>
      <c r="J164" s="729"/>
      <c r="K164" s="636"/>
      <c r="L164" s="522">
        <f t="shared" si="2"/>
        <v>0</v>
      </c>
      <c r="M164" s="142"/>
      <c r="N164" s="22"/>
      <c r="O164" s="22" t="s">
        <v>3759</v>
      </c>
    </row>
    <row r="165" spans="1:15" ht="15" customHeight="1">
      <c r="A165" s="10">
        <v>1122027</v>
      </c>
      <c r="B165" s="34" t="s">
        <v>3870</v>
      </c>
      <c r="C165" s="10" t="s">
        <v>3871</v>
      </c>
      <c r="D165" s="11">
        <v>1</v>
      </c>
      <c r="E165" s="11" t="s">
        <v>3872</v>
      </c>
      <c r="F165" s="11" t="s">
        <v>3780</v>
      </c>
      <c r="G165" s="129">
        <v>37104</v>
      </c>
      <c r="H165" s="161" t="s">
        <v>3873</v>
      </c>
      <c r="I165" s="729"/>
      <c r="J165" s="729"/>
      <c r="K165" s="636"/>
      <c r="L165" s="522">
        <f t="shared" si="2"/>
        <v>0</v>
      </c>
      <c r="M165" s="142"/>
      <c r="N165" s="12"/>
      <c r="O165" s="12" t="s">
        <v>3759</v>
      </c>
    </row>
    <row r="166" spans="1:15" hidden="1">
      <c r="A166" s="316" t="s">
        <v>3265</v>
      </c>
      <c r="B166" s="554">
        <v>35360</v>
      </c>
      <c r="C166" s="329" t="s">
        <v>4140</v>
      </c>
      <c r="D166" s="555">
        <v>0</v>
      </c>
      <c r="E166" s="556" t="s">
        <v>4141</v>
      </c>
      <c r="F166" s="556" t="s">
        <v>3798</v>
      </c>
      <c r="G166" s="565">
        <v>45447</v>
      </c>
      <c r="H166" s="557" t="s">
        <v>4142</v>
      </c>
      <c r="I166" s="728">
        <v>200</v>
      </c>
      <c r="J166" s="728"/>
      <c r="K166" s="503"/>
      <c r="L166" s="657">
        <f t="shared" si="2"/>
        <v>200</v>
      </c>
      <c r="M166" s="503"/>
      <c r="N166" s="107" t="s">
        <v>3758</v>
      </c>
      <c r="O166" s="108" t="s">
        <v>3759</v>
      </c>
    </row>
    <row r="167" spans="1:15" hidden="1">
      <c r="A167" s="316" t="s">
        <v>3265</v>
      </c>
      <c r="B167" s="8">
        <v>61000</v>
      </c>
      <c r="C167" s="10" t="s">
        <v>4140</v>
      </c>
      <c r="D167" s="111">
        <v>0</v>
      </c>
      <c r="E167" s="9" t="s">
        <v>4141</v>
      </c>
      <c r="F167" s="9" t="s">
        <v>3785</v>
      </c>
      <c r="G167" s="46">
        <v>45231</v>
      </c>
      <c r="H167" s="119" t="s">
        <v>3834</v>
      </c>
      <c r="I167" s="728">
        <v>950</v>
      </c>
      <c r="J167" s="728"/>
      <c r="K167" s="141"/>
      <c r="L167" s="2">
        <f t="shared" si="2"/>
        <v>950</v>
      </c>
      <c r="M167" s="141"/>
      <c r="N167" s="22" t="s">
        <v>3758</v>
      </c>
      <c r="O167" s="106" t="s">
        <v>3759</v>
      </c>
    </row>
    <row r="168" spans="1:15" hidden="1">
      <c r="A168" s="316" t="s">
        <v>4143</v>
      </c>
      <c r="B168" s="110">
        <v>8207</v>
      </c>
      <c r="C168" s="44" t="s">
        <v>4144</v>
      </c>
      <c r="D168" s="111">
        <v>0</v>
      </c>
      <c r="E168" s="111" t="s">
        <v>4145</v>
      </c>
      <c r="F168" s="111" t="s">
        <v>3785</v>
      </c>
      <c r="G168" s="114">
        <v>45317</v>
      </c>
      <c r="H168" s="170" t="s">
        <v>3834</v>
      </c>
      <c r="I168" s="728">
        <v>456.5</v>
      </c>
      <c r="J168" s="728"/>
      <c r="K168" s="479"/>
      <c r="L168" s="5">
        <f t="shared" si="2"/>
        <v>456.5</v>
      </c>
      <c r="M168" s="479"/>
      <c r="N168" s="112" t="s">
        <v>3758</v>
      </c>
      <c r="O168" s="113" t="s">
        <v>3759</v>
      </c>
    </row>
    <row r="169" spans="1:15">
      <c r="A169" s="10">
        <v>2730426</v>
      </c>
      <c r="B169" s="11" t="s">
        <v>3877</v>
      </c>
      <c r="C169" s="10" t="s">
        <v>207</v>
      </c>
      <c r="D169" s="11">
        <v>1</v>
      </c>
      <c r="E169" s="11" t="s">
        <v>3878</v>
      </c>
      <c r="F169" s="11" t="s">
        <v>3785</v>
      </c>
      <c r="G169" s="129">
        <v>45734</v>
      </c>
      <c r="H169" s="161" t="s">
        <v>7993</v>
      </c>
      <c r="I169" s="729"/>
      <c r="J169" s="729"/>
      <c r="K169" s="633"/>
      <c r="L169" s="522">
        <f t="shared" si="2"/>
        <v>0</v>
      </c>
      <c r="M169" s="471"/>
      <c r="N169" s="22"/>
      <c r="O169" s="22" t="s">
        <v>3759</v>
      </c>
    </row>
    <row r="170" spans="1:15">
      <c r="A170" s="10">
        <v>4322268</v>
      </c>
      <c r="B170" s="34">
        <v>538</v>
      </c>
      <c r="C170" s="10" t="s">
        <v>3880</v>
      </c>
      <c r="D170" s="11">
        <v>1</v>
      </c>
      <c r="E170" s="11" t="s">
        <v>3882</v>
      </c>
      <c r="F170" s="11" t="s">
        <v>3763</v>
      </c>
      <c r="G170" s="129">
        <v>45463</v>
      </c>
      <c r="H170" s="161" t="s">
        <v>3768</v>
      </c>
      <c r="I170" s="729"/>
      <c r="J170" s="729"/>
      <c r="K170" s="634"/>
      <c r="L170" s="522">
        <f t="shared" si="2"/>
        <v>0</v>
      </c>
      <c r="M170" s="141"/>
      <c r="N170" s="22"/>
      <c r="O170" s="22" t="s">
        <v>3759</v>
      </c>
    </row>
    <row r="171" spans="1:15">
      <c r="A171" s="10">
        <v>7821342</v>
      </c>
      <c r="B171" s="34">
        <v>4558</v>
      </c>
      <c r="C171" s="10" t="s">
        <v>3893</v>
      </c>
      <c r="D171" s="11">
        <v>1</v>
      </c>
      <c r="E171" s="11" t="s">
        <v>3894</v>
      </c>
      <c r="F171" s="11" t="s">
        <v>3785</v>
      </c>
      <c r="G171" s="129">
        <v>44517</v>
      </c>
      <c r="H171" s="161" t="s">
        <v>3768</v>
      </c>
      <c r="I171" s="729"/>
      <c r="J171" s="729"/>
      <c r="K171" s="636"/>
      <c r="L171" s="522">
        <f t="shared" si="2"/>
        <v>0</v>
      </c>
      <c r="M171" s="142"/>
      <c r="N171" s="22"/>
      <c r="O171" s="22" t="s">
        <v>3759</v>
      </c>
    </row>
    <row r="172" spans="1:15" ht="15" customHeight="1">
      <c r="A172" s="10">
        <v>30903896</v>
      </c>
      <c r="B172" s="34" t="s">
        <v>3901</v>
      </c>
      <c r="C172" s="10" t="s">
        <v>3902</v>
      </c>
      <c r="D172" s="11">
        <v>1</v>
      </c>
      <c r="E172" s="11" t="s">
        <v>3903</v>
      </c>
      <c r="F172" s="11" t="s">
        <v>3750</v>
      </c>
      <c r="G172" s="129">
        <v>44169</v>
      </c>
      <c r="H172" s="161" t="s">
        <v>3904</v>
      </c>
      <c r="I172" s="729"/>
      <c r="J172" s="729"/>
      <c r="K172" s="636"/>
      <c r="L172" s="522">
        <f t="shared" si="2"/>
        <v>0</v>
      </c>
      <c r="M172" s="142"/>
      <c r="N172" s="12"/>
      <c r="O172" s="12" t="s">
        <v>3759</v>
      </c>
    </row>
    <row r="173" spans="1:15">
      <c r="A173" s="316">
        <v>33900004</v>
      </c>
      <c r="B173" s="462" t="s">
        <v>3905</v>
      </c>
      <c r="C173" s="316" t="s">
        <v>3906</v>
      </c>
      <c r="D173" s="464">
        <v>1</v>
      </c>
      <c r="E173" s="464" t="s">
        <v>8158</v>
      </c>
      <c r="F173" s="464" t="s">
        <v>3763</v>
      </c>
      <c r="G173" s="465">
        <v>44917</v>
      </c>
      <c r="H173" s="330" t="s">
        <v>3869</v>
      </c>
      <c r="I173" s="728"/>
      <c r="J173" s="728"/>
      <c r="K173" s="643"/>
      <c r="L173" s="522">
        <f t="shared" si="2"/>
        <v>0</v>
      </c>
      <c r="M173" s="318">
        <v>5000</v>
      </c>
      <c r="N173" s="407" t="s">
        <v>7995</v>
      </c>
      <c r="O173" s="22" t="s">
        <v>3759</v>
      </c>
    </row>
    <row r="174" spans="1:15" hidden="1">
      <c r="A174" s="316" t="s">
        <v>4164</v>
      </c>
      <c r="B174" s="558" t="s">
        <v>4165</v>
      </c>
      <c r="C174" s="260" t="s">
        <v>4166</v>
      </c>
      <c r="D174" s="555">
        <v>0</v>
      </c>
      <c r="E174" s="555" t="s">
        <v>4167</v>
      </c>
      <c r="F174" s="555"/>
      <c r="G174" s="555"/>
      <c r="H174" s="475"/>
      <c r="I174" s="728"/>
      <c r="J174" s="728"/>
      <c r="K174" s="169"/>
      <c r="L174" s="169">
        <f t="shared" si="2"/>
        <v>0</v>
      </c>
      <c r="M174" s="668"/>
      <c r="N174" s="121" t="s">
        <v>3758</v>
      </c>
      <c r="O174" s="122" t="s">
        <v>3759</v>
      </c>
    </row>
    <row r="175" spans="1:15">
      <c r="A175" s="10" t="s">
        <v>3910</v>
      </c>
      <c r="B175" s="34" t="s">
        <v>3748</v>
      </c>
      <c r="C175" s="10" t="s">
        <v>3911</v>
      </c>
      <c r="D175" s="11">
        <v>1</v>
      </c>
      <c r="E175" s="11" t="s">
        <v>3912</v>
      </c>
      <c r="F175" s="11" t="s">
        <v>3763</v>
      </c>
      <c r="G175" s="129">
        <v>44454</v>
      </c>
      <c r="H175" s="161" t="s">
        <v>3913</v>
      </c>
      <c r="I175" s="729"/>
      <c r="J175" s="729"/>
      <c r="K175" s="636"/>
      <c r="L175" s="522">
        <f t="shared" si="2"/>
        <v>0</v>
      </c>
      <c r="M175" s="142"/>
      <c r="N175" s="12"/>
      <c r="O175" s="12" t="s">
        <v>3759</v>
      </c>
    </row>
    <row r="176" spans="1:15" hidden="1">
      <c r="A176" s="316" t="s">
        <v>4172</v>
      </c>
      <c r="B176" s="554" t="s">
        <v>4173</v>
      </c>
      <c r="C176" s="329" t="s">
        <v>4174</v>
      </c>
      <c r="D176" s="555">
        <v>0</v>
      </c>
      <c r="E176" s="556" t="s">
        <v>4175</v>
      </c>
      <c r="F176" s="556"/>
      <c r="G176" s="556"/>
      <c r="H176" s="557"/>
      <c r="I176" s="728"/>
      <c r="J176" s="728"/>
      <c r="K176" s="498"/>
      <c r="L176" s="498">
        <f t="shared" si="2"/>
        <v>0</v>
      </c>
      <c r="M176" s="527"/>
      <c r="N176" s="107" t="s">
        <v>3758</v>
      </c>
      <c r="O176" s="108" t="s">
        <v>3759</v>
      </c>
    </row>
    <row r="177" spans="1:15" hidden="1">
      <c r="A177" s="316" t="s">
        <v>4172</v>
      </c>
      <c r="B177" s="8" t="s">
        <v>4176</v>
      </c>
      <c r="C177" s="10" t="s">
        <v>4174</v>
      </c>
      <c r="D177" s="111">
        <v>0</v>
      </c>
      <c r="E177" s="9" t="s">
        <v>4167</v>
      </c>
      <c r="F177" s="9" t="s">
        <v>3785</v>
      </c>
      <c r="G177" s="46">
        <v>45446</v>
      </c>
      <c r="H177" s="119" t="s">
        <v>3799</v>
      </c>
      <c r="I177" s="728">
        <v>650</v>
      </c>
      <c r="J177" s="728"/>
      <c r="K177" s="141"/>
      <c r="L177" s="2">
        <f t="shared" si="2"/>
        <v>650</v>
      </c>
      <c r="M177" s="141"/>
      <c r="N177" s="22" t="s">
        <v>3758</v>
      </c>
      <c r="O177" s="106" t="s">
        <v>3759</v>
      </c>
    </row>
    <row r="178" spans="1:15" hidden="1">
      <c r="A178" s="316" t="s">
        <v>4177</v>
      </c>
      <c r="B178" s="8" t="s">
        <v>4178</v>
      </c>
      <c r="C178" s="10" t="s">
        <v>4179</v>
      </c>
      <c r="D178" s="111">
        <v>0</v>
      </c>
      <c r="E178" s="9" t="s">
        <v>4175</v>
      </c>
      <c r="F178" s="9"/>
      <c r="G178" s="9"/>
      <c r="H178" s="119"/>
      <c r="I178" s="728"/>
      <c r="J178" s="728"/>
      <c r="K178" s="137"/>
      <c r="L178" s="137">
        <f t="shared" si="2"/>
        <v>0</v>
      </c>
      <c r="M178" s="487"/>
      <c r="N178" s="22" t="s">
        <v>3758</v>
      </c>
      <c r="O178" s="106" t="s">
        <v>3759</v>
      </c>
    </row>
    <row r="179" spans="1:15" hidden="1">
      <c r="A179" s="316" t="s">
        <v>4177</v>
      </c>
      <c r="B179" s="110">
        <v>5325</v>
      </c>
      <c r="C179" s="44" t="s">
        <v>4179</v>
      </c>
      <c r="D179" s="111">
        <v>0</v>
      </c>
      <c r="E179" s="111" t="s">
        <v>4175</v>
      </c>
      <c r="F179" s="111"/>
      <c r="G179" s="111"/>
      <c r="H179" s="170"/>
      <c r="I179" s="728"/>
      <c r="J179" s="728"/>
      <c r="K179" s="478"/>
      <c r="L179" s="478">
        <f t="shared" si="2"/>
        <v>0</v>
      </c>
      <c r="M179" s="524"/>
      <c r="N179" s="112" t="s">
        <v>3758</v>
      </c>
      <c r="O179" s="113" t="s">
        <v>3759</v>
      </c>
    </row>
    <row r="180" spans="1:15">
      <c r="A180" s="10" t="s">
        <v>3914</v>
      </c>
      <c r="B180" s="34">
        <v>2967</v>
      </c>
      <c r="C180" s="10" t="s">
        <v>3915</v>
      </c>
      <c r="D180" s="11">
        <v>1</v>
      </c>
      <c r="E180" s="11" t="s">
        <v>3916</v>
      </c>
      <c r="F180" s="11" t="s">
        <v>3763</v>
      </c>
      <c r="G180" s="129">
        <v>45323</v>
      </c>
      <c r="H180" s="161" t="s">
        <v>3768</v>
      </c>
      <c r="I180" s="729"/>
      <c r="J180" s="729"/>
      <c r="K180" s="634"/>
      <c r="L180" s="522">
        <f t="shared" si="2"/>
        <v>0</v>
      </c>
      <c r="M180" s="474">
        <v>3900</v>
      </c>
      <c r="N180" s="22"/>
      <c r="O180" s="22" t="s">
        <v>3759</v>
      </c>
    </row>
    <row r="181" spans="1:15">
      <c r="A181" s="10" t="s">
        <v>3942</v>
      </c>
      <c r="B181" s="34">
        <v>1716</v>
      </c>
      <c r="C181" s="10" t="s">
        <v>3943</v>
      </c>
      <c r="D181" s="11">
        <v>1</v>
      </c>
      <c r="E181" s="11" t="s">
        <v>3944</v>
      </c>
      <c r="F181" s="11" t="s">
        <v>3763</v>
      </c>
      <c r="G181" s="129">
        <v>45068</v>
      </c>
      <c r="H181" s="161" t="s">
        <v>3934</v>
      </c>
      <c r="I181" s="729"/>
      <c r="J181" s="729"/>
      <c r="K181" s="636"/>
      <c r="L181" s="522">
        <f t="shared" si="2"/>
        <v>0</v>
      </c>
      <c r="M181" s="142"/>
      <c r="N181" s="22"/>
      <c r="O181" s="22" t="s">
        <v>3759</v>
      </c>
    </row>
    <row r="182" spans="1:15" hidden="1">
      <c r="A182" s="316" t="s">
        <v>4188</v>
      </c>
      <c r="B182" s="554" t="s">
        <v>4189</v>
      </c>
      <c r="C182" s="329" t="s">
        <v>4190</v>
      </c>
      <c r="D182" s="555">
        <v>0</v>
      </c>
      <c r="E182" s="556" t="s">
        <v>4191</v>
      </c>
      <c r="F182" s="556"/>
      <c r="G182" s="556"/>
      <c r="H182" s="557"/>
      <c r="I182" s="728"/>
      <c r="J182" s="728"/>
      <c r="K182" s="494"/>
      <c r="L182" s="494">
        <f t="shared" si="2"/>
        <v>0</v>
      </c>
      <c r="M182" s="670"/>
      <c r="N182" s="107" t="s">
        <v>3758</v>
      </c>
      <c r="O182" s="108" t="s">
        <v>3759</v>
      </c>
    </row>
    <row r="183" spans="1:15" hidden="1">
      <c r="A183" s="316" t="s">
        <v>4188</v>
      </c>
      <c r="B183" s="110" t="s">
        <v>4192</v>
      </c>
      <c r="C183" s="44" t="s">
        <v>4190</v>
      </c>
      <c r="D183" s="111">
        <v>0</v>
      </c>
      <c r="E183" s="111" t="s">
        <v>4193</v>
      </c>
      <c r="F183" s="111"/>
      <c r="G183" s="111"/>
      <c r="H183" s="170"/>
      <c r="I183" s="728"/>
      <c r="J183" s="728"/>
      <c r="K183" s="136"/>
      <c r="L183" s="136">
        <f t="shared" si="2"/>
        <v>0</v>
      </c>
      <c r="M183" s="525"/>
      <c r="N183" s="112" t="s">
        <v>3758</v>
      </c>
      <c r="O183" s="113" t="s">
        <v>3759</v>
      </c>
    </row>
    <row r="184" spans="1:15">
      <c r="A184" s="10" t="s">
        <v>3962</v>
      </c>
      <c r="B184" s="34">
        <v>4453</v>
      </c>
      <c r="C184" s="10" t="s">
        <v>3963</v>
      </c>
      <c r="D184" s="11">
        <v>1</v>
      </c>
      <c r="E184" s="11" t="s">
        <v>3964</v>
      </c>
      <c r="F184" s="11" t="s">
        <v>3763</v>
      </c>
      <c r="G184" s="129">
        <v>42376</v>
      </c>
      <c r="H184" s="161" t="s">
        <v>3965</v>
      </c>
      <c r="I184" s="729"/>
      <c r="J184" s="729"/>
      <c r="K184" s="636"/>
      <c r="L184" s="522">
        <f t="shared" si="2"/>
        <v>0</v>
      </c>
      <c r="M184" s="142"/>
      <c r="N184" s="22"/>
      <c r="O184" s="22" t="s">
        <v>3759</v>
      </c>
    </row>
    <row r="185" spans="1:15" hidden="1">
      <c r="A185" s="316" t="s">
        <v>4196</v>
      </c>
      <c r="B185" s="554">
        <v>2110</v>
      </c>
      <c r="C185" s="329" t="s">
        <v>4197</v>
      </c>
      <c r="D185" s="555">
        <v>0</v>
      </c>
      <c r="E185" s="556" t="s">
        <v>3968</v>
      </c>
      <c r="F185" s="556"/>
      <c r="G185" s="556"/>
      <c r="H185" s="557"/>
      <c r="I185" s="728"/>
      <c r="J185" s="728"/>
      <c r="K185" s="498"/>
      <c r="L185" s="498">
        <f t="shared" si="2"/>
        <v>0</v>
      </c>
      <c r="M185" s="527"/>
      <c r="N185" s="575" t="s">
        <v>3758</v>
      </c>
      <c r="O185" s="108" t="s">
        <v>3759</v>
      </c>
    </row>
    <row r="186" spans="1:15" s="1" customFormat="1" hidden="1">
      <c r="A186" s="316" t="s">
        <v>4196</v>
      </c>
      <c r="B186" s="110">
        <v>2110</v>
      </c>
      <c r="C186" s="44" t="s">
        <v>4197</v>
      </c>
      <c r="D186" s="111">
        <v>0</v>
      </c>
      <c r="E186" s="114" t="s">
        <v>4198</v>
      </c>
      <c r="F186" s="114"/>
      <c r="G186" s="114"/>
      <c r="H186" s="537"/>
      <c r="I186" s="728"/>
      <c r="J186" s="728"/>
      <c r="K186" s="478"/>
      <c r="L186" s="478">
        <f t="shared" si="2"/>
        <v>0</v>
      </c>
      <c r="M186" s="524"/>
      <c r="N186" s="112" t="s">
        <v>3758</v>
      </c>
      <c r="O186" s="113" t="s">
        <v>3759</v>
      </c>
    </row>
    <row r="187" spans="1:15">
      <c r="A187" s="10" t="s">
        <v>3966</v>
      </c>
      <c r="B187" s="34">
        <v>9139</v>
      </c>
      <c r="C187" s="10" t="s">
        <v>3967</v>
      </c>
      <c r="D187" s="11">
        <v>1</v>
      </c>
      <c r="E187" s="11" t="s">
        <v>3968</v>
      </c>
      <c r="F187" s="11" t="s">
        <v>3763</v>
      </c>
      <c r="G187" s="129">
        <v>44867</v>
      </c>
      <c r="H187" s="161" t="s">
        <v>3969</v>
      </c>
      <c r="I187" s="729"/>
      <c r="J187" s="729"/>
      <c r="K187" s="638"/>
      <c r="L187" s="522">
        <f t="shared" si="2"/>
        <v>0</v>
      </c>
      <c r="M187" s="142"/>
      <c r="N187" s="22"/>
      <c r="O187" s="22" t="s">
        <v>3759</v>
      </c>
    </row>
    <row r="188" spans="1:15" hidden="1">
      <c r="A188" s="316" t="s">
        <v>4188</v>
      </c>
      <c r="B188" s="574" t="s">
        <v>4202</v>
      </c>
      <c r="C188" s="329" t="s">
        <v>4190</v>
      </c>
      <c r="D188" s="555">
        <v>0</v>
      </c>
      <c r="E188" s="576" t="s">
        <v>4203</v>
      </c>
      <c r="F188" s="576" t="s">
        <v>3785</v>
      </c>
      <c r="G188" s="565">
        <v>45636</v>
      </c>
      <c r="H188" s="557" t="s">
        <v>3819</v>
      </c>
      <c r="I188" s="728">
        <v>4500</v>
      </c>
      <c r="J188" s="728"/>
      <c r="K188" s="504"/>
      <c r="L188" s="504">
        <f t="shared" si="2"/>
        <v>4500</v>
      </c>
      <c r="M188" s="527"/>
      <c r="N188" s="107" t="s">
        <v>3758</v>
      </c>
      <c r="O188" s="108" t="s">
        <v>3759</v>
      </c>
    </row>
    <row r="189" spans="1:15" hidden="1">
      <c r="A189" s="316" t="s">
        <v>4204</v>
      </c>
      <c r="B189" s="110" t="s">
        <v>4205</v>
      </c>
      <c r="C189" s="44" t="s">
        <v>4206</v>
      </c>
      <c r="D189" s="111">
        <v>0</v>
      </c>
      <c r="E189" s="111" t="s">
        <v>4207</v>
      </c>
      <c r="F189" s="111" t="s">
        <v>3785</v>
      </c>
      <c r="G189" s="114">
        <v>44739</v>
      </c>
      <c r="H189" s="170" t="s">
        <v>3768</v>
      </c>
      <c r="I189" s="728">
        <v>1850</v>
      </c>
      <c r="J189" s="728"/>
      <c r="K189" s="216"/>
      <c r="L189" s="656">
        <f t="shared" si="2"/>
        <v>1850</v>
      </c>
      <c r="M189" s="513"/>
      <c r="N189" s="112" t="s">
        <v>3758</v>
      </c>
      <c r="O189" s="113" t="s">
        <v>3759</v>
      </c>
    </row>
    <row r="190" spans="1:15">
      <c r="A190" s="10" t="s">
        <v>3970</v>
      </c>
      <c r="B190" s="34">
        <v>1842</v>
      </c>
      <c r="C190" s="10" t="s">
        <v>3971</v>
      </c>
      <c r="D190" s="11">
        <v>1</v>
      </c>
      <c r="E190" s="11" t="s">
        <v>3968</v>
      </c>
      <c r="F190" s="11" t="s">
        <v>3785</v>
      </c>
      <c r="G190" s="129">
        <v>45217</v>
      </c>
      <c r="H190" s="161" t="s">
        <v>3972</v>
      </c>
      <c r="I190" s="729"/>
      <c r="J190" s="729"/>
      <c r="K190" s="636"/>
      <c r="L190" s="522">
        <f t="shared" si="2"/>
        <v>0</v>
      </c>
      <c r="M190" s="142"/>
      <c r="N190" s="22"/>
      <c r="O190" s="22" t="s">
        <v>3759</v>
      </c>
    </row>
    <row r="191" spans="1:15" hidden="1">
      <c r="A191" s="316" t="s">
        <v>4209</v>
      </c>
      <c r="B191" s="554" t="s">
        <v>4210</v>
      </c>
      <c r="C191" s="329" t="s">
        <v>4211</v>
      </c>
      <c r="D191" s="555">
        <v>0</v>
      </c>
      <c r="E191" s="556" t="s">
        <v>3919</v>
      </c>
      <c r="F191" s="556"/>
      <c r="G191" s="556"/>
      <c r="H191" s="557"/>
      <c r="I191" s="728"/>
      <c r="J191" s="728"/>
      <c r="K191" s="494"/>
      <c r="L191" s="494">
        <f t="shared" si="2"/>
        <v>0</v>
      </c>
      <c r="M191" s="670"/>
      <c r="N191" s="107" t="s">
        <v>3758</v>
      </c>
      <c r="O191" s="108" t="s">
        <v>3759</v>
      </c>
    </row>
    <row r="192" spans="1:15" hidden="1">
      <c r="A192" s="316" t="s">
        <v>4209</v>
      </c>
      <c r="B192" s="8" t="s">
        <v>4212</v>
      </c>
      <c r="C192" s="10" t="s">
        <v>4213</v>
      </c>
      <c r="D192" s="111">
        <v>0</v>
      </c>
      <c r="E192" s="9" t="s">
        <v>4198</v>
      </c>
      <c r="F192" s="9"/>
      <c r="G192" s="9"/>
      <c r="H192" s="119"/>
      <c r="I192" s="728"/>
      <c r="J192" s="728"/>
      <c r="K192" s="137"/>
      <c r="L192" s="137">
        <f t="shared" si="2"/>
        <v>0</v>
      </c>
      <c r="M192" s="487"/>
      <c r="N192" s="22" t="s">
        <v>3758</v>
      </c>
      <c r="O192" s="106" t="s">
        <v>3759</v>
      </c>
    </row>
    <row r="193" spans="1:15" hidden="1">
      <c r="A193" s="316" t="s">
        <v>4214</v>
      </c>
      <c r="B193" s="8" t="s">
        <v>4215</v>
      </c>
      <c r="C193" s="10" t="s">
        <v>4216</v>
      </c>
      <c r="D193" s="111">
        <v>0</v>
      </c>
      <c r="E193" s="9" t="s">
        <v>4198</v>
      </c>
      <c r="F193" s="9"/>
      <c r="G193" s="9"/>
      <c r="H193" s="119"/>
      <c r="I193" s="728"/>
      <c r="J193" s="728"/>
      <c r="K193" s="137"/>
      <c r="L193" s="137">
        <f t="shared" si="2"/>
        <v>0</v>
      </c>
      <c r="M193" s="487"/>
      <c r="N193" s="22" t="s">
        <v>3758</v>
      </c>
      <c r="O193" s="106" t="s">
        <v>3759</v>
      </c>
    </row>
    <row r="194" spans="1:15" hidden="1">
      <c r="A194" s="316" t="s">
        <v>4214</v>
      </c>
      <c r="B194" s="8" t="s">
        <v>4217</v>
      </c>
      <c r="C194" s="10" t="s">
        <v>4218</v>
      </c>
      <c r="D194" s="111">
        <v>0</v>
      </c>
      <c r="E194" s="9" t="s">
        <v>3948</v>
      </c>
      <c r="F194" s="9"/>
      <c r="G194" s="9"/>
      <c r="H194" s="119"/>
      <c r="I194" s="728"/>
      <c r="J194" s="728"/>
      <c r="K194" s="137"/>
      <c r="L194" s="137">
        <f t="shared" si="2"/>
        <v>0</v>
      </c>
      <c r="M194" s="487"/>
      <c r="N194" s="22" t="s">
        <v>3758</v>
      </c>
      <c r="O194" s="106" t="s">
        <v>3759</v>
      </c>
    </row>
    <row r="195" spans="1:15" hidden="1">
      <c r="A195" s="316" t="s">
        <v>4219</v>
      </c>
      <c r="B195" s="8" t="s">
        <v>4220</v>
      </c>
      <c r="C195" s="10" t="s">
        <v>4221</v>
      </c>
      <c r="D195" s="111">
        <v>0</v>
      </c>
      <c r="E195" s="9" t="s">
        <v>3922</v>
      </c>
      <c r="F195" s="9"/>
      <c r="G195" s="9"/>
      <c r="H195" s="119"/>
      <c r="I195" s="728"/>
      <c r="J195" s="728"/>
      <c r="K195" s="137"/>
      <c r="L195" s="137">
        <f t="shared" si="2"/>
        <v>0</v>
      </c>
      <c r="M195" s="487"/>
      <c r="N195" s="22" t="s">
        <v>3758</v>
      </c>
      <c r="O195" s="106" t="s">
        <v>3759</v>
      </c>
    </row>
    <row r="196" spans="1:15" hidden="1">
      <c r="A196" s="316" t="s">
        <v>4219</v>
      </c>
      <c r="B196" s="110" t="s">
        <v>4222</v>
      </c>
      <c r="C196" s="44" t="s">
        <v>4221</v>
      </c>
      <c r="D196" s="111">
        <v>0</v>
      </c>
      <c r="E196" s="111" t="s">
        <v>4223</v>
      </c>
      <c r="F196" s="111"/>
      <c r="G196" s="111"/>
      <c r="H196" s="170"/>
      <c r="I196" s="728"/>
      <c r="J196" s="728"/>
      <c r="K196" s="478"/>
      <c r="L196" s="478">
        <f t="shared" ref="L196:L259" si="3">IF(OR(I196="", K196=""), I196 + K196, I196 + K196)</f>
        <v>0</v>
      </c>
      <c r="M196" s="524"/>
      <c r="N196" s="112" t="s">
        <v>3758</v>
      </c>
      <c r="O196" s="113" t="s">
        <v>3759</v>
      </c>
    </row>
    <row r="197" spans="1:15">
      <c r="A197" s="10" t="s">
        <v>3970</v>
      </c>
      <c r="B197" s="34">
        <v>7039</v>
      </c>
      <c r="C197" s="10" t="s">
        <v>3971</v>
      </c>
      <c r="D197" s="11">
        <v>1</v>
      </c>
      <c r="E197" s="11" t="s">
        <v>3968</v>
      </c>
      <c r="F197" s="11" t="s">
        <v>3785</v>
      </c>
      <c r="G197" s="129">
        <v>45215</v>
      </c>
      <c r="H197" s="161" t="s">
        <v>3972</v>
      </c>
      <c r="I197" s="729"/>
      <c r="J197" s="729"/>
      <c r="K197" s="636"/>
      <c r="L197" s="522">
        <f t="shared" si="3"/>
        <v>0</v>
      </c>
      <c r="M197" s="142"/>
      <c r="N197" s="22"/>
      <c r="O197" s="22" t="s">
        <v>3759</v>
      </c>
    </row>
    <row r="198" spans="1:15" hidden="1">
      <c r="A198" s="316" t="s">
        <v>4227</v>
      </c>
      <c r="B198" s="554" t="s">
        <v>4228</v>
      </c>
      <c r="C198" s="329" t="s">
        <v>4221</v>
      </c>
      <c r="D198" s="555">
        <v>0</v>
      </c>
      <c r="E198" s="556" t="s">
        <v>4229</v>
      </c>
      <c r="F198" s="556"/>
      <c r="G198" s="556"/>
      <c r="H198" s="557"/>
      <c r="I198" s="728"/>
      <c r="J198" s="728"/>
      <c r="K198" s="498"/>
      <c r="L198" s="498">
        <f t="shared" si="3"/>
        <v>0</v>
      </c>
      <c r="M198" s="527"/>
      <c r="N198" s="107" t="s">
        <v>3758</v>
      </c>
      <c r="O198" s="108" t="s">
        <v>3759</v>
      </c>
    </row>
    <row r="199" spans="1:15" hidden="1">
      <c r="A199" s="316" t="s">
        <v>3265</v>
      </c>
      <c r="B199" s="8">
        <v>70227</v>
      </c>
      <c r="C199" s="10" t="s">
        <v>4144</v>
      </c>
      <c r="D199" s="111">
        <v>0</v>
      </c>
      <c r="E199" s="9" t="s">
        <v>4141</v>
      </c>
      <c r="F199" s="9" t="s">
        <v>3785</v>
      </c>
      <c r="G199" s="46">
        <v>45639</v>
      </c>
      <c r="H199" s="119" t="s">
        <v>3834</v>
      </c>
      <c r="I199" s="728"/>
      <c r="J199" s="728"/>
      <c r="K199" s="218"/>
      <c r="L199" s="218">
        <f t="shared" si="3"/>
        <v>0</v>
      </c>
      <c r="M199" s="487"/>
      <c r="N199" s="22" t="s">
        <v>3758</v>
      </c>
      <c r="O199" s="106" t="s">
        <v>3759</v>
      </c>
    </row>
    <row r="200" spans="1:15" hidden="1">
      <c r="A200" s="316" t="s">
        <v>3265</v>
      </c>
      <c r="B200" s="8">
        <v>35625</v>
      </c>
      <c r="C200" s="10" t="s">
        <v>4144</v>
      </c>
      <c r="D200" s="111">
        <v>0</v>
      </c>
      <c r="E200" s="9" t="s">
        <v>4141</v>
      </c>
      <c r="F200" s="9" t="s">
        <v>3785</v>
      </c>
      <c r="G200" s="46">
        <v>45639</v>
      </c>
      <c r="H200" s="119" t="s">
        <v>3834</v>
      </c>
      <c r="I200" s="728"/>
      <c r="J200" s="728"/>
      <c r="K200" s="160"/>
      <c r="L200" s="160">
        <f t="shared" si="3"/>
        <v>0</v>
      </c>
      <c r="M200" s="471"/>
      <c r="N200" s="22" t="s">
        <v>8005</v>
      </c>
      <c r="O200" s="106" t="s">
        <v>3759</v>
      </c>
    </row>
    <row r="201" spans="1:15" hidden="1">
      <c r="A201" s="316" t="s">
        <v>4230</v>
      </c>
      <c r="B201" s="8" t="s">
        <v>4231</v>
      </c>
      <c r="C201" s="10" t="s">
        <v>4232</v>
      </c>
      <c r="D201" s="111">
        <v>0</v>
      </c>
      <c r="E201" s="9" t="s">
        <v>4233</v>
      </c>
      <c r="F201" s="9" t="s">
        <v>3785</v>
      </c>
      <c r="G201" s="46">
        <v>45490</v>
      </c>
      <c r="H201" s="119" t="s">
        <v>3768</v>
      </c>
      <c r="I201" s="728">
        <v>2100</v>
      </c>
      <c r="J201" s="728"/>
      <c r="K201" s="141"/>
      <c r="L201" s="2">
        <f t="shared" si="3"/>
        <v>2100</v>
      </c>
      <c r="M201" s="141"/>
      <c r="N201" s="22" t="s">
        <v>3758</v>
      </c>
      <c r="O201" s="106" t="s">
        <v>3759</v>
      </c>
    </row>
    <row r="202" spans="1:15" hidden="1">
      <c r="A202" s="316" t="s">
        <v>3265</v>
      </c>
      <c r="B202" s="110">
        <v>95973</v>
      </c>
      <c r="C202" s="44" t="s">
        <v>4144</v>
      </c>
      <c r="D202" s="111">
        <v>0</v>
      </c>
      <c r="E202" s="111" t="s">
        <v>4141</v>
      </c>
      <c r="F202" s="111" t="s">
        <v>3785</v>
      </c>
      <c r="G202" s="114">
        <v>45639</v>
      </c>
      <c r="H202" s="170" t="s">
        <v>3834</v>
      </c>
      <c r="I202" s="728"/>
      <c r="J202" s="728"/>
      <c r="K202" s="331"/>
      <c r="L202" s="331">
        <f t="shared" si="3"/>
        <v>0</v>
      </c>
      <c r="M202" s="525"/>
      <c r="N202" s="112" t="s">
        <v>8005</v>
      </c>
      <c r="O202" s="113" t="s">
        <v>3759</v>
      </c>
    </row>
    <row r="203" spans="1:15">
      <c r="A203" s="10" t="s">
        <v>3924</v>
      </c>
      <c r="B203" s="34" t="s">
        <v>3973</v>
      </c>
      <c r="C203" s="10" t="s">
        <v>3926</v>
      </c>
      <c r="D203" s="11">
        <v>1</v>
      </c>
      <c r="E203" s="11" t="s">
        <v>3927</v>
      </c>
      <c r="F203" s="11" t="s">
        <v>3763</v>
      </c>
      <c r="G203" s="129">
        <v>45445</v>
      </c>
      <c r="H203" s="161" t="s">
        <v>3974</v>
      </c>
      <c r="I203" s="729"/>
      <c r="J203" s="729"/>
      <c r="K203" s="634"/>
      <c r="L203" s="522">
        <f t="shared" si="3"/>
        <v>0</v>
      </c>
      <c r="M203" s="141"/>
      <c r="N203" s="22"/>
      <c r="O203" s="22" t="s">
        <v>3759</v>
      </c>
    </row>
    <row r="204" spans="1:15">
      <c r="A204" s="10" t="s">
        <v>3931</v>
      </c>
      <c r="B204" s="34">
        <v>24312</v>
      </c>
      <c r="C204" s="10" t="s">
        <v>3932</v>
      </c>
      <c r="D204" s="11">
        <v>1</v>
      </c>
      <c r="E204" s="10" t="s">
        <v>3982</v>
      </c>
      <c r="F204" s="11" t="s">
        <v>3763</v>
      </c>
      <c r="G204" s="129">
        <v>44520</v>
      </c>
      <c r="H204" s="161" t="s">
        <v>3969</v>
      </c>
      <c r="I204" s="729"/>
      <c r="J204" s="729"/>
      <c r="K204" s="636"/>
      <c r="L204" s="522">
        <f t="shared" si="3"/>
        <v>0</v>
      </c>
      <c r="M204" s="142"/>
      <c r="N204" s="12"/>
      <c r="O204" s="12" t="s">
        <v>3759</v>
      </c>
    </row>
    <row r="205" spans="1:15">
      <c r="A205" s="10" t="s">
        <v>7595</v>
      </c>
      <c r="B205" s="323">
        <v>17554</v>
      </c>
      <c r="C205" s="323" t="s">
        <v>7596</v>
      </c>
      <c r="D205" s="11">
        <v>1</v>
      </c>
      <c r="E205" s="11" t="s">
        <v>4478</v>
      </c>
      <c r="F205" s="11" t="s">
        <v>3785</v>
      </c>
      <c r="G205" s="129">
        <v>45926</v>
      </c>
      <c r="H205" s="161" t="s">
        <v>4025</v>
      </c>
      <c r="I205" s="729"/>
      <c r="J205" s="729"/>
      <c r="K205" s="633"/>
      <c r="L205" s="522">
        <f t="shared" si="3"/>
        <v>0</v>
      </c>
      <c r="M205" s="471"/>
      <c r="N205" s="22"/>
      <c r="O205" s="22" t="s">
        <v>3759</v>
      </c>
    </row>
    <row r="206" spans="1:15">
      <c r="A206" s="10" t="s">
        <v>3983</v>
      </c>
      <c r="B206" s="34" t="s">
        <v>3748</v>
      </c>
      <c r="C206" s="10" t="s">
        <v>3984</v>
      </c>
      <c r="D206" s="11">
        <v>2</v>
      </c>
      <c r="E206" s="11" t="s">
        <v>3985</v>
      </c>
      <c r="F206" s="11" t="s">
        <v>3750</v>
      </c>
      <c r="G206" s="129">
        <v>44700</v>
      </c>
      <c r="H206" s="161" t="s">
        <v>3986</v>
      </c>
      <c r="I206" s="729"/>
      <c r="J206" s="729"/>
      <c r="K206" s="635"/>
      <c r="L206" s="522">
        <f t="shared" si="3"/>
        <v>0</v>
      </c>
      <c r="M206" s="740">
        <v>450</v>
      </c>
      <c r="N206" s="22"/>
      <c r="O206" s="22" t="s">
        <v>3759</v>
      </c>
    </row>
    <row r="207" spans="1:15" ht="15.75" customHeight="1">
      <c r="A207" s="10" t="s">
        <v>3987</v>
      </c>
      <c r="B207" s="34" t="s">
        <v>3748</v>
      </c>
      <c r="C207" s="10" t="s">
        <v>3988</v>
      </c>
      <c r="D207" s="11">
        <v>1</v>
      </c>
      <c r="E207" s="11" t="s">
        <v>3989</v>
      </c>
      <c r="F207" s="11" t="s">
        <v>3750</v>
      </c>
      <c r="G207" s="129"/>
      <c r="H207" s="161"/>
      <c r="I207" s="729"/>
      <c r="J207" s="729"/>
      <c r="K207" s="639"/>
      <c r="L207" s="522">
        <f t="shared" si="3"/>
        <v>0</v>
      </c>
      <c r="M207" s="471"/>
      <c r="N207" s="12"/>
      <c r="O207" s="12" t="s">
        <v>3759</v>
      </c>
    </row>
    <row r="208" spans="1:15" ht="11.25" customHeight="1">
      <c r="A208" s="10" t="s">
        <v>3990</v>
      </c>
      <c r="B208" s="34" t="s">
        <v>3991</v>
      </c>
      <c r="C208" s="10" t="s">
        <v>3992</v>
      </c>
      <c r="D208" s="11">
        <v>1</v>
      </c>
      <c r="E208" s="11" t="s">
        <v>3836</v>
      </c>
      <c r="F208" s="11" t="s">
        <v>3798</v>
      </c>
      <c r="G208" s="129">
        <v>45071</v>
      </c>
      <c r="H208" s="161" t="s">
        <v>3768</v>
      </c>
      <c r="I208" s="729"/>
      <c r="J208" s="729"/>
      <c r="K208" s="634"/>
      <c r="L208" s="522">
        <f t="shared" si="3"/>
        <v>0</v>
      </c>
      <c r="M208" s="141"/>
      <c r="N208" s="22"/>
      <c r="O208" s="22" t="s">
        <v>3804</v>
      </c>
    </row>
    <row r="209" spans="1:15" hidden="1">
      <c r="A209" s="316" t="s">
        <v>4246</v>
      </c>
      <c r="B209" s="554">
        <v>5266</v>
      </c>
      <c r="C209" s="329" t="s">
        <v>4247</v>
      </c>
      <c r="D209" s="555">
        <v>0</v>
      </c>
      <c r="E209" s="556" t="s">
        <v>3887</v>
      </c>
      <c r="F209" s="556"/>
      <c r="G209" s="556"/>
      <c r="H209" s="557"/>
      <c r="I209" s="728"/>
      <c r="J209" s="728"/>
      <c r="K209" s="498"/>
      <c r="L209" s="498">
        <f t="shared" si="3"/>
        <v>0</v>
      </c>
      <c r="M209" s="527"/>
      <c r="N209" s="107" t="s">
        <v>3758</v>
      </c>
      <c r="O209" s="108" t="s">
        <v>3759</v>
      </c>
    </row>
    <row r="210" spans="1:15" hidden="1">
      <c r="A210" s="316" t="s">
        <v>4246</v>
      </c>
      <c r="B210" s="8">
        <v>7113</v>
      </c>
      <c r="C210" s="10" t="s">
        <v>4247</v>
      </c>
      <c r="D210" s="111">
        <v>0</v>
      </c>
      <c r="E210" s="9" t="s">
        <v>3878</v>
      </c>
      <c r="F210" s="9"/>
      <c r="G210" s="9"/>
      <c r="H210" s="119"/>
      <c r="I210" s="728"/>
      <c r="J210" s="728"/>
      <c r="K210" s="138"/>
      <c r="L210" s="138">
        <f t="shared" si="3"/>
        <v>0</v>
      </c>
      <c r="M210" s="471"/>
      <c r="N210" s="22" t="s">
        <v>3758</v>
      </c>
      <c r="O210" s="106" t="s">
        <v>3759</v>
      </c>
    </row>
    <row r="211" spans="1:15" hidden="1">
      <c r="A211" s="316" t="s">
        <v>4248</v>
      </c>
      <c r="B211" s="8" t="s">
        <v>4249</v>
      </c>
      <c r="C211" s="10" t="s">
        <v>4250</v>
      </c>
      <c r="D211" s="111">
        <v>0</v>
      </c>
      <c r="E211" s="9" t="s">
        <v>4251</v>
      </c>
      <c r="F211" s="9" t="s">
        <v>3763</v>
      </c>
      <c r="G211" s="46">
        <v>45469</v>
      </c>
      <c r="H211" s="119" t="s">
        <v>3799</v>
      </c>
      <c r="I211" s="728">
        <v>725</v>
      </c>
      <c r="J211" s="728"/>
      <c r="K211" s="141"/>
      <c r="L211" s="2">
        <f t="shared" si="3"/>
        <v>725</v>
      </c>
      <c r="M211" s="141"/>
      <c r="N211" s="22" t="s">
        <v>3758</v>
      </c>
      <c r="O211" s="106" t="s">
        <v>3759</v>
      </c>
    </row>
    <row r="212" spans="1:15" hidden="1">
      <c r="A212" s="316" t="s">
        <v>4252</v>
      </c>
      <c r="B212" s="8" t="s">
        <v>4253</v>
      </c>
      <c r="C212" s="10" t="s">
        <v>4254</v>
      </c>
      <c r="D212" s="111">
        <v>0</v>
      </c>
      <c r="E212" s="9" t="s">
        <v>3774</v>
      </c>
      <c r="F212" s="9"/>
      <c r="G212" s="9"/>
      <c r="H212" s="119"/>
      <c r="I212" s="728"/>
      <c r="J212" s="728"/>
      <c r="K212" s="138"/>
      <c r="L212" s="138">
        <f t="shared" si="3"/>
        <v>0</v>
      </c>
      <c r="M212" s="471"/>
      <c r="N212" s="22" t="s">
        <v>3758</v>
      </c>
      <c r="O212" s="106" t="s">
        <v>3759</v>
      </c>
    </row>
    <row r="213" spans="1:15" hidden="1">
      <c r="A213" s="316" t="s">
        <v>4255</v>
      </c>
      <c r="B213" s="110" t="s">
        <v>3748</v>
      </c>
      <c r="C213" s="44" t="s">
        <v>34</v>
      </c>
      <c r="D213" s="111">
        <v>0</v>
      </c>
      <c r="E213" s="111" t="s">
        <v>4162</v>
      </c>
      <c r="F213" s="111" t="s">
        <v>3750</v>
      </c>
      <c r="G213" s="111"/>
      <c r="H213" s="170"/>
      <c r="I213" s="728"/>
      <c r="J213" s="728"/>
      <c r="K213" s="478"/>
      <c r="L213" s="478">
        <f t="shared" si="3"/>
        <v>0</v>
      </c>
      <c r="M213" s="524"/>
      <c r="N213" s="112" t="s">
        <v>3758</v>
      </c>
      <c r="O213" s="113" t="s">
        <v>3759</v>
      </c>
    </row>
    <row r="214" spans="1:15">
      <c r="A214" s="10" t="s">
        <v>3993</v>
      </c>
      <c r="B214" s="34">
        <v>1399</v>
      </c>
      <c r="C214" s="10" t="s">
        <v>207</v>
      </c>
      <c r="D214" s="11">
        <v>1</v>
      </c>
      <c r="E214" s="11" t="s">
        <v>3994</v>
      </c>
      <c r="F214" s="11" t="s">
        <v>3763</v>
      </c>
      <c r="G214" s="129">
        <v>44837</v>
      </c>
      <c r="H214" s="161" t="s">
        <v>3951</v>
      </c>
      <c r="I214" s="729"/>
      <c r="J214" s="729"/>
      <c r="K214" s="636"/>
      <c r="L214" s="522">
        <f t="shared" si="3"/>
        <v>0</v>
      </c>
      <c r="M214" s="142"/>
      <c r="N214" s="12"/>
      <c r="O214" s="12" t="s">
        <v>3804</v>
      </c>
    </row>
    <row r="215" spans="1:15">
      <c r="A215" s="10" t="s">
        <v>3993</v>
      </c>
      <c r="B215" s="34">
        <v>1643</v>
      </c>
      <c r="C215" s="10" t="s">
        <v>207</v>
      </c>
      <c r="D215" s="11">
        <v>1</v>
      </c>
      <c r="E215" s="11" t="s">
        <v>3998</v>
      </c>
      <c r="F215" s="11" t="s">
        <v>3763</v>
      </c>
      <c r="G215" s="129">
        <v>45266</v>
      </c>
      <c r="H215" s="161" t="s">
        <v>3768</v>
      </c>
      <c r="I215" s="729"/>
      <c r="J215" s="729"/>
      <c r="K215" s="634"/>
      <c r="L215" s="522">
        <f t="shared" si="3"/>
        <v>0</v>
      </c>
      <c r="M215" s="141"/>
      <c r="N215" s="22"/>
      <c r="O215" s="22" t="s">
        <v>3759</v>
      </c>
    </row>
    <row r="216" spans="1:15" hidden="1">
      <c r="A216" s="316" t="s">
        <v>4265</v>
      </c>
      <c r="B216" s="558" t="s">
        <v>4266</v>
      </c>
      <c r="C216" s="260" t="s">
        <v>4267</v>
      </c>
      <c r="D216" s="555">
        <v>0</v>
      </c>
      <c r="E216" s="559" t="s">
        <v>4223</v>
      </c>
      <c r="F216" s="555" t="s">
        <v>3798</v>
      </c>
      <c r="G216" s="559">
        <v>45576</v>
      </c>
      <c r="H216" s="475" t="s">
        <v>3951</v>
      </c>
      <c r="I216" s="728">
        <v>1200</v>
      </c>
      <c r="J216" s="728"/>
      <c r="K216" s="169"/>
      <c r="L216" s="169">
        <f t="shared" si="3"/>
        <v>1200</v>
      </c>
      <c r="M216" s="668"/>
      <c r="N216" s="121" t="s">
        <v>3758</v>
      </c>
      <c r="O216" s="122" t="s">
        <v>3759</v>
      </c>
    </row>
    <row r="217" spans="1:15">
      <c r="A217" s="10" t="s">
        <v>3975</v>
      </c>
      <c r="B217" s="115" t="s">
        <v>5748</v>
      </c>
      <c r="C217" s="10" t="s">
        <v>3977</v>
      </c>
      <c r="D217" s="11">
        <v>1</v>
      </c>
      <c r="E217" s="10" t="s">
        <v>4683</v>
      </c>
      <c r="F217" s="10" t="s">
        <v>3785</v>
      </c>
      <c r="G217" s="129">
        <v>45827</v>
      </c>
      <c r="H217" s="161" t="s">
        <v>3799</v>
      </c>
      <c r="I217" s="729"/>
      <c r="J217" s="729"/>
      <c r="K217" s="633"/>
      <c r="L217" s="522">
        <f t="shared" si="3"/>
        <v>0</v>
      </c>
      <c r="M217" s="471"/>
      <c r="N217" s="22"/>
      <c r="O217" s="22" t="s">
        <v>3759</v>
      </c>
    </row>
    <row r="218" spans="1:15" hidden="1">
      <c r="A218" s="316" t="s">
        <v>4188</v>
      </c>
      <c r="B218" s="554" t="s">
        <v>4271</v>
      </c>
      <c r="C218" s="329" t="s">
        <v>4190</v>
      </c>
      <c r="D218" s="555">
        <v>0</v>
      </c>
      <c r="E218" s="576" t="s">
        <v>4272</v>
      </c>
      <c r="F218" s="556" t="s">
        <v>3785</v>
      </c>
      <c r="G218" s="565">
        <v>45639</v>
      </c>
      <c r="H218" s="557" t="s">
        <v>3819</v>
      </c>
      <c r="I218" s="728">
        <v>4500</v>
      </c>
      <c r="J218" s="728"/>
      <c r="K218" s="499"/>
      <c r="L218" s="499">
        <f t="shared" si="3"/>
        <v>4500</v>
      </c>
      <c r="M218" s="670"/>
      <c r="N218" s="107" t="s">
        <v>3758</v>
      </c>
      <c r="O218" s="108" t="s">
        <v>3759</v>
      </c>
    </row>
    <row r="219" spans="1:15" hidden="1">
      <c r="A219" s="316" t="s">
        <v>4188</v>
      </c>
      <c r="B219" s="8" t="s">
        <v>4273</v>
      </c>
      <c r="C219" s="10" t="s">
        <v>4190</v>
      </c>
      <c r="D219" s="111">
        <v>0</v>
      </c>
      <c r="E219" s="9" t="s">
        <v>4274</v>
      </c>
      <c r="F219" s="9" t="s">
        <v>3785</v>
      </c>
      <c r="G219" s="46">
        <v>45672</v>
      </c>
      <c r="H219" s="119" t="s">
        <v>3819</v>
      </c>
      <c r="I219" s="728">
        <v>4500</v>
      </c>
      <c r="J219" s="728"/>
      <c r="K219" s="160"/>
      <c r="L219" s="160">
        <f t="shared" si="3"/>
        <v>4500</v>
      </c>
      <c r="M219" s="471"/>
      <c r="N219" s="22" t="s">
        <v>3758</v>
      </c>
      <c r="O219" s="106" t="s">
        <v>3759</v>
      </c>
    </row>
    <row r="220" spans="1:15" s="1" customFormat="1" hidden="1">
      <c r="A220" s="316" t="s">
        <v>4188</v>
      </c>
      <c r="B220" s="538" t="s">
        <v>4275</v>
      </c>
      <c r="C220" s="539" t="s">
        <v>4190</v>
      </c>
      <c r="D220" s="540">
        <v>1</v>
      </c>
      <c r="E220" s="540" t="s">
        <v>3745</v>
      </c>
      <c r="F220" s="540" t="s">
        <v>3785</v>
      </c>
      <c r="G220" s="541">
        <v>45706</v>
      </c>
      <c r="H220" s="542" t="s">
        <v>3819</v>
      </c>
      <c r="I220" s="728"/>
      <c r="J220" s="728"/>
      <c r="K220" s="489"/>
      <c r="L220" s="489">
        <f t="shared" si="3"/>
        <v>0</v>
      </c>
      <c r="M220" s="489"/>
      <c r="N220" s="543" t="s">
        <v>4276</v>
      </c>
      <c r="O220" s="113" t="s">
        <v>3759</v>
      </c>
    </row>
    <row r="221" spans="1:15">
      <c r="A221" s="10" t="s">
        <v>4006</v>
      </c>
      <c r="B221" s="34" t="s">
        <v>4007</v>
      </c>
      <c r="C221" s="10" t="s">
        <v>2264</v>
      </c>
      <c r="D221" s="11">
        <v>1</v>
      </c>
      <c r="E221" s="11" t="s">
        <v>4008</v>
      </c>
      <c r="F221" s="11" t="s">
        <v>3798</v>
      </c>
      <c r="G221" s="129">
        <v>43780</v>
      </c>
      <c r="H221" s="161" t="s">
        <v>4009</v>
      </c>
      <c r="I221" s="729"/>
      <c r="J221" s="729"/>
      <c r="K221" s="636"/>
      <c r="L221" s="522">
        <f t="shared" si="3"/>
        <v>0</v>
      </c>
      <c r="M221" s="142"/>
      <c r="N221" s="12"/>
      <c r="O221" s="12" t="s">
        <v>3759</v>
      </c>
    </row>
    <row r="222" spans="1:15">
      <c r="A222" s="10" t="s">
        <v>3995</v>
      </c>
      <c r="B222" s="34">
        <v>902</v>
      </c>
      <c r="C222" s="10" t="s">
        <v>3996</v>
      </c>
      <c r="D222" s="11">
        <v>1</v>
      </c>
      <c r="E222" s="11" t="s">
        <v>4020</v>
      </c>
      <c r="F222" s="11" t="s">
        <v>3763</v>
      </c>
      <c r="G222" s="129">
        <v>45147</v>
      </c>
      <c r="H222" s="161" t="s">
        <v>3768</v>
      </c>
      <c r="I222" s="729"/>
      <c r="J222" s="729"/>
      <c r="K222" s="634"/>
      <c r="L222" s="522">
        <f t="shared" si="3"/>
        <v>0</v>
      </c>
      <c r="M222" s="141">
        <v>2300</v>
      </c>
      <c r="N222" s="22"/>
      <c r="O222" s="22" t="s">
        <v>3759</v>
      </c>
    </row>
    <row r="223" spans="1:15">
      <c r="A223" s="10" t="s">
        <v>3995</v>
      </c>
      <c r="B223" s="34">
        <v>999</v>
      </c>
      <c r="C223" s="10" t="s">
        <v>3996</v>
      </c>
      <c r="D223" s="11">
        <v>1</v>
      </c>
      <c r="E223" s="11" t="s">
        <v>3997</v>
      </c>
      <c r="F223" s="11" t="s">
        <v>3763</v>
      </c>
      <c r="G223" s="129">
        <v>45145</v>
      </c>
      <c r="H223" s="161" t="s">
        <v>3768</v>
      </c>
      <c r="I223" s="729"/>
      <c r="J223" s="729"/>
      <c r="K223" s="634"/>
      <c r="L223" s="522">
        <f t="shared" si="3"/>
        <v>0</v>
      </c>
      <c r="M223" s="141">
        <v>2300</v>
      </c>
      <c r="N223" s="22"/>
      <c r="O223" s="22" t="s">
        <v>3759</v>
      </c>
    </row>
    <row r="224" spans="1:15" hidden="1">
      <c r="A224" s="316" t="s">
        <v>4204</v>
      </c>
      <c r="B224" s="558" t="s">
        <v>4286</v>
      </c>
      <c r="C224" s="260" t="s">
        <v>4190</v>
      </c>
      <c r="D224" s="555">
        <v>0</v>
      </c>
      <c r="E224" s="555" t="s">
        <v>3860</v>
      </c>
      <c r="F224" s="555" t="s">
        <v>3785</v>
      </c>
      <c r="G224" s="559">
        <v>45769</v>
      </c>
      <c r="H224" s="475" t="s">
        <v>3819</v>
      </c>
      <c r="I224" s="728"/>
      <c r="J224" s="728"/>
      <c r="K224" s="245"/>
      <c r="L224" s="245">
        <f t="shared" si="3"/>
        <v>0</v>
      </c>
      <c r="M224" s="668"/>
      <c r="N224" s="121" t="s">
        <v>4041</v>
      </c>
      <c r="O224" s="122" t="s">
        <v>3759</v>
      </c>
    </row>
    <row r="225" spans="1:15">
      <c r="A225" s="10" t="s">
        <v>3995</v>
      </c>
      <c r="B225" s="34">
        <v>919</v>
      </c>
      <c r="C225" s="10" t="s">
        <v>3996</v>
      </c>
      <c r="D225" s="11">
        <v>1</v>
      </c>
      <c r="E225" s="11" t="s">
        <v>4021</v>
      </c>
      <c r="F225" s="11" t="s">
        <v>3763</v>
      </c>
      <c r="G225" s="129">
        <v>45141</v>
      </c>
      <c r="H225" s="161" t="s">
        <v>3768</v>
      </c>
      <c r="I225" s="729"/>
      <c r="J225" s="729"/>
      <c r="K225" s="634"/>
      <c r="L225" s="522">
        <f t="shared" si="3"/>
        <v>0</v>
      </c>
      <c r="M225" s="141">
        <v>2300</v>
      </c>
      <c r="N225" s="22"/>
      <c r="O225" s="22" t="s">
        <v>3759</v>
      </c>
    </row>
    <row r="226" spans="1:15">
      <c r="A226" s="10" t="s">
        <v>3995</v>
      </c>
      <c r="B226" s="34">
        <v>344</v>
      </c>
      <c r="C226" s="10" t="s">
        <v>3996</v>
      </c>
      <c r="D226" s="11">
        <v>1</v>
      </c>
      <c r="E226" s="11" t="s">
        <v>4021</v>
      </c>
      <c r="F226" s="11" t="s">
        <v>3763</v>
      </c>
      <c r="G226" s="129">
        <v>45279</v>
      </c>
      <c r="H226" s="161" t="s">
        <v>3768</v>
      </c>
      <c r="I226" s="729"/>
      <c r="J226" s="729"/>
      <c r="K226" s="634"/>
      <c r="L226" s="522">
        <f t="shared" si="3"/>
        <v>0</v>
      </c>
      <c r="M226" s="141">
        <v>2300</v>
      </c>
      <c r="N226" s="22"/>
      <c r="O226" s="22" t="s">
        <v>3759</v>
      </c>
    </row>
    <row r="227" spans="1:15">
      <c r="A227" s="10" t="s">
        <v>3999</v>
      </c>
      <c r="B227" s="34">
        <v>426</v>
      </c>
      <c r="C227" s="10" t="s">
        <v>207</v>
      </c>
      <c r="D227" s="11">
        <v>1</v>
      </c>
      <c r="E227" s="11" t="s">
        <v>3762</v>
      </c>
      <c r="F227" s="11" t="s">
        <v>3763</v>
      </c>
      <c r="G227" s="129">
        <v>45175</v>
      </c>
      <c r="H227" s="161" t="s">
        <v>3768</v>
      </c>
      <c r="I227" s="729"/>
      <c r="J227" s="729"/>
      <c r="K227" s="636"/>
      <c r="L227" s="522">
        <f t="shared" si="3"/>
        <v>0</v>
      </c>
      <c r="M227" s="141">
        <v>2300</v>
      </c>
      <c r="N227" s="12"/>
      <c r="O227" s="12" t="s">
        <v>3759</v>
      </c>
    </row>
    <row r="228" spans="1:15">
      <c r="A228" s="10" t="s">
        <v>5756</v>
      </c>
      <c r="B228" s="323" t="s">
        <v>5757</v>
      </c>
      <c r="C228" s="323" t="s">
        <v>5758</v>
      </c>
      <c r="D228" s="11">
        <v>1</v>
      </c>
      <c r="E228" s="10" t="s">
        <v>3760</v>
      </c>
      <c r="F228" s="10" t="s">
        <v>3763</v>
      </c>
      <c r="G228" s="129">
        <v>45838</v>
      </c>
      <c r="H228" s="161"/>
      <c r="I228" s="729"/>
      <c r="J228" s="729"/>
      <c r="K228" s="633"/>
      <c r="L228" s="522">
        <f t="shared" si="3"/>
        <v>0</v>
      </c>
      <c r="M228" s="471"/>
      <c r="N228" s="22"/>
      <c r="O228" s="22" t="s">
        <v>3759</v>
      </c>
    </row>
    <row r="229" spans="1:15">
      <c r="A229" s="10" t="s">
        <v>4030</v>
      </c>
      <c r="B229" s="34" t="s">
        <v>3748</v>
      </c>
      <c r="C229" s="10" t="s">
        <v>4031</v>
      </c>
      <c r="D229" s="11">
        <v>7</v>
      </c>
      <c r="E229" s="11" t="s">
        <v>3749</v>
      </c>
      <c r="F229" s="11" t="s">
        <v>3750</v>
      </c>
      <c r="G229" s="11"/>
      <c r="H229" s="161"/>
      <c r="I229" s="729"/>
      <c r="J229" s="729"/>
      <c r="K229" s="636"/>
      <c r="L229" s="522">
        <f t="shared" si="3"/>
        <v>0</v>
      </c>
      <c r="M229" s="142"/>
      <c r="N229" s="12"/>
      <c r="O229" s="12" t="s">
        <v>3759</v>
      </c>
    </row>
    <row r="230" spans="1:15" hidden="1">
      <c r="A230" s="316" t="s">
        <v>4300</v>
      </c>
      <c r="B230" s="554">
        <v>438</v>
      </c>
      <c r="C230" s="329" t="s">
        <v>4301</v>
      </c>
      <c r="D230" s="555">
        <v>0</v>
      </c>
      <c r="E230" s="556" t="s">
        <v>3957</v>
      </c>
      <c r="F230" s="556"/>
      <c r="G230" s="556"/>
      <c r="H230" s="557"/>
      <c r="I230" s="728"/>
      <c r="J230" s="728"/>
      <c r="K230" s="498"/>
      <c r="L230" s="498">
        <f t="shared" si="3"/>
        <v>0</v>
      </c>
      <c r="M230" s="527"/>
      <c r="N230" s="107" t="s">
        <v>3758</v>
      </c>
      <c r="O230" s="108" t="s">
        <v>3759</v>
      </c>
    </row>
    <row r="231" spans="1:15" hidden="1">
      <c r="A231" s="316" t="s">
        <v>4300</v>
      </c>
      <c r="B231" s="8">
        <v>883</v>
      </c>
      <c r="C231" s="10" t="s">
        <v>4301</v>
      </c>
      <c r="D231" s="111">
        <v>0</v>
      </c>
      <c r="E231" s="9" t="s">
        <v>3957</v>
      </c>
      <c r="F231" s="9"/>
      <c r="G231" s="9"/>
      <c r="H231" s="119"/>
      <c r="I231" s="728"/>
      <c r="J231" s="728"/>
      <c r="K231" s="138"/>
      <c r="L231" s="138">
        <f t="shared" si="3"/>
        <v>0</v>
      </c>
      <c r="M231" s="471"/>
      <c r="N231" s="22" t="s">
        <v>3758</v>
      </c>
      <c r="O231" s="106" t="s">
        <v>3759</v>
      </c>
    </row>
    <row r="232" spans="1:15" hidden="1">
      <c r="A232" s="316" t="s">
        <v>4300</v>
      </c>
      <c r="B232" s="110" t="s">
        <v>4302</v>
      </c>
      <c r="C232" s="44" t="s">
        <v>4303</v>
      </c>
      <c r="D232" s="111">
        <v>0</v>
      </c>
      <c r="E232" s="111" t="s">
        <v>4304</v>
      </c>
      <c r="F232" s="111"/>
      <c r="G232" s="111"/>
      <c r="H232" s="170"/>
      <c r="I232" s="728"/>
      <c r="J232" s="728"/>
      <c r="K232" s="478"/>
      <c r="L232" s="478">
        <f t="shared" si="3"/>
        <v>0</v>
      </c>
      <c r="M232" s="524"/>
      <c r="N232" s="112" t="s">
        <v>3758</v>
      </c>
      <c r="O232" s="113" t="s">
        <v>3759</v>
      </c>
    </row>
    <row r="233" spans="1:15">
      <c r="A233" s="10" t="s">
        <v>5697</v>
      </c>
      <c r="B233" s="34" t="s">
        <v>3748</v>
      </c>
      <c r="C233" s="34" t="s">
        <v>855</v>
      </c>
      <c r="D233" s="11">
        <v>4</v>
      </c>
      <c r="E233" s="11" t="s">
        <v>3749</v>
      </c>
      <c r="F233" s="11" t="s">
        <v>3750</v>
      </c>
      <c r="G233" s="129">
        <v>44340</v>
      </c>
      <c r="H233" s="161" t="s">
        <v>5698</v>
      </c>
      <c r="I233" s="729"/>
      <c r="J233" s="729"/>
      <c r="K233" s="633"/>
      <c r="L233" s="522">
        <f t="shared" si="3"/>
        <v>0</v>
      </c>
      <c r="M233" s="471"/>
      <c r="N233" s="22"/>
      <c r="O233" s="22" t="s">
        <v>3759</v>
      </c>
    </row>
    <row r="234" spans="1:15" hidden="1">
      <c r="A234" s="316" t="s">
        <v>4306</v>
      </c>
      <c r="B234" s="558">
        <v>2202</v>
      </c>
      <c r="C234" s="260" t="s">
        <v>4307</v>
      </c>
      <c r="D234" s="555">
        <v>0</v>
      </c>
      <c r="E234" s="555" t="s">
        <v>4308</v>
      </c>
      <c r="F234" s="555"/>
      <c r="G234" s="555"/>
      <c r="H234" s="475"/>
      <c r="I234" s="728"/>
      <c r="J234" s="728"/>
      <c r="K234" s="169"/>
      <c r="L234" s="169">
        <f t="shared" si="3"/>
        <v>0</v>
      </c>
      <c r="M234" s="668"/>
      <c r="N234" s="121" t="s">
        <v>3758</v>
      </c>
      <c r="O234" s="122" t="s">
        <v>3759</v>
      </c>
    </row>
    <row r="235" spans="1:15">
      <c r="A235" s="10" t="s">
        <v>4032</v>
      </c>
      <c r="B235" s="34" t="s">
        <v>4033</v>
      </c>
      <c r="C235" s="10" t="s">
        <v>4034</v>
      </c>
      <c r="D235" s="11">
        <v>1</v>
      </c>
      <c r="E235" s="11" t="s">
        <v>4035</v>
      </c>
      <c r="F235" s="11" t="s">
        <v>3785</v>
      </c>
      <c r="G235" s="129">
        <v>45209</v>
      </c>
      <c r="H235" s="161" t="s">
        <v>3768</v>
      </c>
      <c r="I235" s="729"/>
      <c r="J235" s="729"/>
      <c r="K235" s="634"/>
      <c r="L235" s="522">
        <f t="shared" si="3"/>
        <v>0</v>
      </c>
      <c r="M235" s="141"/>
      <c r="N235" s="22"/>
      <c r="O235" s="22" t="s">
        <v>3759</v>
      </c>
    </row>
    <row r="236" spans="1:15" hidden="1">
      <c r="A236" s="316" t="s">
        <v>4311</v>
      </c>
      <c r="B236" s="554" t="s">
        <v>4312</v>
      </c>
      <c r="C236" s="329" t="s">
        <v>4313</v>
      </c>
      <c r="D236" s="555">
        <v>0</v>
      </c>
      <c r="E236" s="556" t="s">
        <v>4314</v>
      </c>
      <c r="F236" s="556"/>
      <c r="G236" s="556"/>
      <c r="H236" s="557"/>
      <c r="I236" s="728"/>
      <c r="J236" s="728"/>
      <c r="K236" s="498"/>
      <c r="L236" s="498">
        <f t="shared" si="3"/>
        <v>0</v>
      </c>
      <c r="M236" s="527"/>
      <c r="N236" s="107" t="s">
        <v>3758</v>
      </c>
      <c r="O236" s="108" t="s">
        <v>3759</v>
      </c>
    </row>
    <row r="237" spans="1:15" hidden="1">
      <c r="A237" s="316" t="s">
        <v>4315</v>
      </c>
      <c r="B237" s="110" t="s">
        <v>4316</v>
      </c>
      <c r="C237" s="44" t="s">
        <v>4317</v>
      </c>
      <c r="D237" s="111">
        <v>0</v>
      </c>
      <c r="E237" s="111" t="s">
        <v>4251</v>
      </c>
      <c r="F237" s="111" t="s">
        <v>3763</v>
      </c>
      <c r="G237" s="114">
        <v>45469</v>
      </c>
      <c r="H237" s="170" t="s">
        <v>3799</v>
      </c>
      <c r="I237" s="728">
        <v>725</v>
      </c>
      <c r="J237" s="728"/>
      <c r="K237" s="479"/>
      <c r="L237" s="5">
        <f t="shared" si="3"/>
        <v>725</v>
      </c>
      <c r="M237" s="479"/>
      <c r="N237" s="112" t="s">
        <v>3758</v>
      </c>
      <c r="O237" s="113" t="s">
        <v>3759</v>
      </c>
    </row>
    <row r="238" spans="1:15">
      <c r="A238" s="10" t="s">
        <v>4032</v>
      </c>
      <c r="B238" s="34" t="s">
        <v>4036</v>
      </c>
      <c r="C238" s="10" t="s">
        <v>4034</v>
      </c>
      <c r="D238" s="11">
        <v>1</v>
      </c>
      <c r="E238" s="11" t="s">
        <v>4037</v>
      </c>
      <c r="F238" s="10" t="s">
        <v>3785</v>
      </c>
      <c r="G238" s="129">
        <v>45050</v>
      </c>
      <c r="H238" s="161" t="s">
        <v>3768</v>
      </c>
      <c r="I238" s="729"/>
      <c r="J238" s="729"/>
      <c r="K238" s="634"/>
      <c r="L238" s="522">
        <f t="shared" si="3"/>
        <v>0</v>
      </c>
      <c r="M238" s="141"/>
      <c r="N238" s="22"/>
      <c r="O238" s="22" t="s">
        <v>3759</v>
      </c>
    </row>
    <row r="239" spans="1:15" hidden="1">
      <c r="A239" s="316" t="s">
        <v>4311</v>
      </c>
      <c r="B239" s="558" t="s">
        <v>4321</v>
      </c>
      <c r="C239" s="260" t="s">
        <v>690</v>
      </c>
      <c r="D239" s="555">
        <v>0</v>
      </c>
      <c r="E239" s="555" t="s">
        <v>4101</v>
      </c>
      <c r="F239" s="555"/>
      <c r="G239" s="555"/>
      <c r="H239" s="475"/>
      <c r="I239" s="728"/>
      <c r="J239" s="728"/>
      <c r="K239" s="169"/>
      <c r="L239" s="169">
        <f t="shared" si="3"/>
        <v>0</v>
      </c>
      <c r="M239" s="668"/>
      <c r="N239" s="121" t="s">
        <v>3758</v>
      </c>
      <c r="O239" s="122" t="s">
        <v>3759</v>
      </c>
    </row>
    <row r="240" spans="1:15">
      <c r="A240" s="10" t="s">
        <v>4042</v>
      </c>
      <c r="B240" s="33" t="s">
        <v>4043</v>
      </c>
      <c r="C240" s="33" t="s">
        <v>4044</v>
      </c>
      <c r="D240" s="11">
        <v>1</v>
      </c>
      <c r="E240" s="11" t="s">
        <v>3927</v>
      </c>
      <c r="F240" s="11" t="s">
        <v>3763</v>
      </c>
      <c r="G240" s="129">
        <v>45764</v>
      </c>
      <c r="H240" s="161" t="s">
        <v>3965</v>
      </c>
      <c r="I240" s="729"/>
      <c r="J240" s="729"/>
      <c r="K240" s="633"/>
      <c r="L240" s="522">
        <f t="shared" si="3"/>
        <v>0</v>
      </c>
      <c r="M240" s="471"/>
      <c r="N240" s="22"/>
      <c r="O240" s="22" t="s">
        <v>3759</v>
      </c>
    </row>
    <row r="241" spans="1:15" hidden="1">
      <c r="A241" s="316" t="s">
        <v>4322</v>
      </c>
      <c r="B241" s="558" t="s">
        <v>4323</v>
      </c>
      <c r="C241" s="260" t="s">
        <v>4324</v>
      </c>
      <c r="D241" s="555">
        <v>0</v>
      </c>
      <c r="E241" s="555" t="s">
        <v>4325</v>
      </c>
      <c r="F241" s="555"/>
      <c r="G241" s="555"/>
      <c r="H241" s="475"/>
      <c r="I241" s="728"/>
      <c r="J241" s="728"/>
      <c r="K241" s="169"/>
      <c r="L241" s="169">
        <f t="shared" si="3"/>
        <v>0</v>
      </c>
      <c r="M241" s="668"/>
      <c r="N241" s="121" t="s">
        <v>3758</v>
      </c>
      <c r="O241" s="122" t="s">
        <v>3759</v>
      </c>
    </row>
    <row r="242" spans="1:15">
      <c r="A242" s="10" t="s">
        <v>5675</v>
      </c>
      <c r="B242" s="34" t="s">
        <v>5676</v>
      </c>
      <c r="C242" s="10" t="s">
        <v>5677</v>
      </c>
      <c r="D242" s="11">
        <v>1</v>
      </c>
      <c r="E242" s="11" t="s">
        <v>4340</v>
      </c>
      <c r="F242" s="11" t="s">
        <v>3780</v>
      </c>
      <c r="G242" s="129">
        <v>45777</v>
      </c>
      <c r="H242" s="161" t="s">
        <v>4159</v>
      </c>
      <c r="I242" s="729"/>
      <c r="J242" s="729"/>
      <c r="K242" s="633"/>
      <c r="L242" s="522">
        <f t="shared" si="3"/>
        <v>0</v>
      </c>
      <c r="M242" s="471"/>
      <c r="N242" s="22"/>
      <c r="O242" s="12" t="s">
        <v>3759</v>
      </c>
    </row>
    <row r="243" spans="1:15" hidden="1">
      <c r="A243" s="316" t="s">
        <v>4327</v>
      </c>
      <c r="B243" s="554" t="s">
        <v>4328</v>
      </c>
      <c r="C243" s="329" t="s">
        <v>4329</v>
      </c>
      <c r="D243" s="555">
        <v>0</v>
      </c>
      <c r="E243" s="556" t="s">
        <v>4330</v>
      </c>
      <c r="F243" s="556"/>
      <c r="G243" s="556"/>
      <c r="H243" s="557"/>
      <c r="I243" s="728"/>
      <c r="J243" s="728"/>
      <c r="K243" s="494"/>
      <c r="L243" s="494">
        <f t="shared" si="3"/>
        <v>0</v>
      </c>
      <c r="M243" s="670"/>
      <c r="N243" s="107" t="s">
        <v>3758</v>
      </c>
      <c r="O243" s="108" t="s">
        <v>3759</v>
      </c>
    </row>
    <row r="244" spans="1:15" hidden="1">
      <c r="A244" s="316" t="s">
        <v>4331</v>
      </c>
      <c r="B244" s="110" t="s">
        <v>4332</v>
      </c>
      <c r="C244" s="44" t="s">
        <v>4333</v>
      </c>
      <c r="D244" s="111">
        <v>0</v>
      </c>
      <c r="E244" s="111" t="s">
        <v>4334</v>
      </c>
      <c r="F244" s="111"/>
      <c r="G244" s="111"/>
      <c r="H244" s="170"/>
      <c r="I244" s="728"/>
      <c r="J244" s="728"/>
      <c r="K244" s="478"/>
      <c r="L244" s="478">
        <f t="shared" si="3"/>
        <v>0</v>
      </c>
      <c r="M244" s="524"/>
      <c r="N244" s="112" t="s">
        <v>3758</v>
      </c>
      <c r="O244" s="113" t="s">
        <v>3759</v>
      </c>
    </row>
    <row r="245" spans="1:15">
      <c r="A245" s="10" t="s">
        <v>4018</v>
      </c>
      <c r="B245" s="34">
        <v>8312</v>
      </c>
      <c r="C245" s="10" t="s">
        <v>418</v>
      </c>
      <c r="D245" s="11">
        <v>1</v>
      </c>
      <c r="E245" s="10" t="s">
        <v>3836</v>
      </c>
      <c r="F245" s="10" t="s">
        <v>3798</v>
      </c>
      <c r="G245" s="129">
        <v>45720</v>
      </c>
      <c r="H245" s="161" t="s">
        <v>4045</v>
      </c>
      <c r="I245" s="729"/>
      <c r="J245" s="729"/>
      <c r="K245" s="633"/>
      <c r="L245" s="522">
        <f t="shared" si="3"/>
        <v>0</v>
      </c>
      <c r="M245" s="471"/>
      <c r="N245" s="22"/>
      <c r="O245" s="22" t="s">
        <v>3759</v>
      </c>
    </row>
    <row r="246" spans="1:15" hidden="1">
      <c r="A246" s="316" t="s">
        <v>4337</v>
      </c>
      <c r="B246" s="554" t="s">
        <v>4338</v>
      </c>
      <c r="C246" s="329" t="s">
        <v>4339</v>
      </c>
      <c r="D246" s="555">
        <v>0</v>
      </c>
      <c r="E246" s="556" t="s">
        <v>4340</v>
      </c>
      <c r="F246" s="556" t="s">
        <v>3763</v>
      </c>
      <c r="G246" s="565">
        <v>44621</v>
      </c>
      <c r="H246" s="557" t="s">
        <v>3768</v>
      </c>
      <c r="I246" s="728"/>
      <c r="J246" s="728"/>
      <c r="K246" s="494"/>
      <c r="L246" s="494">
        <f t="shared" si="3"/>
        <v>0</v>
      </c>
      <c r="M246" s="670"/>
      <c r="N246" s="40" t="s">
        <v>3758</v>
      </c>
      <c r="O246" s="108" t="s">
        <v>3759</v>
      </c>
    </row>
    <row r="247" spans="1:15" hidden="1">
      <c r="A247" s="316" t="s">
        <v>4337</v>
      </c>
      <c r="B247" s="110" t="s">
        <v>4341</v>
      </c>
      <c r="C247" s="44" t="s">
        <v>4342</v>
      </c>
      <c r="D247" s="111">
        <v>0</v>
      </c>
      <c r="E247" s="111" t="s">
        <v>4191</v>
      </c>
      <c r="F247" s="111"/>
      <c r="G247" s="111"/>
      <c r="H247" s="170"/>
      <c r="I247" s="728"/>
      <c r="J247" s="728"/>
      <c r="K247" s="136"/>
      <c r="L247" s="136">
        <f t="shared" si="3"/>
        <v>0</v>
      </c>
      <c r="M247" s="525"/>
      <c r="N247" s="112" t="s">
        <v>3758</v>
      </c>
      <c r="O247" s="113" t="s">
        <v>3759</v>
      </c>
    </row>
    <row r="248" spans="1:15">
      <c r="A248" s="10" t="s">
        <v>1051</v>
      </c>
      <c r="B248" s="34">
        <v>4302</v>
      </c>
      <c r="C248" s="10" t="s">
        <v>4046</v>
      </c>
      <c r="D248" s="11">
        <v>1</v>
      </c>
      <c r="E248" s="11" t="s">
        <v>3960</v>
      </c>
      <c r="F248" s="11" t="s">
        <v>3780</v>
      </c>
      <c r="G248" s="129">
        <v>45095</v>
      </c>
      <c r="H248" s="161" t="s">
        <v>3834</v>
      </c>
      <c r="I248" s="729"/>
      <c r="J248" s="729"/>
      <c r="K248" s="641"/>
      <c r="L248" s="522">
        <f t="shared" si="3"/>
        <v>0</v>
      </c>
      <c r="M248" s="474">
        <v>1050</v>
      </c>
      <c r="N248" s="22"/>
      <c r="O248" s="22" t="s">
        <v>3759</v>
      </c>
    </row>
    <row r="249" spans="1:15" hidden="1">
      <c r="A249" s="316" t="s">
        <v>4345</v>
      </c>
      <c r="B249" s="554" t="s">
        <v>4346</v>
      </c>
      <c r="C249" s="329" t="s">
        <v>4347</v>
      </c>
      <c r="D249" s="555">
        <v>0</v>
      </c>
      <c r="E249" s="556" t="s">
        <v>4348</v>
      </c>
      <c r="F249" s="556" t="s">
        <v>3763</v>
      </c>
      <c r="G249" s="565">
        <v>45155</v>
      </c>
      <c r="H249" s="557" t="s">
        <v>3768</v>
      </c>
      <c r="I249" s="728">
        <v>2150</v>
      </c>
      <c r="J249" s="728"/>
      <c r="K249" s="505"/>
      <c r="L249" s="655">
        <f t="shared" si="3"/>
        <v>2150</v>
      </c>
      <c r="M249" s="512"/>
      <c r="N249" s="40" t="s">
        <v>3758</v>
      </c>
      <c r="O249" s="120" t="s">
        <v>3759</v>
      </c>
    </row>
    <row r="250" spans="1:15" hidden="1">
      <c r="A250" s="316" t="s">
        <v>4311</v>
      </c>
      <c r="B250" s="8" t="s">
        <v>4349</v>
      </c>
      <c r="C250" s="10" t="s">
        <v>4350</v>
      </c>
      <c r="D250" s="111">
        <v>0</v>
      </c>
      <c r="E250" s="9" t="s">
        <v>3760</v>
      </c>
      <c r="F250" s="9" t="s">
        <v>3785</v>
      </c>
      <c r="G250" s="46">
        <v>45504</v>
      </c>
      <c r="H250" s="119" t="s">
        <v>3799</v>
      </c>
      <c r="I250" s="728">
        <v>2100</v>
      </c>
      <c r="J250" s="728"/>
      <c r="K250" s="141"/>
      <c r="L250" s="2">
        <f t="shared" si="3"/>
        <v>2100</v>
      </c>
      <c r="M250" s="141"/>
      <c r="N250" s="22" t="s">
        <v>3758</v>
      </c>
      <c r="O250" s="106" t="s">
        <v>3759</v>
      </c>
    </row>
    <row r="251" spans="1:15" hidden="1">
      <c r="A251" s="316" t="s">
        <v>4345</v>
      </c>
      <c r="B251" s="461" t="s">
        <v>4351</v>
      </c>
      <c r="C251" s="44" t="s">
        <v>4347</v>
      </c>
      <c r="D251" s="111">
        <v>0</v>
      </c>
      <c r="E251" s="111" t="s">
        <v>4352</v>
      </c>
      <c r="F251" s="111" t="s">
        <v>3763</v>
      </c>
      <c r="G251" s="114">
        <v>45134</v>
      </c>
      <c r="H251" s="170" t="s">
        <v>3768</v>
      </c>
      <c r="I251" s="728">
        <v>1050</v>
      </c>
      <c r="J251" s="728"/>
      <c r="K251" s="264"/>
      <c r="L251" s="658">
        <f t="shared" si="3"/>
        <v>1050</v>
      </c>
      <c r="M251" s="264"/>
      <c r="N251" s="112" t="s">
        <v>3758</v>
      </c>
      <c r="O251" s="113" t="s">
        <v>3759</v>
      </c>
    </row>
    <row r="252" spans="1:15">
      <c r="A252" s="10" t="s">
        <v>1051</v>
      </c>
      <c r="B252" s="34">
        <v>1247</v>
      </c>
      <c r="C252" s="10" t="s">
        <v>4046</v>
      </c>
      <c r="D252" s="11">
        <v>1</v>
      </c>
      <c r="E252" s="11" t="s">
        <v>3960</v>
      </c>
      <c r="F252" s="11" t="s">
        <v>3798</v>
      </c>
      <c r="G252" s="129">
        <v>45160</v>
      </c>
      <c r="H252" s="161" t="s">
        <v>3768</v>
      </c>
      <c r="I252" s="729"/>
      <c r="J252" s="729"/>
      <c r="K252" s="641"/>
      <c r="L252" s="522">
        <f t="shared" si="3"/>
        <v>0</v>
      </c>
      <c r="M252" s="474">
        <v>1050</v>
      </c>
      <c r="N252" s="22"/>
      <c r="O252" s="22" t="s">
        <v>3759</v>
      </c>
    </row>
    <row r="253" spans="1:15" hidden="1">
      <c r="A253" s="316" t="s">
        <v>4345</v>
      </c>
      <c r="B253" s="577" t="s">
        <v>4355</v>
      </c>
      <c r="C253" s="329" t="s">
        <v>4356</v>
      </c>
      <c r="D253" s="555">
        <v>0</v>
      </c>
      <c r="E253" s="556" t="s">
        <v>4357</v>
      </c>
      <c r="F253" s="556" t="s">
        <v>3763</v>
      </c>
      <c r="G253" s="565">
        <v>45377</v>
      </c>
      <c r="H253" s="557" t="s">
        <v>3768</v>
      </c>
      <c r="I253" s="728">
        <v>1850</v>
      </c>
      <c r="J253" s="728"/>
      <c r="K253" s="500"/>
      <c r="L253" s="90">
        <f t="shared" si="3"/>
        <v>1850</v>
      </c>
      <c r="M253" s="500"/>
      <c r="N253" s="107" t="s">
        <v>3758</v>
      </c>
      <c r="O253" s="108" t="s">
        <v>3759</v>
      </c>
    </row>
    <row r="254" spans="1:15" hidden="1">
      <c r="A254" s="316" t="s">
        <v>4322</v>
      </c>
      <c r="B254" s="8" t="s">
        <v>4358</v>
      </c>
      <c r="C254" s="10" t="s">
        <v>4350</v>
      </c>
      <c r="D254" s="111">
        <v>0</v>
      </c>
      <c r="E254" s="9" t="s">
        <v>4071</v>
      </c>
      <c r="F254" s="9" t="s">
        <v>3785</v>
      </c>
      <c r="G254" s="46">
        <v>45474</v>
      </c>
      <c r="H254" s="119" t="s">
        <v>3799</v>
      </c>
      <c r="I254" s="728">
        <v>1945</v>
      </c>
      <c r="J254" s="728"/>
      <c r="K254" s="141"/>
      <c r="L254" s="2">
        <f t="shared" si="3"/>
        <v>1945</v>
      </c>
      <c r="M254" s="141"/>
      <c r="N254" s="22" t="s">
        <v>3758</v>
      </c>
      <c r="O254" s="106" t="s">
        <v>3759</v>
      </c>
    </row>
    <row r="255" spans="1:15" hidden="1">
      <c r="A255" s="316" t="s">
        <v>4345</v>
      </c>
      <c r="B255" s="8" t="s">
        <v>4359</v>
      </c>
      <c r="C255" s="10" t="s">
        <v>4347</v>
      </c>
      <c r="D255" s="111">
        <v>0</v>
      </c>
      <c r="E255" s="9" t="s">
        <v>4360</v>
      </c>
      <c r="F255" s="9"/>
      <c r="G255" s="9"/>
      <c r="H255" s="119"/>
      <c r="I255" s="728"/>
      <c r="J255" s="728"/>
      <c r="K255" s="138"/>
      <c r="L255" s="138">
        <f t="shared" si="3"/>
        <v>0</v>
      </c>
      <c r="M255" s="471"/>
      <c r="N255" s="22" t="s">
        <v>3758</v>
      </c>
      <c r="O255" s="106" t="s">
        <v>3759</v>
      </c>
    </row>
    <row r="256" spans="1:15" hidden="1">
      <c r="A256" s="316" t="s">
        <v>4361</v>
      </c>
      <c r="B256" s="110" t="s">
        <v>4362</v>
      </c>
      <c r="C256" s="44" t="s">
        <v>3789</v>
      </c>
      <c r="D256" s="111">
        <v>0</v>
      </c>
      <c r="E256" s="111" t="s">
        <v>4363</v>
      </c>
      <c r="F256" s="111"/>
      <c r="G256" s="111"/>
      <c r="H256" s="170"/>
      <c r="I256" s="728"/>
      <c r="J256" s="728"/>
      <c r="K256" s="478"/>
      <c r="L256" s="478">
        <f t="shared" si="3"/>
        <v>0</v>
      </c>
      <c r="M256" s="524"/>
      <c r="N256" s="144" t="s">
        <v>3758</v>
      </c>
      <c r="O256" s="113" t="s">
        <v>3759</v>
      </c>
    </row>
    <row r="257" spans="1:15">
      <c r="A257" s="10" t="s">
        <v>4048</v>
      </c>
      <c r="B257" s="34" t="s">
        <v>4049</v>
      </c>
      <c r="C257" s="10" t="s">
        <v>4023</v>
      </c>
      <c r="D257" s="11">
        <v>1</v>
      </c>
      <c r="E257" s="11" t="s">
        <v>4050</v>
      </c>
      <c r="F257" s="11" t="s">
        <v>3780</v>
      </c>
      <c r="G257" s="129">
        <v>43815</v>
      </c>
      <c r="H257" s="161" t="s">
        <v>4051</v>
      </c>
      <c r="I257" s="729"/>
      <c r="J257" s="729"/>
      <c r="K257" s="636"/>
      <c r="L257" s="522">
        <f t="shared" si="3"/>
        <v>0</v>
      </c>
      <c r="M257" s="142"/>
      <c r="N257" s="12"/>
      <c r="O257" s="12" t="s">
        <v>3759</v>
      </c>
    </row>
    <row r="258" spans="1:15" hidden="1">
      <c r="A258" s="316" t="s">
        <v>4366</v>
      </c>
      <c r="B258" s="578" t="s">
        <v>4367</v>
      </c>
      <c r="C258" s="260" t="s">
        <v>4368</v>
      </c>
      <c r="D258" s="555">
        <v>0</v>
      </c>
      <c r="E258" s="579" t="s">
        <v>3860</v>
      </c>
      <c r="F258" s="579" t="s">
        <v>3763</v>
      </c>
      <c r="G258" s="559">
        <v>45700</v>
      </c>
      <c r="H258" s="475" t="s">
        <v>4369</v>
      </c>
      <c r="I258" s="728">
        <v>23369</v>
      </c>
      <c r="J258" s="728"/>
      <c r="K258" s="245"/>
      <c r="L258" s="245">
        <f t="shared" si="3"/>
        <v>23369</v>
      </c>
      <c r="M258" s="668"/>
      <c r="N258" s="121" t="s">
        <v>3758</v>
      </c>
      <c r="O258" s="122" t="s">
        <v>3759</v>
      </c>
    </row>
    <row r="259" spans="1:15">
      <c r="A259" s="10" t="s">
        <v>4054</v>
      </c>
      <c r="B259" s="34" t="s">
        <v>4055</v>
      </c>
      <c r="C259" s="10" t="s">
        <v>207</v>
      </c>
      <c r="D259" s="11">
        <v>1</v>
      </c>
      <c r="E259" s="11" t="s">
        <v>4056</v>
      </c>
      <c r="F259" s="11" t="s">
        <v>3785</v>
      </c>
      <c r="G259" s="129">
        <v>40955</v>
      </c>
      <c r="H259" s="161" t="s">
        <v>3799</v>
      </c>
      <c r="I259" s="729"/>
      <c r="J259" s="729"/>
      <c r="K259" s="636"/>
      <c r="L259" s="522">
        <f t="shared" si="3"/>
        <v>0</v>
      </c>
      <c r="M259" s="142"/>
      <c r="N259" s="22"/>
      <c r="O259" s="22" t="s">
        <v>3759</v>
      </c>
    </row>
    <row r="260" spans="1:15">
      <c r="A260" s="10" t="s">
        <v>4066</v>
      </c>
      <c r="B260" s="34">
        <v>3378</v>
      </c>
      <c r="C260" s="10" t="s">
        <v>418</v>
      </c>
      <c r="D260" s="11">
        <v>1</v>
      </c>
      <c r="E260" s="11" t="s">
        <v>4067</v>
      </c>
      <c r="F260" s="11" t="s">
        <v>3798</v>
      </c>
      <c r="G260" s="129">
        <v>44733</v>
      </c>
      <c r="H260" s="161" t="s">
        <v>3768</v>
      </c>
      <c r="I260" s="729"/>
      <c r="J260" s="729"/>
      <c r="K260" s="636"/>
      <c r="L260" s="522">
        <f t="shared" ref="L260:L323" si="4">IF(OR(I260="", K260=""), I260 + K260, I260 + K260)</f>
        <v>0</v>
      </c>
      <c r="M260" s="142"/>
      <c r="N260" s="12"/>
      <c r="O260" s="12" t="s">
        <v>3759</v>
      </c>
    </row>
    <row r="261" spans="1:15">
      <c r="A261" s="10" t="s">
        <v>4066</v>
      </c>
      <c r="B261" s="34">
        <v>6394</v>
      </c>
      <c r="C261" s="10" t="s">
        <v>418</v>
      </c>
      <c r="D261" s="11">
        <v>1</v>
      </c>
      <c r="E261" s="11" t="s">
        <v>4068</v>
      </c>
      <c r="F261" s="11" t="s">
        <v>3798</v>
      </c>
      <c r="G261" s="129">
        <v>44733</v>
      </c>
      <c r="H261" s="161" t="s">
        <v>3768</v>
      </c>
      <c r="I261" s="729"/>
      <c r="J261" s="729"/>
      <c r="K261" s="636"/>
      <c r="L261" s="522">
        <f t="shared" si="4"/>
        <v>0</v>
      </c>
      <c r="M261" s="142"/>
      <c r="N261" s="12"/>
      <c r="O261" s="12" t="s">
        <v>3759</v>
      </c>
    </row>
    <row r="262" spans="1:15">
      <c r="A262" s="10" t="s">
        <v>4038</v>
      </c>
      <c r="B262" s="34">
        <v>2145</v>
      </c>
      <c r="C262" s="10" t="s">
        <v>5771</v>
      </c>
      <c r="D262" s="11">
        <v>1</v>
      </c>
      <c r="E262" s="11" t="s">
        <v>4024</v>
      </c>
      <c r="F262" s="11" t="s">
        <v>3763</v>
      </c>
      <c r="G262" s="129">
        <v>45364</v>
      </c>
      <c r="H262" s="161" t="s">
        <v>4009</v>
      </c>
      <c r="I262" s="729"/>
      <c r="J262" s="729"/>
      <c r="K262" s="633"/>
      <c r="L262" s="522">
        <f t="shared" si="4"/>
        <v>0</v>
      </c>
      <c r="M262" s="471"/>
      <c r="N262" s="22"/>
      <c r="O262" s="22" t="s">
        <v>3759</v>
      </c>
    </row>
    <row r="263" spans="1:15" hidden="1">
      <c r="A263" s="316" t="s">
        <v>4376</v>
      </c>
      <c r="B263" s="580">
        <v>1169</v>
      </c>
      <c r="C263" s="260" t="s">
        <v>3789</v>
      </c>
      <c r="D263" s="555">
        <v>0</v>
      </c>
      <c r="E263" s="555" t="s">
        <v>4377</v>
      </c>
      <c r="F263" s="555" t="s">
        <v>3798</v>
      </c>
      <c r="G263" s="559">
        <v>45447</v>
      </c>
      <c r="H263" s="475" t="s">
        <v>4142</v>
      </c>
      <c r="I263" s="728">
        <v>450</v>
      </c>
      <c r="J263" s="728"/>
      <c r="K263" s="220"/>
      <c r="L263" s="660">
        <f t="shared" si="4"/>
        <v>450</v>
      </c>
      <c r="M263" s="220"/>
      <c r="N263" s="121" t="s">
        <v>3758</v>
      </c>
      <c r="O263" s="122" t="s">
        <v>3759</v>
      </c>
    </row>
    <row r="264" spans="1:15" s="1" customFormat="1">
      <c r="A264" s="10" t="s">
        <v>4040</v>
      </c>
      <c r="B264" s="34">
        <v>779</v>
      </c>
      <c r="C264" s="10" t="s">
        <v>5779</v>
      </c>
      <c r="D264" s="11">
        <v>1</v>
      </c>
      <c r="E264" s="10" t="s">
        <v>4595</v>
      </c>
      <c r="F264" s="10" t="s">
        <v>3785</v>
      </c>
      <c r="G264" s="129">
        <v>45882</v>
      </c>
      <c r="H264" s="161" t="s">
        <v>7993</v>
      </c>
      <c r="I264" s="729"/>
      <c r="J264" s="729"/>
      <c r="K264" s="633"/>
      <c r="L264" s="522">
        <f t="shared" si="4"/>
        <v>0</v>
      </c>
      <c r="M264" s="471"/>
      <c r="N264" s="22"/>
      <c r="O264" s="22" t="s">
        <v>3759</v>
      </c>
    </row>
    <row r="265" spans="1:15">
      <c r="A265" s="10" t="s">
        <v>4072</v>
      </c>
      <c r="B265" s="34" t="s">
        <v>4073</v>
      </c>
      <c r="C265" s="10" t="s">
        <v>4074</v>
      </c>
      <c r="D265" s="11">
        <v>1</v>
      </c>
      <c r="E265" s="10" t="s">
        <v>4075</v>
      </c>
      <c r="F265" s="11" t="s">
        <v>3798</v>
      </c>
      <c r="G265" s="129">
        <v>44767</v>
      </c>
      <c r="H265" s="161" t="s">
        <v>3934</v>
      </c>
      <c r="I265" s="729"/>
      <c r="J265" s="729"/>
      <c r="K265" s="636"/>
      <c r="L265" s="522">
        <f t="shared" si="4"/>
        <v>0</v>
      </c>
      <c r="M265" s="142"/>
      <c r="N265" s="12"/>
      <c r="O265" s="12" t="s">
        <v>3759</v>
      </c>
    </row>
    <row r="266" spans="1:15">
      <c r="A266" s="10" t="s">
        <v>4076</v>
      </c>
      <c r="B266" s="34" t="s">
        <v>4077</v>
      </c>
      <c r="C266" s="10" t="s">
        <v>4074</v>
      </c>
      <c r="D266" s="11">
        <v>1</v>
      </c>
      <c r="E266" s="11" t="s">
        <v>4078</v>
      </c>
      <c r="F266" s="11" t="s">
        <v>3763</v>
      </c>
      <c r="G266" s="129">
        <v>44846</v>
      </c>
      <c r="H266" s="161" t="s">
        <v>3930</v>
      </c>
      <c r="I266" s="729"/>
      <c r="J266" s="729"/>
      <c r="K266" s="636"/>
      <c r="L266" s="522">
        <f t="shared" si="4"/>
        <v>0</v>
      </c>
      <c r="M266" s="142"/>
      <c r="N266" s="22"/>
      <c r="O266" s="22" t="s">
        <v>3759</v>
      </c>
    </row>
    <row r="267" spans="1:15" hidden="1">
      <c r="A267" s="316" t="s">
        <v>4388</v>
      </c>
      <c r="B267" s="558" t="s">
        <v>4389</v>
      </c>
      <c r="C267" s="260" t="s">
        <v>4390</v>
      </c>
      <c r="D267" s="555">
        <v>0</v>
      </c>
      <c r="E267" s="555" t="s">
        <v>4391</v>
      </c>
      <c r="F267" s="555"/>
      <c r="G267" s="555"/>
      <c r="H267" s="475"/>
      <c r="I267" s="728"/>
      <c r="J267" s="728"/>
      <c r="K267" s="497"/>
      <c r="L267" s="497">
        <f t="shared" si="4"/>
        <v>0</v>
      </c>
      <c r="M267" s="526"/>
      <c r="N267" s="121" t="s">
        <v>3758</v>
      </c>
      <c r="O267" s="122" t="s">
        <v>3759</v>
      </c>
    </row>
    <row r="268" spans="1:15" s="1" customFormat="1">
      <c r="A268" s="10" t="s">
        <v>4076</v>
      </c>
      <c r="B268" s="34" t="s">
        <v>4079</v>
      </c>
      <c r="C268" s="10" t="s">
        <v>4074</v>
      </c>
      <c r="D268" s="11">
        <v>1</v>
      </c>
      <c r="E268" s="10" t="s">
        <v>4080</v>
      </c>
      <c r="F268" s="11" t="s">
        <v>3798</v>
      </c>
      <c r="G268" s="129">
        <v>44763</v>
      </c>
      <c r="H268" s="161" t="s">
        <v>4081</v>
      </c>
      <c r="I268" s="729"/>
      <c r="J268" s="729"/>
      <c r="K268" s="636"/>
      <c r="L268" s="522">
        <f t="shared" si="4"/>
        <v>0</v>
      </c>
      <c r="M268" s="142"/>
      <c r="N268" s="12"/>
      <c r="O268" s="12" t="s">
        <v>3759</v>
      </c>
    </row>
    <row r="269" spans="1:15" hidden="1">
      <c r="A269" s="316" t="s">
        <v>3320</v>
      </c>
      <c r="B269" s="554" t="s">
        <v>4397</v>
      </c>
      <c r="C269" s="329" t="s">
        <v>4398</v>
      </c>
      <c r="D269" s="555">
        <v>0</v>
      </c>
      <c r="E269" s="556" t="s">
        <v>4391</v>
      </c>
      <c r="F269" s="556"/>
      <c r="G269" s="556"/>
      <c r="H269" s="557"/>
      <c r="I269" s="728"/>
      <c r="J269" s="728"/>
      <c r="K269" s="498"/>
      <c r="L269" s="498">
        <f t="shared" si="4"/>
        <v>0</v>
      </c>
      <c r="M269" s="527"/>
      <c r="N269" s="107" t="s">
        <v>3758</v>
      </c>
      <c r="O269" s="108" t="s">
        <v>3759</v>
      </c>
    </row>
    <row r="270" spans="1:15" hidden="1">
      <c r="A270" s="316" t="s">
        <v>4399</v>
      </c>
      <c r="B270" s="110" t="s">
        <v>4400</v>
      </c>
      <c r="C270" s="44" t="s">
        <v>4401</v>
      </c>
      <c r="D270" s="111">
        <v>0</v>
      </c>
      <c r="E270" s="111" t="s">
        <v>4391</v>
      </c>
      <c r="F270" s="111" t="s">
        <v>3798</v>
      </c>
      <c r="G270" s="114">
        <v>44701</v>
      </c>
      <c r="H270" s="170" t="s">
        <v>3934</v>
      </c>
      <c r="I270" s="728">
        <v>350</v>
      </c>
      <c r="J270" s="728"/>
      <c r="K270" s="481"/>
      <c r="L270" s="551">
        <f t="shared" si="4"/>
        <v>350</v>
      </c>
      <c r="M270" s="490"/>
      <c r="N270" s="112" t="s">
        <v>3758</v>
      </c>
      <c r="O270" s="113" t="s">
        <v>3759</v>
      </c>
    </row>
    <row r="271" spans="1:15">
      <c r="A271" s="10" t="s">
        <v>4084</v>
      </c>
      <c r="B271" s="34" t="s">
        <v>4085</v>
      </c>
      <c r="C271" s="10" t="s">
        <v>4086</v>
      </c>
      <c r="D271" s="11">
        <v>1</v>
      </c>
      <c r="E271" s="11" t="s">
        <v>4087</v>
      </c>
      <c r="F271" s="11" t="s">
        <v>3763</v>
      </c>
      <c r="G271" s="129">
        <v>44868</v>
      </c>
      <c r="H271" s="161" t="s">
        <v>3768</v>
      </c>
      <c r="I271" s="729"/>
      <c r="J271" s="729"/>
      <c r="K271" s="636"/>
      <c r="L271" s="522">
        <f t="shared" si="4"/>
        <v>0</v>
      </c>
      <c r="M271" s="638">
        <v>4500</v>
      </c>
      <c r="N271" s="12"/>
      <c r="O271" s="12" t="s">
        <v>3759</v>
      </c>
    </row>
    <row r="272" spans="1:15">
      <c r="A272" s="10" t="s">
        <v>4084</v>
      </c>
      <c r="B272" s="34" t="s">
        <v>4088</v>
      </c>
      <c r="C272" s="10" t="s">
        <v>4089</v>
      </c>
      <c r="D272" s="11">
        <v>1</v>
      </c>
      <c r="E272" s="11" t="s">
        <v>4090</v>
      </c>
      <c r="F272" s="11" t="s">
        <v>3763</v>
      </c>
      <c r="G272" s="129">
        <v>44684</v>
      </c>
      <c r="H272" s="161" t="s">
        <v>3768</v>
      </c>
      <c r="I272" s="729"/>
      <c r="J272" s="729"/>
      <c r="K272" s="634"/>
      <c r="L272" s="522">
        <f t="shared" si="4"/>
        <v>0</v>
      </c>
      <c r="M272" s="634">
        <v>4500</v>
      </c>
      <c r="N272" s="22"/>
      <c r="O272" s="22" t="s">
        <v>3759</v>
      </c>
    </row>
    <row r="273" spans="1:15">
      <c r="A273" s="10" t="s">
        <v>4084</v>
      </c>
      <c r="B273" s="34" t="s">
        <v>4098</v>
      </c>
      <c r="C273" s="10" t="s">
        <v>4089</v>
      </c>
      <c r="D273" s="11">
        <v>1</v>
      </c>
      <c r="E273" s="11" t="s">
        <v>4090</v>
      </c>
      <c r="F273" s="11" t="s">
        <v>3763</v>
      </c>
      <c r="G273" s="129">
        <v>44684</v>
      </c>
      <c r="H273" s="161" t="s">
        <v>3768</v>
      </c>
      <c r="I273" s="729"/>
      <c r="J273" s="729"/>
      <c r="K273" s="634"/>
      <c r="L273" s="522">
        <f t="shared" si="4"/>
        <v>0</v>
      </c>
      <c r="M273" s="634">
        <v>4500</v>
      </c>
      <c r="N273" s="22"/>
      <c r="O273" s="22" t="s">
        <v>3759</v>
      </c>
    </row>
    <row r="274" spans="1:15">
      <c r="A274" s="10" t="s">
        <v>4111</v>
      </c>
      <c r="B274" s="34">
        <v>817</v>
      </c>
      <c r="C274" s="10" t="s">
        <v>4112</v>
      </c>
      <c r="D274" s="11">
        <v>1</v>
      </c>
      <c r="E274" s="11" t="s">
        <v>3955</v>
      </c>
      <c r="F274" s="11" t="s">
        <v>3785</v>
      </c>
      <c r="G274" s="129">
        <v>45371</v>
      </c>
      <c r="H274" s="161" t="s">
        <v>3768</v>
      </c>
      <c r="I274" s="729"/>
      <c r="J274" s="729"/>
      <c r="K274" s="634"/>
      <c r="L274" s="522">
        <f t="shared" si="4"/>
        <v>0</v>
      </c>
      <c r="M274" s="141"/>
      <c r="N274" s="22"/>
      <c r="O274" s="22" t="s">
        <v>3759</v>
      </c>
    </row>
    <row r="275" spans="1:15">
      <c r="A275" s="10" t="s">
        <v>4113</v>
      </c>
      <c r="B275" s="34">
        <v>1435</v>
      </c>
      <c r="C275" s="10" t="s">
        <v>4114</v>
      </c>
      <c r="D275" s="11">
        <v>1</v>
      </c>
      <c r="E275" s="11" t="s">
        <v>4115</v>
      </c>
      <c r="F275" s="11" t="s">
        <v>3763</v>
      </c>
      <c r="G275" s="129">
        <v>44762</v>
      </c>
      <c r="H275" s="161" t="s">
        <v>3768</v>
      </c>
      <c r="I275" s="729"/>
      <c r="J275" s="729"/>
      <c r="K275" s="636"/>
      <c r="L275" s="522">
        <f t="shared" si="4"/>
        <v>0</v>
      </c>
      <c r="M275" s="142"/>
      <c r="N275" s="22"/>
      <c r="O275" s="22" t="s">
        <v>3759</v>
      </c>
    </row>
    <row r="276" spans="1:15" hidden="1">
      <c r="A276" s="316" t="s">
        <v>4415</v>
      </c>
      <c r="B276" s="558" t="s">
        <v>4416</v>
      </c>
      <c r="C276" s="260" t="s">
        <v>4417</v>
      </c>
      <c r="D276" s="555">
        <v>0</v>
      </c>
      <c r="E276" s="555" t="s">
        <v>4418</v>
      </c>
      <c r="F276" s="555"/>
      <c r="G276" s="555"/>
      <c r="H276" s="475"/>
      <c r="I276" s="728"/>
      <c r="J276" s="728"/>
      <c r="K276" s="169"/>
      <c r="L276" s="169">
        <f t="shared" si="4"/>
        <v>0</v>
      </c>
      <c r="M276" s="668"/>
      <c r="N276" s="581" t="s">
        <v>3758</v>
      </c>
      <c r="O276" s="122" t="s">
        <v>3759</v>
      </c>
    </row>
    <row r="277" spans="1:15">
      <c r="A277" s="10" t="s">
        <v>4116</v>
      </c>
      <c r="B277" s="34">
        <v>1331</v>
      </c>
      <c r="C277" s="10" t="s">
        <v>4117</v>
      </c>
      <c r="D277" s="11">
        <v>1</v>
      </c>
      <c r="E277" s="11" t="s">
        <v>4118</v>
      </c>
      <c r="F277" s="11" t="s">
        <v>3763</v>
      </c>
      <c r="G277" s="129">
        <v>44461</v>
      </c>
      <c r="H277" s="161" t="s">
        <v>3768</v>
      </c>
      <c r="I277" s="729"/>
      <c r="J277" s="729"/>
      <c r="K277" s="636"/>
      <c r="L277" s="522">
        <f t="shared" si="4"/>
        <v>0</v>
      </c>
      <c r="M277" s="142"/>
      <c r="N277" s="22"/>
      <c r="O277" s="22" t="s">
        <v>3759</v>
      </c>
    </row>
    <row r="278" spans="1:15">
      <c r="A278" s="10" t="s">
        <v>4119</v>
      </c>
      <c r="B278" s="34" t="s">
        <v>3748</v>
      </c>
      <c r="C278" s="10" t="s">
        <v>4120</v>
      </c>
      <c r="D278" s="11">
        <v>1</v>
      </c>
      <c r="E278" s="11" t="s">
        <v>4121</v>
      </c>
      <c r="F278" s="11" t="s">
        <v>3750</v>
      </c>
      <c r="G278" s="129">
        <v>44400</v>
      </c>
      <c r="H278" s="161" t="s">
        <v>4122</v>
      </c>
      <c r="I278" s="729"/>
      <c r="J278" s="729"/>
      <c r="K278" s="636"/>
      <c r="L278" s="522">
        <f t="shared" si="4"/>
        <v>0</v>
      </c>
      <c r="M278" s="142"/>
      <c r="N278" s="22"/>
      <c r="O278" s="22" t="s">
        <v>3759</v>
      </c>
    </row>
    <row r="279" spans="1:15" hidden="1">
      <c r="A279" s="316" t="s">
        <v>4423</v>
      </c>
      <c r="B279" s="554" t="s">
        <v>4424</v>
      </c>
      <c r="C279" s="329" t="s">
        <v>4425</v>
      </c>
      <c r="D279" s="555">
        <v>0</v>
      </c>
      <c r="E279" s="556" t="s">
        <v>4198</v>
      </c>
      <c r="F279" s="556" t="s">
        <v>3785</v>
      </c>
      <c r="G279" s="565">
        <v>45449</v>
      </c>
      <c r="H279" s="557" t="s">
        <v>3834</v>
      </c>
      <c r="I279" s="728">
        <v>1500</v>
      </c>
      <c r="J279" s="728"/>
      <c r="K279" s="500"/>
      <c r="L279" s="90">
        <f t="shared" si="4"/>
        <v>1500</v>
      </c>
      <c r="M279" s="500"/>
      <c r="N279" s="107" t="s">
        <v>3758</v>
      </c>
      <c r="O279" s="108" t="s">
        <v>3759</v>
      </c>
    </row>
    <row r="280" spans="1:15" hidden="1">
      <c r="A280" s="316" t="s">
        <v>4311</v>
      </c>
      <c r="B280" s="8" t="s">
        <v>4426</v>
      </c>
      <c r="C280" s="10" t="s">
        <v>4350</v>
      </c>
      <c r="D280" s="111">
        <v>0</v>
      </c>
      <c r="E280" s="9" t="s">
        <v>3760</v>
      </c>
      <c r="F280" s="9" t="s">
        <v>3785</v>
      </c>
      <c r="G280" s="46">
        <v>45504</v>
      </c>
      <c r="H280" s="119" t="s">
        <v>3799</v>
      </c>
      <c r="I280" s="728">
        <v>2100</v>
      </c>
      <c r="J280" s="728"/>
      <c r="K280" s="141"/>
      <c r="L280" s="2">
        <f t="shared" si="4"/>
        <v>2100</v>
      </c>
      <c r="M280" s="141"/>
      <c r="N280" s="22" t="s">
        <v>3758</v>
      </c>
      <c r="O280" s="106" t="s">
        <v>3759</v>
      </c>
    </row>
    <row r="281" spans="1:15" hidden="1">
      <c r="A281" s="316" t="s">
        <v>4427</v>
      </c>
      <c r="B281" s="8" t="s">
        <v>4428</v>
      </c>
      <c r="C281" s="10" t="s">
        <v>4429</v>
      </c>
      <c r="D281" s="111">
        <v>0</v>
      </c>
      <c r="E281" s="9" t="s">
        <v>4430</v>
      </c>
      <c r="F281" s="9" t="s">
        <v>3798</v>
      </c>
      <c r="G281" s="46">
        <v>44502</v>
      </c>
      <c r="H281" s="119" t="s">
        <v>4138</v>
      </c>
      <c r="I281" s="728">
        <v>287</v>
      </c>
      <c r="J281" s="728"/>
      <c r="K281" s="217"/>
      <c r="L281" s="654">
        <f t="shared" si="4"/>
        <v>287</v>
      </c>
      <c r="M281" s="219"/>
      <c r="N281" s="12" t="s">
        <v>3758</v>
      </c>
      <c r="O281" s="116" t="s">
        <v>3759</v>
      </c>
    </row>
    <row r="282" spans="1:15" hidden="1">
      <c r="A282" s="316" t="s">
        <v>4427</v>
      </c>
      <c r="B282" s="110" t="s">
        <v>4386</v>
      </c>
      <c r="C282" s="44" t="s">
        <v>4429</v>
      </c>
      <c r="D282" s="111">
        <v>0</v>
      </c>
      <c r="E282" s="111" t="s">
        <v>4430</v>
      </c>
      <c r="F282" s="111" t="s">
        <v>3798</v>
      </c>
      <c r="G282" s="114">
        <v>44502</v>
      </c>
      <c r="H282" s="170" t="s">
        <v>4138</v>
      </c>
      <c r="I282" s="728">
        <v>350</v>
      </c>
      <c r="J282" s="728"/>
      <c r="K282" s="481"/>
      <c r="L282" s="551">
        <f t="shared" si="4"/>
        <v>350</v>
      </c>
      <c r="M282" s="490"/>
      <c r="N282" s="144" t="s">
        <v>3758</v>
      </c>
      <c r="O282" s="145" t="s">
        <v>3804</v>
      </c>
    </row>
    <row r="283" spans="1:15">
      <c r="A283" s="10" t="s">
        <v>4123</v>
      </c>
      <c r="B283" s="34">
        <v>3757</v>
      </c>
      <c r="C283" s="10" t="s">
        <v>207</v>
      </c>
      <c r="D283" s="11">
        <v>1</v>
      </c>
      <c r="E283" s="11" t="s">
        <v>4124</v>
      </c>
      <c r="F283" s="11" t="s">
        <v>3785</v>
      </c>
      <c r="G283" s="129">
        <v>44455</v>
      </c>
      <c r="H283" s="161" t="s">
        <v>3768</v>
      </c>
      <c r="I283" s="729"/>
      <c r="J283" s="729"/>
      <c r="K283" s="636"/>
      <c r="L283" s="522">
        <f t="shared" si="4"/>
        <v>0</v>
      </c>
      <c r="M283" s="142"/>
      <c r="N283" s="22"/>
      <c r="O283" s="22" t="s">
        <v>3759</v>
      </c>
    </row>
    <row r="284" spans="1:15" hidden="1">
      <c r="A284" s="316" t="s">
        <v>4434</v>
      </c>
      <c r="B284" s="554" t="s">
        <v>4435</v>
      </c>
      <c r="C284" s="329" t="s">
        <v>4436</v>
      </c>
      <c r="D284" s="555">
        <v>0</v>
      </c>
      <c r="E284" s="556" t="s">
        <v>4437</v>
      </c>
      <c r="F284" s="556"/>
      <c r="G284" s="556"/>
      <c r="H284" s="557"/>
      <c r="I284" s="728"/>
      <c r="J284" s="728"/>
      <c r="K284" s="498"/>
      <c r="L284" s="498">
        <f t="shared" si="4"/>
        <v>0</v>
      </c>
      <c r="M284" s="527"/>
      <c r="N284" s="40" t="s">
        <v>3758</v>
      </c>
      <c r="O284" s="108" t="s">
        <v>3759</v>
      </c>
    </row>
    <row r="285" spans="1:15" hidden="1">
      <c r="A285" s="316" t="s">
        <v>4438</v>
      </c>
      <c r="B285" s="110" t="s">
        <v>4439</v>
      </c>
      <c r="C285" s="44" t="s">
        <v>4440</v>
      </c>
      <c r="D285" s="111">
        <v>0</v>
      </c>
      <c r="E285" s="111" t="s">
        <v>4136</v>
      </c>
      <c r="F285" s="111"/>
      <c r="G285" s="111"/>
      <c r="H285" s="170"/>
      <c r="I285" s="728"/>
      <c r="J285" s="728"/>
      <c r="K285" s="136"/>
      <c r="L285" s="136">
        <f t="shared" si="4"/>
        <v>0</v>
      </c>
      <c r="M285" s="525"/>
      <c r="N285" s="112" t="s">
        <v>3758</v>
      </c>
      <c r="O285" s="113" t="s">
        <v>3759</v>
      </c>
    </row>
    <row r="286" spans="1:15" s="1" customFormat="1" ht="15" customHeight="1">
      <c r="A286" s="10" t="s">
        <v>4125</v>
      </c>
      <c r="B286" s="34" t="s">
        <v>4126</v>
      </c>
      <c r="C286" s="10" t="s">
        <v>4095</v>
      </c>
      <c r="D286" s="11">
        <v>1</v>
      </c>
      <c r="E286" s="11" t="s">
        <v>4127</v>
      </c>
      <c r="F286" s="11" t="s">
        <v>3763</v>
      </c>
      <c r="G286" s="129">
        <v>45294</v>
      </c>
      <c r="H286" s="161" t="s">
        <v>3768</v>
      </c>
      <c r="I286" s="729"/>
      <c r="J286" s="729"/>
      <c r="K286" s="634"/>
      <c r="L286" s="522">
        <f t="shared" si="4"/>
        <v>0</v>
      </c>
      <c r="M286" s="141"/>
      <c r="N286" s="22"/>
      <c r="O286" s="22" t="s">
        <v>3759</v>
      </c>
    </row>
    <row r="287" spans="1:15">
      <c r="A287" s="10" t="s">
        <v>4091</v>
      </c>
      <c r="B287" s="34" t="s">
        <v>4137</v>
      </c>
      <c r="C287" s="10" t="s">
        <v>4095</v>
      </c>
      <c r="D287" s="11">
        <v>1</v>
      </c>
      <c r="E287" s="11" t="s">
        <v>3978</v>
      </c>
      <c r="F287" s="11" t="s">
        <v>3763</v>
      </c>
      <c r="G287" s="129">
        <v>45470</v>
      </c>
      <c r="H287" s="161" t="s">
        <v>4138</v>
      </c>
      <c r="I287" s="729"/>
      <c r="J287" s="729"/>
      <c r="K287" s="636"/>
      <c r="L287" s="522">
        <f t="shared" si="4"/>
        <v>0</v>
      </c>
      <c r="M287" s="142"/>
      <c r="N287" s="22"/>
      <c r="O287" s="22" t="s">
        <v>3759</v>
      </c>
    </row>
    <row r="288" spans="1:15" hidden="1">
      <c r="A288" s="316" t="s">
        <v>4345</v>
      </c>
      <c r="B288" s="580" t="s">
        <v>4447</v>
      </c>
      <c r="C288" s="260" t="s">
        <v>4347</v>
      </c>
      <c r="D288" s="555">
        <v>0</v>
      </c>
      <c r="E288" s="555" t="s">
        <v>4448</v>
      </c>
      <c r="F288" s="555" t="s">
        <v>3785</v>
      </c>
      <c r="G288" s="559">
        <v>44784</v>
      </c>
      <c r="H288" s="475" t="s">
        <v>3768</v>
      </c>
      <c r="I288" s="728">
        <v>3250</v>
      </c>
      <c r="J288" s="728"/>
      <c r="K288" s="484"/>
      <c r="L288" s="653">
        <f t="shared" si="4"/>
        <v>3250</v>
      </c>
      <c r="M288" s="486"/>
      <c r="N288" s="121" t="s">
        <v>4041</v>
      </c>
      <c r="O288" s="122" t="s">
        <v>3759</v>
      </c>
    </row>
    <row r="289" spans="1:15">
      <c r="A289" s="10" t="s">
        <v>4099</v>
      </c>
      <c r="B289" s="115" t="s">
        <v>4139</v>
      </c>
      <c r="C289" s="10" t="s">
        <v>4093</v>
      </c>
      <c r="D289" s="11">
        <v>1</v>
      </c>
      <c r="E289" s="11" t="s">
        <v>4101</v>
      </c>
      <c r="F289" s="11" t="s">
        <v>3785</v>
      </c>
      <c r="G289" s="129">
        <v>45580</v>
      </c>
      <c r="H289" s="161" t="s">
        <v>3834</v>
      </c>
      <c r="I289" s="729"/>
      <c r="J289" s="729"/>
      <c r="K289" s="637"/>
      <c r="L289" s="522">
        <f t="shared" si="4"/>
        <v>0</v>
      </c>
      <c r="M289" s="739">
        <v>12000</v>
      </c>
      <c r="N289" s="22"/>
      <c r="O289" s="22" t="s">
        <v>3759</v>
      </c>
    </row>
    <row r="290" spans="1:15" hidden="1">
      <c r="A290" s="316" t="s">
        <v>4427</v>
      </c>
      <c r="B290" s="558" t="s">
        <v>4451</v>
      </c>
      <c r="C290" s="260" t="s">
        <v>4429</v>
      </c>
      <c r="D290" s="555">
        <v>0</v>
      </c>
      <c r="E290" s="555" t="s">
        <v>4437</v>
      </c>
      <c r="F290" s="555" t="s">
        <v>3763</v>
      </c>
      <c r="G290" s="555" t="s">
        <v>4452</v>
      </c>
      <c r="H290" s="475" t="s">
        <v>3934</v>
      </c>
      <c r="I290" s="728">
        <v>1000</v>
      </c>
      <c r="J290" s="728"/>
      <c r="K290" s="212"/>
      <c r="L290" s="608">
        <f t="shared" si="4"/>
        <v>1000</v>
      </c>
      <c r="M290" s="482"/>
      <c r="N290" s="581" t="s">
        <v>3758</v>
      </c>
      <c r="O290" s="582" t="s">
        <v>3804</v>
      </c>
    </row>
    <row r="291" spans="1:15">
      <c r="A291" s="10" t="s">
        <v>4146</v>
      </c>
      <c r="B291" s="34">
        <v>3070</v>
      </c>
      <c r="C291" s="10" t="s">
        <v>4147</v>
      </c>
      <c r="D291" s="11">
        <v>1</v>
      </c>
      <c r="E291" s="11" t="s">
        <v>4148</v>
      </c>
      <c r="F291" s="11" t="s">
        <v>3763</v>
      </c>
      <c r="G291" s="129">
        <v>44503</v>
      </c>
      <c r="H291" s="161" t="s">
        <v>3768</v>
      </c>
      <c r="I291" s="729"/>
      <c r="J291" s="729"/>
      <c r="K291" s="636"/>
      <c r="L291" s="522">
        <f t="shared" si="4"/>
        <v>0</v>
      </c>
      <c r="M291" s="142"/>
      <c r="N291" s="22"/>
      <c r="O291" s="22" t="s">
        <v>3759</v>
      </c>
    </row>
    <row r="292" spans="1:15" hidden="1">
      <c r="A292" s="316" t="s">
        <v>4455</v>
      </c>
      <c r="B292" s="558" t="s">
        <v>4456</v>
      </c>
      <c r="C292" s="260" t="s">
        <v>4457</v>
      </c>
      <c r="D292" s="555">
        <v>0</v>
      </c>
      <c r="E292" s="555" t="s">
        <v>4458</v>
      </c>
      <c r="F292" s="555"/>
      <c r="G292" s="555"/>
      <c r="H292" s="475"/>
      <c r="I292" s="728"/>
      <c r="J292" s="728"/>
      <c r="K292" s="169"/>
      <c r="L292" s="169">
        <f t="shared" si="4"/>
        <v>0</v>
      </c>
      <c r="M292" s="668"/>
      <c r="N292" s="121" t="s">
        <v>3758</v>
      </c>
      <c r="O292" s="122" t="s">
        <v>3759</v>
      </c>
    </row>
    <row r="293" spans="1:15">
      <c r="A293" s="10" t="s">
        <v>4149</v>
      </c>
      <c r="B293" s="34">
        <v>3277</v>
      </c>
      <c r="C293" s="10" t="s">
        <v>4150</v>
      </c>
      <c r="D293" s="11">
        <v>1</v>
      </c>
      <c r="E293" s="11" t="s">
        <v>4151</v>
      </c>
      <c r="F293" s="11" t="s">
        <v>3763</v>
      </c>
      <c r="G293" s="129">
        <v>44712</v>
      </c>
      <c r="H293" s="161" t="s">
        <v>3768</v>
      </c>
      <c r="I293" s="729"/>
      <c r="J293" s="729"/>
      <c r="K293" s="636">
        <v>800</v>
      </c>
      <c r="L293" s="522">
        <f t="shared" si="4"/>
        <v>800</v>
      </c>
      <c r="M293" s="142">
        <v>1500</v>
      </c>
      <c r="N293" s="12"/>
      <c r="O293" s="12" t="s">
        <v>3759</v>
      </c>
    </row>
    <row r="294" spans="1:15">
      <c r="A294" s="10" t="s">
        <v>4152</v>
      </c>
      <c r="B294" s="34">
        <v>3411</v>
      </c>
      <c r="C294" s="10" t="s">
        <v>4153</v>
      </c>
      <c r="D294" s="11">
        <v>1</v>
      </c>
      <c r="E294" s="11" t="s">
        <v>4154</v>
      </c>
      <c r="F294" s="11" t="s">
        <v>3785</v>
      </c>
      <c r="G294" s="129">
        <v>45079</v>
      </c>
      <c r="H294" s="161" t="s">
        <v>3768</v>
      </c>
      <c r="I294" s="729"/>
      <c r="J294" s="729"/>
      <c r="K294" s="634"/>
      <c r="L294" s="522">
        <f t="shared" si="4"/>
        <v>0</v>
      </c>
      <c r="M294" s="141"/>
      <c r="N294" s="22"/>
      <c r="O294" s="22" t="s">
        <v>3759</v>
      </c>
    </row>
    <row r="295" spans="1:15">
      <c r="A295" s="10" t="s">
        <v>5749</v>
      </c>
      <c r="B295" s="628" t="s">
        <v>5750</v>
      </c>
      <c r="C295" s="10" t="s">
        <v>5751</v>
      </c>
      <c r="D295" s="11">
        <v>1</v>
      </c>
      <c r="E295" s="10" t="s">
        <v>4229</v>
      </c>
      <c r="F295" s="10" t="s">
        <v>3785</v>
      </c>
      <c r="G295" s="129">
        <v>45796</v>
      </c>
      <c r="H295" s="161" t="s">
        <v>3799</v>
      </c>
      <c r="I295" s="729"/>
      <c r="J295" s="729"/>
      <c r="K295" s="633"/>
      <c r="L295" s="522">
        <f t="shared" si="4"/>
        <v>0</v>
      </c>
      <c r="M295" s="471"/>
      <c r="N295" s="22"/>
      <c r="O295" s="22" t="s">
        <v>3759</v>
      </c>
    </row>
    <row r="296" spans="1:15" hidden="1">
      <c r="A296" s="316" t="s">
        <v>4463</v>
      </c>
      <c r="B296" s="580">
        <v>1598</v>
      </c>
      <c r="C296" s="260" t="s">
        <v>4464</v>
      </c>
      <c r="D296" s="555">
        <v>0</v>
      </c>
      <c r="E296" s="555" t="s">
        <v>4465</v>
      </c>
      <c r="F296" s="555" t="s">
        <v>3785</v>
      </c>
      <c r="G296" s="559">
        <v>44755</v>
      </c>
      <c r="H296" s="475" t="s">
        <v>3768</v>
      </c>
      <c r="I296" s="728">
        <v>2975</v>
      </c>
      <c r="J296" s="728"/>
      <c r="K296" s="484"/>
      <c r="L296" s="653">
        <f t="shared" si="4"/>
        <v>2975</v>
      </c>
      <c r="M296" s="486"/>
      <c r="N296" s="121" t="s">
        <v>3758</v>
      </c>
      <c r="O296" s="122" t="s">
        <v>3759</v>
      </c>
    </row>
    <row r="297" spans="1:15" hidden="1">
      <c r="A297" s="316" t="s">
        <v>4155</v>
      </c>
      <c r="B297" s="34" t="s">
        <v>4156</v>
      </c>
      <c r="C297" s="10" t="s">
        <v>4157</v>
      </c>
      <c r="D297" s="11">
        <v>0</v>
      </c>
      <c r="E297" s="11" t="s">
        <v>4158</v>
      </c>
      <c r="F297" s="11" t="s">
        <v>3785</v>
      </c>
      <c r="G297" s="129">
        <v>45664</v>
      </c>
      <c r="H297" s="161" t="s">
        <v>4159</v>
      </c>
      <c r="I297" s="728"/>
      <c r="J297" s="728"/>
      <c r="K297" s="633"/>
      <c r="L297" s="522">
        <f t="shared" si="4"/>
        <v>0</v>
      </c>
      <c r="M297" s="471"/>
      <c r="N297" s="22" t="s">
        <v>3758</v>
      </c>
      <c r="O297" s="22" t="s">
        <v>3759</v>
      </c>
    </row>
    <row r="298" spans="1:15" s="1" customFormat="1" ht="15.75" hidden="1" customHeight="1">
      <c r="A298" s="316" t="s">
        <v>4463</v>
      </c>
      <c r="B298" s="554" t="s">
        <v>4467</v>
      </c>
      <c r="C298" s="329" t="s">
        <v>371</v>
      </c>
      <c r="D298" s="555">
        <v>0</v>
      </c>
      <c r="E298" s="556" t="s">
        <v>4468</v>
      </c>
      <c r="F298" s="556"/>
      <c r="G298" s="556"/>
      <c r="H298" s="557"/>
      <c r="I298" s="728"/>
      <c r="J298" s="728"/>
      <c r="K298" s="494"/>
      <c r="L298" s="494">
        <f t="shared" si="4"/>
        <v>0</v>
      </c>
      <c r="M298" s="670"/>
      <c r="N298" s="107" t="s">
        <v>3758</v>
      </c>
      <c r="O298" s="108" t="s">
        <v>3759</v>
      </c>
    </row>
    <row r="299" spans="1:15" hidden="1">
      <c r="A299" s="316" t="s">
        <v>4469</v>
      </c>
      <c r="B299" s="8" t="s">
        <v>4470</v>
      </c>
      <c r="C299" s="10" t="s">
        <v>4471</v>
      </c>
      <c r="D299" s="111">
        <v>0</v>
      </c>
      <c r="E299" s="9" t="s">
        <v>4472</v>
      </c>
      <c r="F299" s="9"/>
      <c r="G299" s="9"/>
      <c r="H299" s="119"/>
      <c r="I299" s="728"/>
      <c r="J299" s="728"/>
      <c r="K299" s="137"/>
      <c r="L299" s="137">
        <f t="shared" si="4"/>
        <v>0</v>
      </c>
      <c r="M299" s="487"/>
      <c r="N299" s="22" t="s">
        <v>3758</v>
      </c>
      <c r="O299" s="106" t="s">
        <v>3759</v>
      </c>
    </row>
    <row r="300" spans="1:15" hidden="1">
      <c r="A300" s="316" t="s">
        <v>4469</v>
      </c>
      <c r="B300" s="8" t="s">
        <v>4473</v>
      </c>
      <c r="C300" s="10" t="s">
        <v>4471</v>
      </c>
      <c r="D300" s="111">
        <v>0</v>
      </c>
      <c r="E300" s="9" t="s">
        <v>3818</v>
      </c>
      <c r="F300" s="9"/>
      <c r="G300" s="9"/>
      <c r="H300" s="119"/>
      <c r="I300" s="728"/>
      <c r="J300" s="728"/>
      <c r="K300" s="137"/>
      <c r="L300" s="137">
        <f t="shared" si="4"/>
        <v>0</v>
      </c>
      <c r="M300" s="487"/>
      <c r="N300" s="22" t="s">
        <v>3758</v>
      </c>
      <c r="O300" s="106" t="s">
        <v>3759</v>
      </c>
    </row>
    <row r="301" spans="1:15" hidden="1">
      <c r="A301" s="316" t="s">
        <v>4474</v>
      </c>
      <c r="B301" s="110" t="s">
        <v>4475</v>
      </c>
      <c r="C301" s="44" t="s">
        <v>4476</v>
      </c>
      <c r="D301" s="111">
        <v>0</v>
      </c>
      <c r="E301" s="111" t="s">
        <v>3787</v>
      </c>
      <c r="F301" s="111"/>
      <c r="G301" s="111"/>
      <c r="H301" s="170"/>
      <c r="I301" s="728"/>
      <c r="J301" s="728"/>
      <c r="K301" s="478"/>
      <c r="L301" s="478">
        <f t="shared" si="4"/>
        <v>0</v>
      </c>
      <c r="M301" s="524"/>
      <c r="N301" s="112" t="s">
        <v>3758</v>
      </c>
      <c r="O301" s="113" t="s">
        <v>3759</v>
      </c>
    </row>
    <row r="302" spans="1:15">
      <c r="A302" s="10" t="s">
        <v>4160</v>
      </c>
      <c r="B302" s="34" t="s">
        <v>3748</v>
      </c>
      <c r="C302" s="10" t="s">
        <v>4161</v>
      </c>
      <c r="D302" s="11">
        <v>1</v>
      </c>
      <c r="E302" s="11" t="s">
        <v>4162</v>
      </c>
      <c r="F302" s="11" t="s">
        <v>3750</v>
      </c>
      <c r="G302" s="129">
        <v>45057</v>
      </c>
      <c r="H302" s="161" t="s">
        <v>4163</v>
      </c>
      <c r="I302" s="729"/>
      <c r="J302" s="729"/>
      <c r="K302" s="636"/>
      <c r="L302" s="522">
        <f t="shared" si="4"/>
        <v>0</v>
      </c>
      <c r="M302" s="142"/>
      <c r="N302" s="22"/>
      <c r="O302" s="22" t="s">
        <v>3804</v>
      </c>
    </row>
    <row r="303" spans="1:15">
      <c r="A303" s="10" t="s">
        <v>4168</v>
      </c>
      <c r="B303" s="34">
        <v>16751</v>
      </c>
      <c r="C303" s="10" t="s">
        <v>4169</v>
      </c>
      <c r="D303" s="11">
        <v>1</v>
      </c>
      <c r="E303" s="11" t="s">
        <v>4170</v>
      </c>
      <c r="F303" s="11" t="s">
        <v>3785</v>
      </c>
      <c r="G303" s="129">
        <v>44853</v>
      </c>
      <c r="H303" s="161" t="s">
        <v>4171</v>
      </c>
      <c r="I303" s="729"/>
      <c r="J303" s="729"/>
      <c r="K303" s="636"/>
      <c r="L303" s="522">
        <f t="shared" si="4"/>
        <v>0</v>
      </c>
      <c r="M303" s="142"/>
      <c r="N303" s="22"/>
      <c r="O303" s="22" t="s">
        <v>3804</v>
      </c>
    </row>
    <row r="304" spans="1:15">
      <c r="A304" s="10" t="s">
        <v>4180</v>
      </c>
      <c r="B304" s="34" t="s">
        <v>3748</v>
      </c>
      <c r="C304" s="10" t="s">
        <v>4181</v>
      </c>
      <c r="D304" s="11">
        <v>2</v>
      </c>
      <c r="E304" s="129" t="s">
        <v>4182</v>
      </c>
      <c r="F304" s="129" t="s">
        <v>4183</v>
      </c>
      <c r="G304" s="129">
        <v>45275</v>
      </c>
      <c r="H304" s="211" t="s">
        <v>4184</v>
      </c>
      <c r="I304" s="729"/>
      <c r="J304" s="729"/>
      <c r="K304" s="636"/>
      <c r="L304" s="522">
        <f t="shared" si="4"/>
        <v>0</v>
      </c>
      <c r="M304" s="142"/>
      <c r="N304" s="22"/>
      <c r="O304" s="22" t="s">
        <v>3759</v>
      </c>
    </row>
    <row r="305" spans="1:15" hidden="1">
      <c r="A305" s="316" t="s">
        <v>4482</v>
      </c>
      <c r="B305" s="558" t="s">
        <v>4483</v>
      </c>
      <c r="C305" s="260" t="s">
        <v>4484</v>
      </c>
      <c r="D305" s="555">
        <v>0</v>
      </c>
      <c r="E305" s="555" t="s">
        <v>3916</v>
      </c>
      <c r="F305" s="555"/>
      <c r="G305" s="555"/>
      <c r="H305" s="475"/>
      <c r="I305" s="728"/>
      <c r="J305" s="728"/>
      <c r="K305" s="169"/>
      <c r="L305" s="169">
        <f t="shared" si="4"/>
        <v>0</v>
      </c>
      <c r="M305" s="668"/>
      <c r="N305" s="121" t="s">
        <v>3758</v>
      </c>
      <c r="O305" s="122" t="s">
        <v>3759</v>
      </c>
    </row>
    <row r="306" spans="1:15">
      <c r="A306" s="10" t="s">
        <v>1679</v>
      </c>
      <c r="B306" s="34" t="s">
        <v>3748</v>
      </c>
      <c r="C306" s="10" t="s">
        <v>4185</v>
      </c>
      <c r="D306" s="11">
        <v>1</v>
      </c>
      <c r="E306" s="11" t="s">
        <v>4186</v>
      </c>
      <c r="F306" s="11" t="s">
        <v>3780</v>
      </c>
      <c r="G306" s="129">
        <v>40900</v>
      </c>
      <c r="H306" s="161" t="s">
        <v>4187</v>
      </c>
      <c r="I306" s="729"/>
      <c r="J306" s="729"/>
      <c r="K306" s="636"/>
      <c r="L306" s="522">
        <f t="shared" si="4"/>
        <v>0</v>
      </c>
      <c r="M306" s="142"/>
      <c r="N306" s="22"/>
      <c r="O306" s="22" t="s">
        <v>3759</v>
      </c>
    </row>
    <row r="307" spans="1:15">
      <c r="A307" s="10" t="s">
        <v>4199</v>
      </c>
      <c r="B307" s="33">
        <v>594</v>
      </c>
      <c r="C307" s="33" t="s">
        <v>4200</v>
      </c>
      <c r="D307" s="11">
        <v>1</v>
      </c>
      <c r="E307" s="11" t="s">
        <v>4201</v>
      </c>
      <c r="F307" s="11" t="s">
        <v>3785</v>
      </c>
      <c r="G307" s="129">
        <v>45784</v>
      </c>
      <c r="H307" s="161" t="s">
        <v>3799</v>
      </c>
      <c r="I307" s="729"/>
      <c r="J307" s="729"/>
      <c r="K307" s="633"/>
      <c r="L307" s="522">
        <f t="shared" si="4"/>
        <v>0</v>
      </c>
      <c r="M307" s="471"/>
      <c r="N307" s="22"/>
      <c r="O307" s="22" t="s">
        <v>3759</v>
      </c>
    </row>
    <row r="308" spans="1:15" hidden="1">
      <c r="A308" s="316" t="s">
        <v>4486</v>
      </c>
      <c r="B308" s="558">
        <v>10847</v>
      </c>
      <c r="C308" s="260" t="s">
        <v>4487</v>
      </c>
      <c r="D308" s="555">
        <v>0</v>
      </c>
      <c r="E308" s="555" t="s">
        <v>3774</v>
      </c>
      <c r="F308" s="555" t="s">
        <v>3763</v>
      </c>
      <c r="G308" s="559">
        <v>45446</v>
      </c>
      <c r="H308" s="475" t="s">
        <v>3768</v>
      </c>
      <c r="I308" s="728"/>
      <c r="J308" s="728"/>
      <c r="K308" s="169"/>
      <c r="L308" s="169">
        <f t="shared" si="4"/>
        <v>0</v>
      </c>
      <c r="M308" s="668"/>
      <c r="N308" s="121" t="s">
        <v>3758</v>
      </c>
      <c r="O308" s="122" t="s">
        <v>3759</v>
      </c>
    </row>
    <row r="309" spans="1:15">
      <c r="A309" s="10" t="s">
        <v>4128</v>
      </c>
      <c r="B309" s="34" t="s">
        <v>4208</v>
      </c>
      <c r="C309" s="10" t="s">
        <v>690</v>
      </c>
      <c r="D309" s="11">
        <v>1</v>
      </c>
      <c r="E309" s="11" t="s">
        <v>4133</v>
      </c>
      <c r="F309" s="11" t="s">
        <v>3785</v>
      </c>
      <c r="G309" s="129">
        <v>45210</v>
      </c>
      <c r="H309" s="161" t="s">
        <v>3768</v>
      </c>
      <c r="I309" s="729"/>
      <c r="J309" s="729"/>
      <c r="K309" s="636"/>
      <c r="L309" s="522">
        <f t="shared" si="4"/>
        <v>0</v>
      </c>
      <c r="M309" s="142"/>
      <c r="N309" s="22"/>
      <c r="O309" s="22" t="s">
        <v>3759</v>
      </c>
    </row>
    <row r="310" spans="1:15" hidden="1">
      <c r="A310" s="316" t="s">
        <v>4489</v>
      </c>
      <c r="B310" s="554" t="s">
        <v>4490</v>
      </c>
      <c r="C310" s="329" t="s">
        <v>4491</v>
      </c>
      <c r="D310" s="555">
        <v>0</v>
      </c>
      <c r="E310" s="556" t="s">
        <v>3774</v>
      </c>
      <c r="F310" s="556" t="s">
        <v>3763</v>
      </c>
      <c r="G310" s="565">
        <v>45446</v>
      </c>
      <c r="H310" s="557" t="s">
        <v>3768</v>
      </c>
      <c r="I310" s="728"/>
      <c r="J310" s="728"/>
      <c r="K310" s="498"/>
      <c r="L310" s="498">
        <f t="shared" si="4"/>
        <v>0</v>
      </c>
      <c r="M310" s="527"/>
      <c r="N310" s="107" t="s">
        <v>3758</v>
      </c>
      <c r="O310" s="108" t="s">
        <v>3759</v>
      </c>
    </row>
    <row r="311" spans="1:15" hidden="1">
      <c r="A311" s="316" t="s">
        <v>4492</v>
      </c>
      <c r="B311" s="8">
        <v>1769</v>
      </c>
      <c r="C311" s="10" t="s">
        <v>690</v>
      </c>
      <c r="D311" s="111">
        <v>0</v>
      </c>
      <c r="E311" s="46" t="s">
        <v>3774</v>
      </c>
      <c r="F311" s="46"/>
      <c r="G311" s="46"/>
      <c r="H311" s="171"/>
      <c r="I311" s="728"/>
      <c r="J311" s="728"/>
      <c r="K311" s="138"/>
      <c r="L311" s="138">
        <f t="shared" si="4"/>
        <v>0</v>
      </c>
      <c r="M311" s="471"/>
      <c r="N311" s="22" t="s">
        <v>3758</v>
      </c>
      <c r="O311" s="106" t="s">
        <v>3759</v>
      </c>
    </row>
    <row r="312" spans="1:15" hidden="1">
      <c r="A312" s="316" t="s">
        <v>4493</v>
      </c>
      <c r="B312" s="8" t="s">
        <v>4494</v>
      </c>
      <c r="C312" s="10" t="s">
        <v>4495</v>
      </c>
      <c r="D312" s="111">
        <v>0</v>
      </c>
      <c r="E312" s="9" t="s">
        <v>4223</v>
      </c>
      <c r="F312" s="9" t="s">
        <v>3798</v>
      </c>
      <c r="G312" s="46">
        <v>41941</v>
      </c>
      <c r="H312" s="119" t="s">
        <v>3965</v>
      </c>
      <c r="I312" s="728">
        <v>950</v>
      </c>
      <c r="J312" s="728"/>
      <c r="K312" s="140"/>
      <c r="L312" s="96">
        <f t="shared" si="4"/>
        <v>950</v>
      </c>
      <c r="M312" s="142"/>
      <c r="N312" s="22" t="s">
        <v>3758</v>
      </c>
      <c r="O312" s="106" t="s">
        <v>3759</v>
      </c>
    </row>
    <row r="313" spans="1:15" hidden="1">
      <c r="A313" s="316" t="s">
        <v>4496</v>
      </c>
      <c r="B313" s="8">
        <v>2339</v>
      </c>
      <c r="C313" s="10" t="s">
        <v>4497</v>
      </c>
      <c r="D313" s="111">
        <v>0</v>
      </c>
      <c r="E313" s="9" t="s">
        <v>4498</v>
      </c>
      <c r="F313" s="9"/>
      <c r="G313" s="9"/>
      <c r="H313" s="119"/>
      <c r="I313" s="728"/>
      <c r="J313" s="728"/>
      <c r="K313" s="138"/>
      <c r="L313" s="138">
        <f t="shared" si="4"/>
        <v>0</v>
      </c>
      <c r="M313" s="471"/>
      <c r="N313" s="22" t="s">
        <v>3758</v>
      </c>
      <c r="O313" s="106" t="s">
        <v>3759</v>
      </c>
    </row>
    <row r="314" spans="1:15" hidden="1">
      <c r="A314" s="316" t="s">
        <v>4493</v>
      </c>
      <c r="B314" s="8" t="s">
        <v>4499</v>
      </c>
      <c r="C314" s="10" t="s">
        <v>4500</v>
      </c>
      <c r="D314" s="111">
        <v>0</v>
      </c>
      <c r="E314" s="9" t="s">
        <v>3927</v>
      </c>
      <c r="F314" s="9" t="s">
        <v>3763</v>
      </c>
      <c r="G314" s="46">
        <v>45526</v>
      </c>
      <c r="H314" s="119" t="s">
        <v>3934</v>
      </c>
      <c r="I314" s="728">
        <v>1450</v>
      </c>
      <c r="J314" s="728"/>
      <c r="K314" s="146"/>
      <c r="L314" s="517">
        <f t="shared" si="4"/>
        <v>1450</v>
      </c>
      <c r="M314" s="739"/>
      <c r="N314" s="22" t="s">
        <v>3758</v>
      </c>
      <c r="O314" s="106" t="s">
        <v>3759</v>
      </c>
    </row>
    <row r="315" spans="1:15" hidden="1">
      <c r="A315" s="316" t="s">
        <v>4482</v>
      </c>
      <c r="B315" s="110" t="s">
        <v>4501</v>
      </c>
      <c r="C315" s="44" t="s">
        <v>4502</v>
      </c>
      <c r="D315" s="111">
        <v>0</v>
      </c>
      <c r="E315" s="111" t="s">
        <v>4503</v>
      </c>
      <c r="F315" s="111" t="s">
        <v>3763</v>
      </c>
      <c r="G315" s="114">
        <v>45385</v>
      </c>
      <c r="H315" s="170" t="s">
        <v>3768</v>
      </c>
      <c r="I315" s="728">
        <v>800</v>
      </c>
      <c r="J315" s="728"/>
      <c r="K315" s="479"/>
      <c r="L315" s="5">
        <f t="shared" si="4"/>
        <v>800</v>
      </c>
      <c r="M315" s="479"/>
      <c r="N315" s="112" t="s">
        <v>3758</v>
      </c>
      <c r="O315" s="113" t="s">
        <v>3759</v>
      </c>
    </row>
    <row r="316" spans="1:15">
      <c r="A316" s="10" t="s">
        <v>4224</v>
      </c>
      <c r="B316" s="34">
        <v>2620</v>
      </c>
      <c r="C316" s="10" t="s">
        <v>418</v>
      </c>
      <c r="D316" s="11">
        <v>1</v>
      </c>
      <c r="E316" s="11" t="s">
        <v>4225</v>
      </c>
      <c r="F316" s="11" t="s">
        <v>3798</v>
      </c>
      <c r="G316" s="11" t="s">
        <v>4226</v>
      </c>
      <c r="H316" s="161" t="s">
        <v>4009</v>
      </c>
      <c r="I316" s="729"/>
      <c r="J316" s="729"/>
      <c r="K316" s="636"/>
      <c r="L316" s="522">
        <f t="shared" si="4"/>
        <v>0</v>
      </c>
      <c r="M316" s="142"/>
      <c r="N316" s="12"/>
      <c r="O316" s="12" t="s">
        <v>3804</v>
      </c>
    </row>
    <row r="317" spans="1:15">
      <c r="A317" s="10" t="s">
        <v>3265</v>
      </c>
      <c r="B317" s="34">
        <v>107667</v>
      </c>
      <c r="C317" s="10" t="s">
        <v>4140</v>
      </c>
      <c r="D317" s="11">
        <v>1</v>
      </c>
      <c r="E317" s="11" t="s">
        <v>4141</v>
      </c>
      <c r="F317" s="11" t="s">
        <v>3785</v>
      </c>
      <c r="G317" s="129">
        <v>44742</v>
      </c>
      <c r="H317" s="161" t="s">
        <v>4081</v>
      </c>
      <c r="I317" s="729"/>
      <c r="J317" s="729"/>
      <c r="K317" s="641"/>
      <c r="L317" s="522">
        <f t="shared" si="4"/>
        <v>0</v>
      </c>
      <c r="M317" s="474">
        <v>1485</v>
      </c>
      <c r="N317" s="22"/>
      <c r="O317" s="22" t="s">
        <v>3759</v>
      </c>
    </row>
    <row r="318" spans="1:15" hidden="1">
      <c r="A318" s="316" t="s">
        <v>4510</v>
      </c>
      <c r="B318" s="558">
        <v>5857</v>
      </c>
      <c r="C318" s="260" t="s">
        <v>4511</v>
      </c>
      <c r="D318" s="555">
        <v>0</v>
      </c>
      <c r="E318" s="555" t="s">
        <v>4101</v>
      </c>
      <c r="F318" s="555"/>
      <c r="G318" s="555"/>
      <c r="H318" s="475"/>
      <c r="I318" s="728"/>
      <c r="J318" s="728"/>
      <c r="K318" s="169"/>
      <c r="L318" s="169">
        <f t="shared" si="4"/>
        <v>0</v>
      </c>
      <c r="M318" s="668"/>
      <c r="N318" s="121" t="s">
        <v>3758</v>
      </c>
      <c r="O318" s="122" t="s">
        <v>3759</v>
      </c>
    </row>
    <row r="319" spans="1:15">
      <c r="A319" s="10" t="s">
        <v>4234</v>
      </c>
      <c r="B319" s="115" t="s">
        <v>4235</v>
      </c>
      <c r="C319" s="10" t="s">
        <v>4236</v>
      </c>
      <c r="D319" s="11">
        <v>1</v>
      </c>
      <c r="E319" s="10" t="s">
        <v>4237</v>
      </c>
      <c r="F319" s="10" t="s">
        <v>3763</v>
      </c>
      <c r="G319" s="129">
        <v>45551</v>
      </c>
      <c r="H319" s="161" t="s">
        <v>4238</v>
      </c>
      <c r="I319" s="729"/>
      <c r="J319" s="729"/>
      <c r="K319" s="637"/>
      <c r="L319" s="522">
        <f t="shared" si="4"/>
        <v>0</v>
      </c>
      <c r="M319" s="739"/>
      <c r="N319" s="22"/>
      <c r="O319" s="22" t="s">
        <v>3759</v>
      </c>
    </row>
    <row r="320" spans="1:15" hidden="1">
      <c r="A320" s="316" t="s">
        <v>4514</v>
      </c>
      <c r="B320" s="558">
        <v>2674</v>
      </c>
      <c r="C320" s="260" t="s">
        <v>4515</v>
      </c>
      <c r="D320" s="555">
        <v>0</v>
      </c>
      <c r="E320" s="555" t="s">
        <v>4516</v>
      </c>
      <c r="F320" s="555" t="s">
        <v>3785</v>
      </c>
      <c r="G320" s="559">
        <v>45534</v>
      </c>
      <c r="H320" s="475" t="s">
        <v>4110</v>
      </c>
      <c r="I320" s="728">
        <v>993</v>
      </c>
      <c r="J320" s="728"/>
      <c r="K320" s="483"/>
      <c r="L320" s="518">
        <f t="shared" si="4"/>
        <v>993</v>
      </c>
      <c r="M320" s="738"/>
      <c r="N320" s="121" t="s">
        <v>3758</v>
      </c>
      <c r="O320" s="122" t="s">
        <v>3759</v>
      </c>
    </row>
    <row r="321" spans="1:15">
      <c r="A321" s="10" t="s">
        <v>4164</v>
      </c>
      <c r="B321" s="34" t="s">
        <v>4239</v>
      </c>
      <c r="C321" s="10" t="s">
        <v>4240</v>
      </c>
      <c r="D321" s="11">
        <v>1</v>
      </c>
      <c r="E321" s="11" t="s">
        <v>4241</v>
      </c>
      <c r="F321" s="11" t="s">
        <v>3785</v>
      </c>
      <c r="G321" s="129">
        <v>45436</v>
      </c>
      <c r="H321" s="161" t="s">
        <v>3768</v>
      </c>
      <c r="I321" s="729"/>
      <c r="J321" s="729"/>
      <c r="K321" s="634"/>
      <c r="L321" s="522">
        <f t="shared" si="4"/>
        <v>0</v>
      </c>
      <c r="M321" s="141">
        <v>4000</v>
      </c>
      <c r="N321" s="22"/>
      <c r="O321" s="22" t="s">
        <v>3759</v>
      </c>
    </row>
    <row r="322" spans="1:15">
      <c r="A322" s="10" t="s">
        <v>4172</v>
      </c>
      <c r="B322" s="34" t="s">
        <v>4242</v>
      </c>
      <c r="C322" s="10" t="s">
        <v>4174</v>
      </c>
      <c r="D322" s="11">
        <v>1</v>
      </c>
      <c r="E322" s="11" t="s">
        <v>4167</v>
      </c>
      <c r="F322" s="11" t="s">
        <v>3785</v>
      </c>
      <c r="G322" s="129">
        <v>45446</v>
      </c>
      <c r="H322" s="161" t="s">
        <v>3799</v>
      </c>
      <c r="I322" s="729"/>
      <c r="J322" s="729"/>
      <c r="K322" s="634"/>
      <c r="L322" s="522">
        <f t="shared" si="4"/>
        <v>0</v>
      </c>
      <c r="M322" s="141"/>
      <c r="N322" s="22"/>
      <c r="O322" s="22" t="s">
        <v>3759</v>
      </c>
    </row>
    <row r="323" spans="1:15">
      <c r="A323" s="10" t="s">
        <v>4172</v>
      </c>
      <c r="B323" s="131" t="s">
        <v>4243</v>
      </c>
      <c r="C323" s="96" t="s">
        <v>4244</v>
      </c>
      <c r="D323" s="15">
        <v>1</v>
      </c>
      <c r="E323" s="15" t="s">
        <v>4167</v>
      </c>
      <c r="F323" s="15" t="s">
        <v>3785</v>
      </c>
      <c r="G323" s="290">
        <v>45719</v>
      </c>
      <c r="H323" s="291" t="s">
        <v>3799</v>
      </c>
      <c r="I323" s="729"/>
      <c r="J323" s="729"/>
      <c r="K323" s="644"/>
      <c r="L323" s="522">
        <f t="shared" si="4"/>
        <v>0</v>
      </c>
      <c r="M323" s="737"/>
      <c r="N323" s="31"/>
      <c r="O323" s="31" t="s">
        <v>3759</v>
      </c>
    </row>
    <row r="324" spans="1:15">
      <c r="A324" s="10" t="s">
        <v>4177</v>
      </c>
      <c r="B324" s="629" t="s">
        <v>4245</v>
      </c>
      <c r="C324" s="96" t="s">
        <v>4244</v>
      </c>
      <c r="D324" s="11">
        <v>1</v>
      </c>
      <c r="E324" s="11" t="s">
        <v>4167</v>
      </c>
      <c r="F324" s="11" t="s">
        <v>3785</v>
      </c>
      <c r="G324" s="129">
        <v>45719</v>
      </c>
      <c r="H324" s="161" t="s">
        <v>3799</v>
      </c>
      <c r="I324" s="729"/>
      <c r="J324" s="729"/>
      <c r="K324" s="633"/>
      <c r="L324" s="522">
        <f t="shared" ref="L324:L387" si="5">IF(OR(I324="", K324=""), I324 + K324, I324 + K324)</f>
        <v>0</v>
      </c>
      <c r="M324" s="471"/>
      <c r="N324" s="22"/>
      <c r="O324" s="22" t="s">
        <v>3759</v>
      </c>
    </row>
    <row r="325" spans="1:15" hidden="1">
      <c r="A325" s="316" t="s">
        <v>4531</v>
      </c>
      <c r="B325" s="574" t="s">
        <v>4532</v>
      </c>
      <c r="C325" s="329" t="s">
        <v>4533</v>
      </c>
      <c r="D325" s="555">
        <v>0</v>
      </c>
      <c r="E325" s="576" t="s">
        <v>4340</v>
      </c>
      <c r="F325" s="576" t="s">
        <v>3785</v>
      </c>
      <c r="G325" s="565">
        <v>45546</v>
      </c>
      <c r="H325" s="557" t="s">
        <v>3819</v>
      </c>
      <c r="I325" s="728">
        <v>200</v>
      </c>
      <c r="J325" s="728"/>
      <c r="K325" s="506"/>
      <c r="L325" s="519">
        <f t="shared" si="5"/>
        <v>200</v>
      </c>
      <c r="M325" s="736"/>
      <c r="N325" s="107" t="s">
        <v>3758</v>
      </c>
      <c r="O325" s="108" t="s">
        <v>3759</v>
      </c>
    </row>
    <row r="326" spans="1:15" hidden="1">
      <c r="A326" s="316" t="s">
        <v>4534</v>
      </c>
      <c r="B326" s="8">
        <v>808</v>
      </c>
      <c r="C326" s="10" t="s">
        <v>207</v>
      </c>
      <c r="D326" s="111">
        <v>0</v>
      </c>
      <c r="E326" s="9" t="s">
        <v>4002</v>
      </c>
      <c r="F326" s="9"/>
      <c r="G326" s="9"/>
      <c r="H326" s="119"/>
      <c r="I326" s="728"/>
      <c r="J326" s="728"/>
      <c r="K326" s="138"/>
      <c r="L326" s="138">
        <f t="shared" si="5"/>
        <v>0</v>
      </c>
      <c r="M326" s="471"/>
      <c r="N326" s="22" t="s">
        <v>3758</v>
      </c>
      <c r="O326" s="106" t="s">
        <v>3759</v>
      </c>
    </row>
    <row r="327" spans="1:15" hidden="1">
      <c r="A327" s="316" t="s">
        <v>4535</v>
      </c>
      <c r="B327" s="8">
        <v>1623</v>
      </c>
      <c r="C327" s="10" t="s">
        <v>4536</v>
      </c>
      <c r="D327" s="111">
        <v>0</v>
      </c>
      <c r="E327" s="9" t="s">
        <v>4005</v>
      </c>
      <c r="F327" s="9"/>
      <c r="G327" s="9"/>
      <c r="H327" s="119"/>
      <c r="I327" s="728"/>
      <c r="J327" s="728"/>
      <c r="K327" s="137"/>
      <c r="L327" s="137">
        <f t="shared" si="5"/>
        <v>0</v>
      </c>
      <c r="M327" s="487"/>
      <c r="N327" s="22" t="s">
        <v>3758</v>
      </c>
      <c r="O327" s="106" t="s">
        <v>3759</v>
      </c>
    </row>
    <row r="328" spans="1:15" hidden="1">
      <c r="A328" s="316" t="s">
        <v>4537</v>
      </c>
      <c r="B328" s="8" t="s">
        <v>4538</v>
      </c>
      <c r="C328" s="10" t="s">
        <v>207</v>
      </c>
      <c r="D328" s="111">
        <v>0</v>
      </c>
      <c r="E328" s="9" t="s">
        <v>4377</v>
      </c>
      <c r="F328" s="9"/>
      <c r="G328" s="9"/>
      <c r="H328" s="119"/>
      <c r="I328" s="728"/>
      <c r="J328" s="728"/>
      <c r="K328" s="137"/>
      <c r="L328" s="137">
        <f t="shared" si="5"/>
        <v>0</v>
      </c>
      <c r="M328" s="487"/>
      <c r="N328" s="22" t="s">
        <v>3758</v>
      </c>
      <c r="O328" s="106" t="s">
        <v>3759</v>
      </c>
    </row>
    <row r="329" spans="1:15" hidden="1">
      <c r="A329" s="316" t="s">
        <v>4537</v>
      </c>
      <c r="B329" s="8" t="s">
        <v>4539</v>
      </c>
      <c r="C329" s="10" t="s">
        <v>207</v>
      </c>
      <c r="D329" s="111">
        <v>0</v>
      </c>
      <c r="E329" s="9" t="s">
        <v>4233</v>
      </c>
      <c r="F329" s="9"/>
      <c r="G329" s="9"/>
      <c r="H329" s="119"/>
      <c r="I329" s="728"/>
      <c r="J329" s="728"/>
      <c r="K329" s="137"/>
      <c r="L329" s="137">
        <f t="shared" si="5"/>
        <v>0</v>
      </c>
      <c r="M329" s="487"/>
      <c r="N329" s="22" t="s">
        <v>3758</v>
      </c>
      <c r="O329" s="106" t="s">
        <v>3759</v>
      </c>
    </row>
    <row r="330" spans="1:15" hidden="1">
      <c r="A330" s="316" t="s">
        <v>4537</v>
      </c>
      <c r="B330" s="8">
        <v>2063</v>
      </c>
      <c r="C330" s="10" t="s">
        <v>207</v>
      </c>
      <c r="D330" s="111">
        <v>0</v>
      </c>
      <c r="E330" s="9" t="s">
        <v>4540</v>
      </c>
      <c r="F330" s="9" t="s">
        <v>3763</v>
      </c>
      <c r="G330" s="46">
        <v>45350</v>
      </c>
      <c r="H330" s="119" t="s">
        <v>3768</v>
      </c>
      <c r="I330" s="728"/>
      <c r="J330" s="728"/>
      <c r="K330" s="137"/>
      <c r="L330" s="137">
        <f t="shared" si="5"/>
        <v>0</v>
      </c>
      <c r="M330" s="487"/>
      <c r="N330" s="22" t="s">
        <v>3758</v>
      </c>
      <c r="O330" s="106" t="s">
        <v>3759</v>
      </c>
    </row>
    <row r="331" spans="1:15" hidden="1">
      <c r="A331" s="316" t="s">
        <v>4537</v>
      </c>
      <c r="B331" s="463" t="s">
        <v>4541</v>
      </c>
      <c r="C331" s="44" t="s">
        <v>207</v>
      </c>
      <c r="D331" s="111">
        <v>0</v>
      </c>
      <c r="E331" s="111" t="s">
        <v>4542</v>
      </c>
      <c r="F331" s="111" t="s">
        <v>3785</v>
      </c>
      <c r="G331" s="114">
        <v>45568</v>
      </c>
      <c r="H331" s="170" t="s">
        <v>4543</v>
      </c>
      <c r="I331" s="728"/>
      <c r="J331" s="728"/>
      <c r="K331" s="478"/>
      <c r="L331" s="478">
        <f t="shared" si="5"/>
        <v>0</v>
      </c>
      <c r="M331" s="524"/>
      <c r="N331" s="112" t="s">
        <v>3758</v>
      </c>
      <c r="O331" s="113" t="s">
        <v>3759</v>
      </c>
    </row>
    <row r="332" spans="1:15">
      <c r="A332" s="10" t="s">
        <v>4256</v>
      </c>
      <c r="B332" s="34" t="s">
        <v>4257</v>
      </c>
      <c r="C332" s="10" t="s">
        <v>4258</v>
      </c>
      <c r="D332" s="11">
        <v>1</v>
      </c>
      <c r="E332" s="11" t="s">
        <v>4259</v>
      </c>
      <c r="F332" s="11" t="s">
        <v>3785</v>
      </c>
      <c r="G332" s="129">
        <v>45077</v>
      </c>
      <c r="H332" s="161" t="s">
        <v>3768</v>
      </c>
      <c r="I332" s="729"/>
      <c r="J332" s="729"/>
      <c r="K332" s="634"/>
      <c r="L332" s="522">
        <f t="shared" si="5"/>
        <v>0</v>
      </c>
      <c r="M332" s="141"/>
      <c r="N332" s="22"/>
      <c r="O332" s="22" t="s">
        <v>3759</v>
      </c>
    </row>
    <row r="333" spans="1:15" hidden="1">
      <c r="A333" s="316" t="s">
        <v>4438</v>
      </c>
      <c r="B333" s="558" t="s">
        <v>4546</v>
      </c>
      <c r="C333" s="260" t="s">
        <v>4547</v>
      </c>
      <c r="D333" s="555">
        <v>0</v>
      </c>
      <c r="E333" s="555" t="s">
        <v>3958</v>
      </c>
      <c r="F333" s="555" t="s">
        <v>3763</v>
      </c>
      <c r="G333" s="559">
        <v>45502</v>
      </c>
      <c r="H333" s="475" t="s">
        <v>3934</v>
      </c>
      <c r="I333" s="728">
        <v>1089</v>
      </c>
      <c r="J333" s="728"/>
      <c r="K333" s="483"/>
      <c r="L333" s="518">
        <f t="shared" si="5"/>
        <v>1089</v>
      </c>
      <c r="M333" s="738"/>
      <c r="N333" s="121" t="s">
        <v>3758</v>
      </c>
      <c r="O333" s="122" t="s">
        <v>3759</v>
      </c>
    </row>
    <row r="334" spans="1:15">
      <c r="A334" s="10" t="s">
        <v>4260</v>
      </c>
      <c r="B334" s="34" t="s">
        <v>4261</v>
      </c>
      <c r="C334" s="10" t="s">
        <v>4262</v>
      </c>
      <c r="D334" s="11">
        <v>1</v>
      </c>
      <c r="E334" s="11" t="s">
        <v>4263</v>
      </c>
      <c r="F334" s="11" t="s">
        <v>3785</v>
      </c>
      <c r="G334" s="129">
        <v>43915</v>
      </c>
      <c r="H334" s="161" t="s">
        <v>4264</v>
      </c>
      <c r="I334" s="729"/>
      <c r="J334" s="729"/>
      <c r="K334" s="636"/>
      <c r="L334" s="522">
        <f t="shared" si="5"/>
        <v>0</v>
      </c>
      <c r="M334" s="142"/>
      <c r="N334" s="22"/>
      <c r="O334" s="22" t="s">
        <v>3759</v>
      </c>
    </row>
    <row r="335" spans="1:15" hidden="1">
      <c r="A335" s="316" t="s">
        <v>4549</v>
      </c>
      <c r="B335" s="554">
        <v>2142</v>
      </c>
      <c r="C335" s="329" t="s">
        <v>207</v>
      </c>
      <c r="D335" s="555">
        <v>0</v>
      </c>
      <c r="E335" s="556" t="s">
        <v>4550</v>
      </c>
      <c r="F335" s="556" t="s">
        <v>3763</v>
      </c>
      <c r="G335" s="565">
        <v>43564</v>
      </c>
      <c r="H335" s="557" t="s">
        <v>4551</v>
      </c>
      <c r="I335" s="728">
        <v>1500</v>
      </c>
      <c r="J335" s="728"/>
      <c r="K335" s="496"/>
      <c r="L335" s="657">
        <f t="shared" si="5"/>
        <v>1500</v>
      </c>
      <c r="M335" s="503"/>
      <c r="N335" s="107" t="s">
        <v>3758</v>
      </c>
      <c r="O335" s="108" t="s">
        <v>3759</v>
      </c>
    </row>
    <row r="336" spans="1:15" hidden="1">
      <c r="A336" s="316" t="s">
        <v>4552</v>
      </c>
      <c r="B336" s="8">
        <v>521</v>
      </c>
      <c r="C336" s="10" t="s">
        <v>4553</v>
      </c>
      <c r="D336" s="111">
        <v>0</v>
      </c>
      <c r="E336" s="9" t="s">
        <v>4554</v>
      </c>
      <c r="F336" s="9"/>
      <c r="G336" s="9"/>
      <c r="H336" s="119"/>
      <c r="I336" s="728"/>
      <c r="J336" s="728"/>
      <c r="K336" s="138"/>
      <c r="L336" s="138">
        <f t="shared" si="5"/>
        <v>0</v>
      </c>
      <c r="M336" s="471"/>
      <c r="N336" s="22" t="s">
        <v>3758</v>
      </c>
      <c r="O336" s="106" t="s">
        <v>3759</v>
      </c>
    </row>
    <row r="337" spans="1:15" hidden="1">
      <c r="A337" s="316" t="s">
        <v>4549</v>
      </c>
      <c r="B337" s="110">
        <v>1519</v>
      </c>
      <c r="C337" s="44" t="s">
        <v>207</v>
      </c>
      <c r="D337" s="111">
        <v>0</v>
      </c>
      <c r="E337" s="111" t="s">
        <v>4555</v>
      </c>
      <c r="F337" s="111" t="s">
        <v>3763</v>
      </c>
      <c r="G337" s="114">
        <v>45274</v>
      </c>
      <c r="H337" s="170" t="s">
        <v>3768</v>
      </c>
      <c r="I337" s="728">
        <v>3150</v>
      </c>
      <c r="J337" s="728"/>
      <c r="K337" s="490"/>
      <c r="L337" s="551">
        <f t="shared" si="5"/>
        <v>3150</v>
      </c>
      <c r="M337" s="490"/>
      <c r="N337" s="112" t="s">
        <v>3758</v>
      </c>
      <c r="O337" s="113" t="s">
        <v>3759</v>
      </c>
    </row>
    <row r="338" spans="1:15">
      <c r="A338" s="10" t="s">
        <v>4268</v>
      </c>
      <c r="B338" s="115" t="s">
        <v>3748</v>
      </c>
      <c r="C338" s="10" t="s">
        <v>2507</v>
      </c>
      <c r="D338" s="11">
        <v>1</v>
      </c>
      <c r="E338" s="10" t="s">
        <v>4269</v>
      </c>
      <c r="F338" s="10" t="s">
        <v>3780</v>
      </c>
      <c r="G338" s="129">
        <v>39524</v>
      </c>
      <c r="H338" s="161" t="s">
        <v>4270</v>
      </c>
      <c r="I338" s="729"/>
      <c r="J338" s="729"/>
      <c r="K338" s="633"/>
      <c r="L338" s="522">
        <f t="shared" si="5"/>
        <v>0</v>
      </c>
      <c r="M338" s="471"/>
      <c r="N338" s="22"/>
      <c r="O338" s="22" t="s">
        <v>3759</v>
      </c>
    </row>
    <row r="339" spans="1:15">
      <c r="A339" s="10" t="s">
        <v>4277</v>
      </c>
      <c r="B339" s="34">
        <v>2393</v>
      </c>
      <c r="C339" s="10" t="s">
        <v>4278</v>
      </c>
      <c r="D339" s="11">
        <v>1</v>
      </c>
      <c r="E339" s="11" t="s">
        <v>4198</v>
      </c>
      <c r="F339" s="11" t="s">
        <v>3763</v>
      </c>
      <c r="G339" s="129">
        <v>45114</v>
      </c>
      <c r="H339" s="161" t="s">
        <v>4279</v>
      </c>
      <c r="I339" s="729"/>
      <c r="J339" s="729"/>
      <c r="K339" s="636"/>
      <c r="L339" s="522">
        <f t="shared" si="5"/>
        <v>0</v>
      </c>
      <c r="M339" s="142"/>
      <c r="N339" s="22"/>
      <c r="O339" s="22" t="s">
        <v>3759</v>
      </c>
    </row>
    <row r="340" spans="1:15">
      <c r="A340" s="10" t="s">
        <v>4280</v>
      </c>
      <c r="B340" s="34">
        <v>1628</v>
      </c>
      <c r="C340" s="10" t="s">
        <v>4281</v>
      </c>
      <c r="D340" s="11">
        <v>1</v>
      </c>
      <c r="E340" s="11" t="s">
        <v>4282</v>
      </c>
      <c r="F340" s="11" t="s">
        <v>3763</v>
      </c>
      <c r="G340" s="129">
        <v>44839</v>
      </c>
      <c r="H340" s="161" t="s">
        <v>3934</v>
      </c>
      <c r="I340" s="729"/>
      <c r="J340" s="729"/>
      <c r="K340" s="638"/>
      <c r="L340" s="522">
        <f t="shared" si="5"/>
        <v>0</v>
      </c>
      <c r="M340" s="142"/>
      <c r="N340" s="22"/>
      <c r="O340" s="22" t="s">
        <v>3759</v>
      </c>
    </row>
    <row r="341" spans="1:15">
      <c r="A341" s="10" t="s">
        <v>4283</v>
      </c>
      <c r="B341" s="34">
        <v>2132</v>
      </c>
      <c r="C341" s="10" t="s">
        <v>4284</v>
      </c>
      <c r="D341" s="11">
        <v>1</v>
      </c>
      <c r="E341" s="11" t="s">
        <v>4223</v>
      </c>
      <c r="F341" s="11" t="s">
        <v>3763</v>
      </c>
      <c r="G341" s="129">
        <v>44518</v>
      </c>
      <c r="H341" s="161" t="s">
        <v>4285</v>
      </c>
      <c r="I341" s="729"/>
      <c r="J341" s="729"/>
      <c r="K341" s="636"/>
      <c r="L341" s="522">
        <f t="shared" si="5"/>
        <v>0</v>
      </c>
      <c r="M341" s="142"/>
      <c r="N341" s="22"/>
      <c r="O341" s="22" t="s">
        <v>3759</v>
      </c>
    </row>
    <row r="342" spans="1:15" hidden="1">
      <c r="A342" s="316" t="s">
        <v>4566</v>
      </c>
      <c r="B342" s="554">
        <v>9152662</v>
      </c>
      <c r="C342" s="329" t="s">
        <v>4567</v>
      </c>
      <c r="D342" s="555">
        <v>0</v>
      </c>
      <c r="E342" s="556" t="s">
        <v>4568</v>
      </c>
      <c r="F342" s="556" t="s">
        <v>3785</v>
      </c>
      <c r="G342" s="565">
        <v>45167</v>
      </c>
      <c r="H342" s="557" t="s">
        <v>3768</v>
      </c>
      <c r="I342" s="728">
        <v>4250</v>
      </c>
      <c r="J342" s="728"/>
      <c r="K342" s="496"/>
      <c r="L342" s="657">
        <f t="shared" si="5"/>
        <v>4250</v>
      </c>
      <c r="M342" s="503"/>
      <c r="N342" s="107" t="s">
        <v>3758</v>
      </c>
      <c r="O342" s="108" t="s">
        <v>3759</v>
      </c>
    </row>
    <row r="343" spans="1:15" hidden="1">
      <c r="A343" s="316" t="s">
        <v>4566</v>
      </c>
      <c r="B343" s="8">
        <v>9011206</v>
      </c>
      <c r="C343" s="10" t="s">
        <v>4567</v>
      </c>
      <c r="D343" s="111">
        <v>0</v>
      </c>
      <c r="E343" s="9" t="s">
        <v>4569</v>
      </c>
      <c r="F343" s="9" t="s">
        <v>3785</v>
      </c>
      <c r="G343" s="46">
        <v>45167</v>
      </c>
      <c r="H343" s="119" t="s">
        <v>3768</v>
      </c>
      <c r="I343" s="728">
        <v>4250</v>
      </c>
      <c r="J343" s="728"/>
      <c r="K343" s="140"/>
      <c r="L343" s="96">
        <f t="shared" si="5"/>
        <v>4250</v>
      </c>
      <c r="M343" s="142"/>
      <c r="N343" s="22" t="s">
        <v>3758</v>
      </c>
      <c r="O343" s="106" t="s">
        <v>3759</v>
      </c>
    </row>
    <row r="344" spans="1:15" hidden="1">
      <c r="A344" s="316" t="s">
        <v>4566</v>
      </c>
      <c r="B344" s="126">
        <v>9152678</v>
      </c>
      <c r="C344" s="10" t="s">
        <v>4570</v>
      </c>
      <c r="D344" s="111">
        <v>0</v>
      </c>
      <c r="E344" s="9" t="s">
        <v>4571</v>
      </c>
      <c r="F344" s="9" t="s">
        <v>3785</v>
      </c>
      <c r="G344" s="46">
        <v>45167</v>
      </c>
      <c r="H344" s="119" t="s">
        <v>3768</v>
      </c>
      <c r="I344" s="728">
        <v>4250</v>
      </c>
      <c r="J344" s="728"/>
      <c r="K344" s="140"/>
      <c r="L344" s="96">
        <f t="shared" si="5"/>
        <v>4250</v>
      </c>
      <c r="M344" s="142"/>
      <c r="N344" s="22" t="s">
        <v>3758</v>
      </c>
      <c r="O344" s="106" t="s">
        <v>3759</v>
      </c>
    </row>
    <row r="345" spans="1:15" hidden="1">
      <c r="A345" s="316" t="s">
        <v>4566</v>
      </c>
      <c r="B345" s="461">
        <v>8960653</v>
      </c>
      <c r="C345" s="44" t="s">
        <v>4567</v>
      </c>
      <c r="D345" s="111">
        <v>0</v>
      </c>
      <c r="E345" s="111" t="s">
        <v>4572</v>
      </c>
      <c r="F345" s="111" t="s">
        <v>3785</v>
      </c>
      <c r="G345" s="114">
        <v>45167</v>
      </c>
      <c r="H345" s="170" t="s">
        <v>3768</v>
      </c>
      <c r="I345" s="728">
        <v>4250</v>
      </c>
      <c r="J345" s="728"/>
      <c r="K345" s="481"/>
      <c r="L345" s="551">
        <f t="shared" si="5"/>
        <v>4250</v>
      </c>
      <c r="M345" s="490"/>
      <c r="N345" s="112" t="s">
        <v>3758</v>
      </c>
      <c r="O345" s="113" t="s">
        <v>3759</v>
      </c>
    </row>
    <row r="346" spans="1:15">
      <c r="A346" s="10" t="s">
        <v>4219</v>
      </c>
      <c r="B346" s="34" t="s">
        <v>4287</v>
      </c>
      <c r="C346" s="10" t="s">
        <v>4221</v>
      </c>
      <c r="D346" s="11">
        <v>1</v>
      </c>
      <c r="E346" s="11" t="s">
        <v>3919</v>
      </c>
      <c r="F346" s="11" t="s">
        <v>3763</v>
      </c>
      <c r="G346" s="129">
        <v>44888</v>
      </c>
      <c r="H346" s="161" t="s">
        <v>3969</v>
      </c>
      <c r="I346" s="729"/>
      <c r="J346" s="729"/>
      <c r="K346" s="636"/>
      <c r="L346" s="522">
        <f t="shared" si="5"/>
        <v>0</v>
      </c>
      <c r="M346" s="142"/>
      <c r="N346" s="22"/>
      <c r="O346" s="22" t="s">
        <v>3759</v>
      </c>
    </row>
    <row r="347" spans="1:15" hidden="1">
      <c r="A347" s="316" t="s">
        <v>4575</v>
      </c>
      <c r="B347" s="554">
        <v>2032</v>
      </c>
      <c r="C347" s="329" t="s">
        <v>4576</v>
      </c>
      <c r="D347" s="555">
        <v>0</v>
      </c>
      <c r="E347" s="556" t="s">
        <v>3787</v>
      </c>
      <c r="F347" s="556" t="s">
        <v>3785</v>
      </c>
      <c r="G347" s="565">
        <v>45295</v>
      </c>
      <c r="H347" s="557" t="s">
        <v>3768</v>
      </c>
      <c r="I347" s="728">
        <v>4400</v>
      </c>
      <c r="J347" s="728"/>
      <c r="K347" s="500"/>
      <c r="L347" s="90">
        <f t="shared" si="5"/>
        <v>4400</v>
      </c>
      <c r="M347" s="500"/>
      <c r="N347" s="107" t="s">
        <v>3758</v>
      </c>
      <c r="O347" s="108" t="s">
        <v>3759</v>
      </c>
    </row>
    <row r="348" spans="1:15" hidden="1">
      <c r="A348" s="316" t="s">
        <v>4575</v>
      </c>
      <c r="B348" s="110">
        <v>2450</v>
      </c>
      <c r="C348" s="44" t="s">
        <v>4576</v>
      </c>
      <c r="D348" s="111">
        <v>0</v>
      </c>
      <c r="E348" s="111" t="s">
        <v>4577</v>
      </c>
      <c r="F348" s="111" t="s">
        <v>3763</v>
      </c>
      <c r="G348" s="114">
        <v>45295</v>
      </c>
      <c r="H348" s="170" t="s">
        <v>3768</v>
      </c>
      <c r="I348" s="728">
        <v>1750</v>
      </c>
      <c r="J348" s="728"/>
      <c r="K348" s="264"/>
      <c r="L348" s="658">
        <f t="shared" si="5"/>
        <v>1750</v>
      </c>
      <c r="M348" s="264"/>
      <c r="N348" s="112" t="s">
        <v>3758</v>
      </c>
      <c r="O348" s="113" t="s">
        <v>3759</v>
      </c>
    </row>
    <row r="349" spans="1:15">
      <c r="A349" s="10" t="s">
        <v>4288</v>
      </c>
      <c r="B349" s="34" t="s">
        <v>4289</v>
      </c>
      <c r="C349" s="10" t="s">
        <v>4290</v>
      </c>
      <c r="D349" s="11">
        <v>1</v>
      </c>
      <c r="E349" s="11" t="s">
        <v>4291</v>
      </c>
      <c r="F349" s="11" t="s">
        <v>3763</v>
      </c>
      <c r="G349" s="129">
        <v>44977</v>
      </c>
      <c r="H349" s="161" t="s">
        <v>3768</v>
      </c>
      <c r="I349" s="729"/>
      <c r="J349" s="729"/>
      <c r="K349" s="636"/>
      <c r="L349" s="522">
        <f t="shared" si="5"/>
        <v>0</v>
      </c>
      <c r="M349" s="142"/>
      <c r="N349" s="22"/>
      <c r="O349" s="22" t="s">
        <v>3759</v>
      </c>
    </row>
    <row r="350" spans="1:15" hidden="1">
      <c r="A350" s="316" t="s">
        <v>4578</v>
      </c>
      <c r="B350" s="558" t="s">
        <v>4579</v>
      </c>
      <c r="C350" s="260" t="s">
        <v>4103</v>
      </c>
      <c r="D350" s="555">
        <v>0</v>
      </c>
      <c r="E350" s="555" t="s">
        <v>4580</v>
      </c>
      <c r="F350" s="555" t="s">
        <v>3763</v>
      </c>
      <c r="G350" s="559">
        <v>45030</v>
      </c>
      <c r="H350" s="475" t="s">
        <v>3768</v>
      </c>
      <c r="I350" s="728">
        <v>1450</v>
      </c>
      <c r="J350" s="728"/>
      <c r="K350" s="220"/>
      <c r="L350" s="660">
        <f t="shared" si="5"/>
        <v>1450</v>
      </c>
      <c r="M350" s="220"/>
      <c r="N350" s="121" t="s">
        <v>3758</v>
      </c>
      <c r="O350" s="122" t="s">
        <v>3759</v>
      </c>
    </row>
    <row r="351" spans="1:15">
      <c r="A351" s="10" t="s">
        <v>4288</v>
      </c>
      <c r="B351" s="34" t="s">
        <v>4292</v>
      </c>
      <c r="C351" s="10" t="s">
        <v>4250</v>
      </c>
      <c r="D351" s="11">
        <v>1</v>
      </c>
      <c r="E351" s="11" t="s">
        <v>4251</v>
      </c>
      <c r="F351" s="11" t="s">
        <v>3763</v>
      </c>
      <c r="G351" s="129">
        <v>45469</v>
      </c>
      <c r="H351" s="161" t="s">
        <v>3799</v>
      </c>
      <c r="I351" s="729"/>
      <c r="J351" s="729"/>
      <c r="K351" s="638"/>
      <c r="L351" s="522">
        <f t="shared" si="5"/>
        <v>0</v>
      </c>
      <c r="M351" s="142"/>
      <c r="N351" s="22"/>
      <c r="O351" s="22" t="s">
        <v>3759</v>
      </c>
    </row>
    <row r="352" spans="1:15">
      <c r="A352" s="10" t="s">
        <v>4293</v>
      </c>
      <c r="B352" s="34" t="s">
        <v>4294</v>
      </c>
      <c r="C352" s="10" t="s">
        <v>4295</v>
      </c>
      <c r="D352" s="11">
        <v>1</v>
      </c>
      <c r="E352" s="11" t="s">
        <v>4291</v>
      </c>
      <c r="F352" s="11" t="s">
        <v>3763</v>
      </c>
      <c r="G352" s="129">
        <v>44973</v>
      </c>
      <c r="H352" s="161" t="s">
        <v>3768</v>
      </c>
      <c r="I352" s="729"/>
      <c r="J352" s="729"/>
      <c r="K352" s="636"/>
      <c r="L352" s="522">
        <f t="shared" si="5"/>
        <v>0</v>
      </c>
      <c r="M352" s="142"/>
      <c r="N352" s="22"/>
      <c r="O352" s="22" t="s">
        <v>3759</v>
      </c>
    </row>
    <row r="353" spans="1:15">
      <c r="A353" s="10" t="s">
        <v>4296</v>
      </c>
      <c r="B353" s="34" t="s">
        <v>4297</v>
      </c>
      <c r="C353" s="10" t="s">
        <v>4298</v>
      </c>
      <c r="D353" s="11">
        <v>1</v>
      </c>
      <c r="E353" s="11" t="s">
        <v>4299</v>
      </c>
      <c r="F353" s="11" t="s">
        <v>3763</v>
      </c>
      <c r="G353" s="129">
        <v>44253</v>
      </c>
      <c r="H353" s="161" t="s">
        <v>3768</v>
      </c>
      <c r="I353" s="729"/>
      <c r="J353" s="729"/>
      <c r="K353" s="634"/>
      <c r="L353" s="522">
        <f t="shared" si="5"/>
        <v>0</v>
      </c>
      <c r="M353" s="141"/>
      <c r="N353" s="22"/>
      <c r="O353" s="22" t="s">
        <v>3759</v>
      </c>
    </row>
    <row r="354" spans="1:15" hidden="1">
      <c r="A354" s="316" t="s">
        <v>4586</v>
      </c>
      <c r="B354" s="558">
        <v>1212</v>
      </c>
      <c r="C354" s="260" t="s">
        <v>4587</v>
      </c>
      <c r="D354" s="555">
        <v>0</v>
      </c>
      <c r="E354" s="555" t="s">
        <v>4005</v>
      </c>
      <c r="F354" s="555"/>
      <c r="G354" s="555"/>
      <c r="H354" s="475"/>
      <c r="I354" s="728"/>
      <c r="J354" s="728"/>
      <c r="K354" s="169"/>
      <c r="L354" s="169">
        <f t="shared" si="5"/>
        <v>0</v>
      </c>
      <c r="M354" s="668"/>
      <c r="N354" s="121" t="s">
        <v>3758</v>
      </c>
      <c r="O354" s="122" t="s">
        <v>3759</v>
      </c>
    </row>
    <row r="355" spans="1:15" s="1" customFormat="1">
      <c r="A355" s="10" t="s">
        <v>4296</v>
      </c>
      <c r="B355" s="34" t="s">
        <v>4305</v>
      </c>
      <c r="C355" s="10" t="s">
        <v>4250</v>
      </c>
      <c r="D355" s="11">
        <v>1</v>
      </c>
      <c r="E355" s="11" t="s">
        <v>4251</v>
      </c>
      <c r="F355" s="11" t="s">
        <v>3763</v>
      </c>
      <c r="G355" s="129">
        <v>45469</v>
      </c>
      <c r="H355" s="161" t="s">
        <v>3799</v>
      </c>
      <c r="I355" s="729"/>
      <c r="J355" s="729"/>
      <c r="K355" s="634"/>
      <c r="L355" s="522">
        <f t="shared" si="5"/>
        <v>0</v>
      </c>
      <c r="M355" s="141"/>
      <c r="N355" s="22"/>
      <c r="O355" s="22" t="s">
        <v>3759</v>
      </c>
    </row>
    <row r="356" spans="1:15">
      <c r="A356" s="10" t="s">
        <v>4296</v>
      </c>
      <c r="B356" s="115" t="s">
        <v>4309</v>
      </c>
      <c r="C356" s="10" t="s">
        <v>3283</v>
      </c>
      <c r="D356" s="11">
        <v>1</v>
      </c>
      <c r="E356" s="10" t="s">
        <v>4299</v>
      </c>
      <c r="F356" s="10" t="s">
        <v>4310</v>
      </c>
      <c r="G356" s="129">
        <v>45687</v>
      </c>
      <c r="H356" s="161" t="s">
        <v>4159</v>
      </c>
      <c r="I356" s="729"/>
      <c r="J356" s="729"/>
      <c r="K356" s="633"/>
      <c r="L356" s="522">
        <f t="shared" si="5"/>
        <v>0</v>
      </c>
      <c r="M356" s="471"/>
      <c r="N356" s="22"/>
      <c r="O356" s="22" t="s">
        <v>3759</v>
      </c>
    </row>
    <row r="357" spans="1:15">
      <c r="A357" s="10" t="s">
        <v>4315</v>
      </c>
      <c r="B357" s="34" t="s">
        <v>5797</v>
      </c>
      <c r="C357" s="10" t="s">
        <v>4295</v>
      </c>
      <c r="D357" s="11">
        <v>1</v>
      </c>
      <c r="E357" s="11" t="s">
        <v>4299</v>
      </c>
      <c r="F357" s="11" t="s">
        <v>3798</v>
      </c>
      <c r="G357" s="129">
        <v>45138</v>
      </c>
      <c r="H357" s="161" t="s">
        <v>4009</v>
      </c>
      <c r="I357" s="729"/>
      <c r="J357" s="729"/>
      <c r="K357" s="633"/>
      <c r="L357" s="522">
        <f t="shared" si="5"/>
        <v>0</v>
      </c>
      <c r="M357" s="471"/>
      <c r="N357" s="22"/>
      <c r="O357" s="22" t="s">
        <v>3759</v>
      </c>
    </row>
    <row r="358" spans="1:15" hidden="1">
      <c r="A358" s="316" t="s">
        <v>4586</v>
      </c>
      <c r="B358" s="554" t="s">
        <v>4592</v>
      </c>
      <c r="C358" s="329" t="s">
        <v>4593</v>
      </c>
      <c r="D358" s="555">
        <v>0</v>
      </c>
      <c r="E358" s="556" t="s">
        <v>4472</v>
      </c>
      <c r="F358" s="556"/>
      <c r="G358" s="556"/>
      <c r="H358" s="557"/>
      <c r="I358" s="728"/>
      <c r="J358" s="728"/>
      <c r="K358" s="498"/>
      <c r="L358" s="498">
        <f t="shared" si="5"/>
        <v>0</v>
      </c>
      <c r="M358" s="527"/>
      <c r="N358" s="107" t="s">
        <v>3758</v>
      </c>
      <c r="O358" s="108" t="s">
        <v>3759</v>
      </c>
    </row>
    <row r="359" spans="1:15" hidden="1">
      <c r="A359" s="316" t="s">
        <v>4586</v>
      </c>
      <c r="B359" s="8" t="s">
        <v>4594</v>
      </c>
      <c r="C359" s="10" t="s">
        <v>4593</v>
      </c>
      <c r="D359" s="111">
        <v>0</v>
      </c>
      <c r="E359" s="9" t="s">
        <v>4595</v>
      </c>
      <c r="F359" s="9"/>
      <c r="G359" s="9"/>
      <c r="H359" s="119"/>
      <c r="I359" s="728"/>
      <c r="J359" s="728"/>
      <c r="K359" s="137"/>
      <c r="L359" s="137">
        <f t="shared" si="5"/>
        <v>0</v>
      </c>
      <c r="M359" s="487"/>
      <c r="N359" s="22" t="s">
        <v>3758</v>
      </c>
      <c r="O359" s="106" t="s">
        <v>3759</v>
      </c>
    </row>
    <row r="360" spans="1:15" hidden="1">
      <c r="A360" s="316" t="s">
        <v>4586</v>
      </c>
      <c r="B360" s="110" t="s">
        <v>4596</v>
      </c>
      <c r="C360" s="44" t="s">
        <v>4587</v>
      </c>
      <c r="D360" s="111">
        <v>0</v>
      </c>
      <c r="E360" s="111" t="s">
        <v>4516</v>
      </c>
      <c r="F360" s="111" t="s">
        <v>3785</v>
      </c>
      <c r="G360" s="114">
        <v>45524</v>
      </c>
      <c r="H360" s="170" t="s">
        <v>3799</v>
      </c>
      <c r="I360" s="728"/>
      <c r="J360" s="728"/>
      <c r="K360" s="136"/>
      <c r="L360" s="136">
        <f t="shared" si="5"/>
        <v>0</v>
      </c>
      <c r="M360" s="525"/>
      <c r="N360" s="112" t="s">
        <v>3758</v>
      </c>
      <c r="O360" s="113" t="s">
        <v>3759</v>
      </c>
    </row>
    <row r="361" spans="1:15">
      <c r="A361" s="10" t="s">
        <v>4248</v>
      </c>
      <c r="B361" s="323" t="s">
        <v>7686</v>
      </c>
      <c r="C361" s="323" t="s">
        <v>4295</v>
      </c>
      <c r="D361" s="11">
        <v>1</v>
      </c>
      <c r="E361" s="11" t="s">
        <v>4786</v>
      </c>
      <c r="F361" s="11" t="s">
        <v>3798</v>
      </c>
      <c r="G361" s="129">
        <v>45917</v>
      </c>
      <c r="H361" s="161" t="s">
        <v>7993</v>
      </c>
      <c r="I361" s="729"/>
      <c r="J361" s="729"/>
      <c r="K361" s="633"/>
      <c r="L361" s="522">
        <f t="shared" si="5"/>
        <v>0</v>
      </c>
      <c r="M361" s="471"/>
      <c r="N361" s="22"/>
      <c r="O361" s="22" t="s">
        <v>3759</v>
      </c>
    </row>
    <row r="362" spans="1:15" hidden="1">
      <c r="A362" s="316" t="s">
        <v>4597</v>
      </c>
      <c r="B362" s="554" t="s">
        <v>4598</v>
      </c>
      <c r="C362" s="329" t="s">
        <v>3906</v>
      </c>
      <c r="D362" s="555">
        <v>0</v>
      </c>
      <c r="E362" s="556" t="s">
        <v>4599</v>
      </c>
      <c r="F362" s="556"/>
      <c r="G362" s="556"/>
      <c r="H362" s="557"/>
      <c r="I362" s="728"/>
      <c r="J362" s="728"/>
      <c r="K362" s="498"/>
      <c r="L362" s="498">
        <f t="shared" si="5"/>
        <v>0</v>
      </c>
      <c r="M362" s="527"/>
      <c r="N362" s="107" t="s">
        <v>3758</v>
      </c>
      <c r="O362" s="108" t="s">
        <v>3759</v>
      </c>
    </row>
    <row r="363" spans="1:15" hidden="1">
      <c r="A363" s="316" t="s">
        <v>4600</v>
      </c>
      <c r="B363" s="8" t="s">
        <v>4601</v>
      </c>
      <c r="C363" s="10" t="s">
        <v>3906</v>
      </c>
      <c r="D363" s="111">
        <v>0</v>
      </c>
      <c r="E363" s="9" t="s">
        <v>4602</v>
      </c>
      <c r="F363" s="9"/>
      <c r="G363" s="9"/>
      <c r="H363" s="119"/>
      <c r="I363" s="728"/>
      <c r="J363" s="728"/>
      <c r="K363" s="138"/>
      <c r="L363" s="138">
        <f t="shared" si="5"/>
        <v>0</v>
      </c>
      <c r="M363" s="471"/>
      <c r="N363" s="22" t="s">
        <v>3758</v>
      </c>
      <c r="O363" s="106" t="s">
        <v>3759</v>
      </c>
    </row>
    <row r="364" spans="1:15" hidden="1">
      <c r="A364" s="316" t="s">
        <v>4600</v>
      </c>
      <c r="B364" s="8" t="s">
        <v>4603</v>
      </c>
      <c r="C364" s="10" t="s">
        <v>3906</v>
      </c>
      <c r="D364" s="111">
        <v>0</v>
      </c>
      <c r="E364" s="9" t="s">
        <v>4604</v>
      </c>
      <c r="F364" s="9"/>
      <c r="G364" s="9"/>
      <c r="H364" s="119"/>
      <c r="I364" s="728"/>
      <c r="J364" s="728"/>
      <c r="K364" s="138"/>
      <c r="L364" s="138">
        <f t="shared" si="5"/>
        <v>0</v>
      </c>
      <c r="M364" s="471"/>
      <c r="N364" s="22" t="s">
        <v>3758</v>
      </c>
      <c r="O364" s="106" t="s">
        <v>3759</v>
      </c>
    </row>
    <row r="365" spans="1:15" hidden="1">
      <c r="A365" s="316" t="s">
        <v>4605</v>
      </c>
      <c r="B365" s="8" t="s">
        <v>4606</v>
      </c>
      <c r="C365" s="10" t="s">
        <v>4607</v>
      </c>
      <c r="D365" s="111">
        <v>0</v>
      </c>
      <c r="E365" s="9" t="s">
        <v>4071</v>
      </c>
      <c r="F365" s="9"/>
      <c r="G365" s="9"/>
      <c r="H365" s="119"/>
      <c r="I365" s="728"/>
      <c r="J365" s="728"/>
      <c r="K365" s="138"/>
      <c r="L365" s="138">
        <f t="shared" si="5"/>
        <v>0</v>
      </c>
      <c r="M365" s="471"/>
      <c r="N365" s="22" t="s">
        <v>3758</v>
      </c>
      <c r="O365" s="106" t="s">
        <v>3759</v>
      </c>
    </row>
    <row r="366" spans="1:15" hidden="1">
      <c r="A366" s="316" t="s">
        <v>4605</v>
      </c>
      <c r="B366" s="8" t="s">
        <v>4608</v>
      </c>
      <c r="C366" s="10" t="s">
        <v>4607</v>
      </c>
      <c r="D366" s="111">
        <v>0</v>
      </c>
      <c r="E366" s="9" t="s">
        <v>4609</v>
      </c>
      <c r="F366" s="9"/>
      <c r="G366" s="9"/>
      <c r="H366" s="119"/>
      <c r="I366" s="728"/>
      <c r="J366" s="728"/>
      <c r="K366" s="137"/>
      <c r="L366" s="137">
        <f t="shared" si="5"/>
        <v>0</v>
      </c>
      <c r="M366" s="487"/>
      <c r="N366" s="22" t="s">
        <v>3758</v>
      </c>
      <c r="O366" s="106" t="s">
        <v>3759</v>
      </c>
    </row>
    <row r="367" spans="1:15" hidden="1">
      <c r="A367" s="316" t="s">
        <v>4605</v>
      </c>
      <c r="B367" s="8" t="s">
        <v>4610</v>
      </c>
      <c r="C367" s="10" t="s">
        <v>4607</v>
      </c>
      <c r="D367" s="111">
        <v>0</v>
      </c>
      <c r="E367" s="9" t="s">
        <v>3771</v>
      </c>
      <c r="F367" s="9"/>
      <c r="G367" s="9"/>
      <c r="H367" s="119"/>
      <c r="I367" s="728"/>
      <c r="J367" s="728"/>
      <c r="K367" s="137"/>
      <c r="L367" s="137">
        <f t="shared" si="5"/>
        <v>0</v>
      </c>
      <c r="M367" s="487"/>
      <c r="N367" s="22" t="s">
        <v>3758</v>
      </c>
      <c r="O367" s="106" t="s">
        <v>3759</v>
      </c>
    </row>
    <row r="368" spans="1:15" hidden="1">
      <c r="A368" s="316" t="s">
        <v>4605</v>
      </c>
      <c r="B368" s="8" t="s">
        <v>4611</v>
      </c>
      <c r="C368" s="10" t="s">
        <v>4607</v>
      </c>
      <c r="D368" s="111">
        <v>0</v>
      </c>
      <c r="E368" s="9" t="s">
        <v>4612</v>
      </c>
      <c r="F368" s="9"/>
      <c r="G368" s="9"/>
      <c r="H368" s="119"/>
      <c r="I368" s="728"/>
      <c r="J368" s="728"/>
      <c r="K368" s="138"/>
      <c r="L368" s="138">
        <f t="shared" si="5"/>
        <v>0</v>
      </c>
      <c r="M368" s="471"/>
      <c r="N368" s="22" t="s">
        <v>3758</v>
      </c>
      <c r="O368" s="106" t="s">
        <v>3759</v>
      </c>
    </row>
    <row r="369" spans="1:15" hidden="1">
      <c r="A369" s="316" t="s">
        <v>4605</v>
      </c>
      <c r="B369" s="110" t="s">
        <v>4613</v>
      </c>
      <c r="C369" s="44" t="s">
        <v>4607</v>
      </c>
      <c r="D369" s="111">
        <v>0</v>
      </c>
      <c r="E369" s="111" t="s">
        <v>3774</v>
      </c>
      <c r="F369" s="111" t="s">
        <v>3785</v>
      </c>
      <c r="G369" s="114">
        <v>45443</v>
      </c>
      <c r="H369" s="170" t="s">
        <v>3819</v>
      </c>
      <c r="I369" s="728"/>
      <c r="J369" s="728"/>
      <c r="K369" s="136"/>
      <c r="L369" s="136">
        <f t="shared" si="5"/>
        <v>0</v>
      </c>
      <c r="M369" s="525"/>
      <c r="N369" s="112" t="s">
        <v>3758</v>
      </c>
      <c r="O369" s="113" t="s">
        <v>3759</v>
      </c>
    </row>
    <row r="370" spans="1:15">
      <c r="A370" s="10" t="s">
        <v>7684</v>
      </c>
      <c r="B370" s="323" t="s">
        <v>7685</v>
      </c>
      <c r="C370" s="323" t="s">
        <v>4295</v>
      </c>
      <c r="D370" s="11">
        <v>1</v>
      </c>
      <c r="E370" s="11" t="s">
        <v>4786</v>
      </c>
      <c r="F370" s="11" t="s">
        <v>3798</v>
      </c>
      <c r="G370" s="129">
        <v>45917</v>
      </c>
      <c r="H370" s="161" t="s">
        <v>7993</v>
      </c>
      <c r="I370" s="729"/>
      <c r="J370" s="729"/>
      <c r="K370" s="633"/>
      <c r="L370" s="522">
        <f t="shared" si="5"/>
        <v>0</v>
      </c>
      <c r="M370" s="471"/>
      <c r="N370" s="22"/>
      <c r="O370" s="22" t="s">
        <v>3759</v>
      </c>
    </row>
    <row r="371" spans="1:15" hidden="1">
      <c r="A371" s="316" t="s">
        <v>4616</v>
      </c>
      <c r="B371" s="554" t="s">
        <v>4617</v>
      </c>
      <c r="C371" s="329" t="s">
        <v>3809</v>
      </c>
      <c r="D371" s="555">
        <v>0</v>
      </c>
      <c r="E371" s="556" t="s">
        <v>4618</v>
      </c>
      <c r="F371" s="556"/>
      <c r="G371" s="556"/>
      <c r="H371" s="557"/>
      <c r="I371" s="728"/>
      <c r="J371" s="728"/>
      <c r="K371" s="494"/>
      <c r="L371" s="494">
        <f t="shared" si="5"/>
        <v>0</v>
      </c>
      <c r="M371" s="670"/>
      <c r="N371" s="107" t="s">
        <v>3758</v>
      </c>
      <c r="O371" s="108" t="s">
        <v>3759</v>
      </c>
    </row>
    <row r="372" spans="1:15" hidden="1">
      <c r="A372" s="316" t="s">
        <v>4619</v>
      </c>
      <c r="B372" s="8">
        <v>2022</v>
      </c>
      <c r="C372" s="10" t="s">
        <v>4403</v>
      </c>
      <c r="D372" s="111">
        <v>0</v>
      </c>
      <c r="E372" s="9" t="s">
        <v>3824</v>
      </c>
      <c r="F372" s="9"/>
      <c r="G372" s="9"/>
      <c r="H372" s="119"/>
      <c r="I372" s="728"/>
      <c r="J372" s="728"/>
      <c r="K372" s="137"/>
      <c r="L372" s="137">
        <f t="shared" si="5"/>
        <v>0</v>
      </c>
      <c r="M372" s="487"/>
      <c r="N372" s="22" t="s">
        <v>3758</v>
      </c>
      <c r="O372" s="106" t="s">
        <v>3759</v>
      </c>
    </row>
    <row r="373" spans="1:15" hidden="1">
      <c r="A373" s="316" t="s">
        <v>4620</v>
      </c>
      <c r="B373" s="8">
        <v>758</v>
      </c>
      <c r="C373" s="10" t="s">
        <v>4587</v>
      </c>
      <c r="D373" s="111">
        <v>0</v>
      </c>
      <c r="E373" s="9" t="s">
        <v>3878</v>
      </c>
      <c r="F373" s="9" t="s">
        <v>3763</v>
      </c>
      <c r="G373" s="46">
        <v>45266</v>
      </c>
      <c r="H373" s="119" t="s">
        <v>3768</v>
      </c>
      <c r="I373" s="728">
        <v>3050</v>
      </c>
      <c r="J373" s="728"/>
      <c r="K373" s="142"/>
      <c r="L373" s="96">
        <f t="shared" si="5"/>
        <v>3050</v>
      </c>
      <c r="M373" s="142"/>
      <c r="N373" s="22" t="s">
        <v>3758</v>
      </c>
      <c r="O373" s="106" t="s">
        <v>3759</v>
      </c>
    </row>
    <row r="374" spans="1:15" hidden="1">
      <c r="A374" s="316" t="s">
        <v>4586</v>
      </c>
      <c r="B374" s="8">
        <v>1171</v>
      </c>
      <c r="C374" s="10" t="s">
        <v>4587</v>
      </c>
      <c r="D374" s="111">
        <v>0</v>
      </c>
      <c r="E374" s="7" t="s">
        <v>4540</v>
      </c>
      <c r="F374" s="7" t="s">
        <v>3785</v>
      </c>
      <c r="G374" s="46">
        <v>45525</v>
      </c>
      <c r="H374" s="119" t="s">
        <v>3799</v>
      </c>
      <c r="I374" s="728">
        <v>4301.7</v>
      </c>
      <c r="J374" s="728"/>
      <c r="K374" s="146"/>
      <c r="L374" s="517">
        <f t="shared" si="5"/>
        <v>4301.7</v>
      </c>
      <c r="M374" s="739"/>
      <c r="N374" s="22" t="s">
        <v>3758</v>
      </c>
      <c r="O374" s="106" t="s">
        <v>3759</v>
      </c>
    </row>
    <row r="375" spans="1:15" hidden="1">
      <c r="A375" s="316" t="s">
        <v>4586</v>
      </c>
      <c r="B375" s="8" t="s">
        <v>4621</v>
      </c>
      <c r="C375" s="10" t="s">
        <v>4622</v>
      </c>
      <c r="D375" s="111">
        <v>0</v>
      </c>
      <c r="E375" s="9" t="s">
        <v>3981</v>
      </c>
      <c r="F375" s="9" t="s">
        <v>3785</v>
      </c>
      <c r="G375" s="46">
        <v>45589</v>
      </c>
      <c r="H375" s="119" t="s">
        <v>4543</v>
      </c>
      <c r="I375" s="728">
        <v>3970</v>
      </c>
      <c r="J375" s="728"/>
      <c r="K375" s="160"/>
      <c r="L375" s="160">
        <f t="shared" si="5"/>
        <v>3970</v>
      </c>
      <c r="M375" s="471"/>
      <c r="N375" s="22" t="s">
        <v>3758</v>
      </c>
      <c r="O375" s="106" t="s">
        <v>3759</v>
      </c>
    </row>
    <row r="376" spans="1:15" hidden="1">
      <c r="A376" s="316" t="s">
        <v>4586</v>
      </c>
      <c r="B376" s="110" t="s">
        <v>4623</v>
      </c>
      <c r="C376" s="44" t="s">
        <v>3977</v>
      </c>
      <c r="D376" s="111">
        <v>0</v>
      </c>
      <c r="E376" s="111" t="s">
        <v>4624</v>
      </c>
      <c r="F376" s="111" t="s">
        <v>3785</v>
      </c>
      <c r="G376" s="114">
        <v>45596</v>
      </c>
      <c r="H376" s="170" t="s">
        <v>4543</v>
      </c>
      <c r="I376" s="728">
        <v>5443</v>
      </c>
      <c r="J376" s="728"/>
      <c r="K376" s="331"/>
      <c r="L376" s="331">
        <f t="shared" si="5"/>
        <v>5443</v>
      </c>
      <c r="M376" s="525"/>
      <c r="N376" s="112" t="s">
        <v>3758</v>
      </c>
      <c r="O376" s="113" t="s">
        <v>3759</v>
      </c>
    </row>
    <row r="377" spans="1:15">
      <c r="A377" s="10" t="s">
        <v>4318</v>
      </c>
      <c r="B377" s="34">
        <v>1108</v>
      </c>
      <c r="C377" s="10" t="s">
        <v>4319</v>
      </c>
      <c r="D377" s="11">
        <v>1</v>
      </c>
      <c r="E377" s="11" t="s">
        <v>4320</v>
      </c>
      <c r="F377" s="11" t="s">
        <v>3780</v>
      </c>
      <c r="G377" s="129">
        <v>45369</v>
      </c>
      <c r="H377" s="161" t="s">
        <v>4081</v>
      </c>
      <c r="I377" s="729"/>
      <c r="J377" s="729"/>
      <c r="K377" s="634"/>
      <c r="L377" s="522">
        <f t="shared" si="5"/>
        <v>0</v>
      </c>
      <c r="M377" s="141"/>
      <c r="N377" s="22"/>
      <c r="O377" s="22" t="s">
        <v>3759</v>
      </c>
    </row>
    <row r="378" spans="1:15" hidden="1">
      <c r="A378" s="316" t="s">
        <v>4600</v>
      </c>
      <c r="B378" s="468" t="s">
        <v>4628</v>
      </c>
      <c r="C378" s="90" t="s">
        <v>4629</v>
      </c>
      <c r="D378" s="555">
        <v>0</v>
      </c>
      <c r="E378" s="556" t="s">
        <v>3815</v>
      </c>
      <c r="F378" s="556" t="s">
        <v>3785</v>
      </c>
      <c r="G378" s="565">
        <v>45632</v>
      </c>
      <c r="H378" s="557" t="s">
        <v>4630</v>
      </c>
      <c r="I378" s="728">
        <v>6000</v>
      </c>
      <c r="J378" s="728"/>
      <c r="K378" s="504"/>
      <c r="L378" s="504">
        <f t="shared" si="5"/>
        <v>6000</v>
      </c>
      <c r="M378" s="527"/>
      <c r="N378" s="107" t="s">
        <v>3940</v>
      </c>
      <c r="O378" s="108" t="s">
        <v>3759</v>
      </c>
    </row>
    <row r="379" spans="1:15" hidden="1">
      <c r="A379" s="316" t="s">
        <v>4616</v>
      </c>
      <c r="B379" s="110" t="s">
        <v>4631</v>
      </c>
      <c r="C379" s="44" t="s">
        <v>3859</v>
      </c>
      <c r="D379" s="111">
        <v>0</v>
      </c>
      <c r="E379" s="111" t="s">
        <v>4618</v>
      </c>
      <c r="F379" s="111" t="s">
        <v>3785</v>
      </c>
      <c r="G379" s="114">
        <v>45469</v>
      </c>
      <c r="H379" s="170" t="s">
        <v>3819</v>
      </c>
      <c r="I379" s="728">
        <v>2000</v>
      </c>
      <c r="J379" s="728"/>
      <c r="K379" s="264"/>
      <c r="L379" s="658">
        <f t="shared" si="5"/>
        <v>2000</v>
      </c>
      <c r="M379" s="264"/>
      <c r="N379" s="112" t="s">
        <v>3758</v>
      </c>
      <c r="O379" s="113" t="s">
        <v>3759</v>
      </c>
    </row>
    <row r="380" spans="1:15">
      <c r="A380" s="10" t="s">
        <v>4318</v>
      </c>
      <c r="B380" s="34">
        <v>952</v>
      </c>
      <c r="C380" s="10" t="s">
        <v>4319</v>
      </c>
      <c r="D380" s="11">
        <v>1</v>
      </c>
      <c r="E380" s="11" t="s">
        <v>4320</v>
      </c>
      <c r="F380" s="11" t="s">
        <v>3785</v>
      </c>
      <c r="G380" s="129">
        <v>45345</v>
      </c>
      <c r="H380" s="161" t="s">
        <v>4081</v>
      </c>
      <c r="I380" s="729"/>
      <c r="J380" s="729"/>
      <c r="K380" s="634"/>
      <c r="L380" s="522">
        <f t="shared" si="5"/>
        <v>0</v>
      </c>
      <c r="M380" s="141"/>
      <c r="N380" s="22"/>
      <c r="O380" s="22" t="s">
        <v>3759</v>
      </c>
    </row>
    <row r="381" spans="1:15">
      <c r="A381" s="10" t="s">
        <v>4246</v>
      </c>
      <c r="B381" s="34">
        <v>7198</v>
      </c>
      <c r="C381" s="10" t="s">
        <v>4247</v>
      </c>
      <c r="D381" s="11">
        <v>1</v>
      </c>
      <c r="E381" s="10" t="s">
        <v>4326</v>
      </c>
      <c r="F381" s="11" t="s">
        <v>3763</v>
      </c>
      <c r="G381" s="129">
        <v>45436</v>
      </c>
      <c r="H381" s="161" t="s">
        <v>3834</v>
      </c>
      <c r="I381" s="729"/>
      <c r="J381" s="729"/>
      <c r="K381" s="634"/>
      <c r="L381" s="522">
        <f t="shared" si="5"/>
        <v>0</v>
      </c>
      <c r="M381" s="141"/>
      <c r="N381" s="22"/>
      <c r="O381" s="22" t="s">
        <v>3759</v>
      </c>
    </row>
    <row r="382" spans="1:15">
      <c r="A382" s="10" t="s">
        <v>4335</v>
      </c>
      <c r="B382" s="115" t="s">
        <v>4336</v>
      </c>
      <c r="C382" s="10" t="s">
        <v>4247</v>
      </c>
      <c r="D382" s="11">
        <v>1</v>
      </c>
      <c r="E382" s="10" t="s">
        <v>4326</v>
      </c>
      <c r="F382" s="10" t="s">
        <v>3785</v>
      </c>
      <c r="G382" s="129">
        <v>45546</v>
      </c>
      <c r="H382" s="161" t="s">
        <v>3834</v>
      </c>
      <c r="I382" s="729"/>
      <c r="J382" s="729"/>
      <c r="K382" s="637"/>
      <c r="L382" s="522">
        <f t="shared" si="5"/>
        <v>0</v>
      </c>
      <c r="M382" s="739"/>
      <c r="N382" s="22"/>
      <c r="O382" s="22" t="s">
        <v>3759</v>
      </c>
    </row>
    <row r="383" spans="1:15" hidden="1">
      <c r="A383" s="316" t="s">
        <v>4639</v>
      </c>
      <c r="B383" s="554">
        <v>253</v>
      </c>
      <c r="C383" s="329" t="s">
        <v>2178</v>
      </c>
      <c r="D383" s="555">
        <v>0</v>
      </c>
      <c r="E383" s="556" t="s">
        <v>4640</v>
      </c>
      <c r="F383" s="556"/>
      <c r="G383" s="556"/>
      <c r="H383" s="557"/>
      <c r="I383" s="728"/>
      <c r="J383" s="728"/>
      <c r="K383" s="494"/>
      <c r="L383" s="494">
        <f t="shared" si="5"/>
        <v>0</v>
      </c>
      <c r="M383" s="670"/>
      <c r="N383" s="107" t="s">
        <v>3758</v>
      </c>
      <c r="O383" s="108" t="s">
        <v>3759</v>
      </c>
    </row>
    <row r="384" spans="1:15" hidden="1">
      <c r="A384" s="316" t="s">
        <v>4639</v>
      </c>
      <c r="B384" s="8" t="s">
        <v>4641</v>
      </c>
      <c r="C384" s="10" t="s">
        <v>2178</v>
      </c>
      <c r="D384" s="111">
        <v>0</v>
      </c>
      <c r="E384" s="9" t="s">
        <v>4642</v>
      </c>
      <c r="F384" s="9"/>
      <c r="G384" s="9"/>
      <c r="H384" s="119"/>
      <c r="I384" s="728"/>
      <c r="J384" s="728"/>
      <c r="K384" s="137"/>
      <c r="L384" s="137">
        <f t="shared" si="5"/>
        <v>0</v>
      </c>
      <c r="M384" s="487"/>
      <c r="N384" s="22" t="s">
        <v>3758</v>
      </c>
      <c r="O384" s="106" t="s">
        <v>3759</v>
      </c>
    </row>
    <row r="385" spans="1:15" hidden="1">
      <c r="A385" s="316" t="s">
        <v>4643</v>
      </c>
      <c r="B385" s="8" t="s">
        <v>4644</v>
      </c>
      <c r="C385" s="10" t="s">
        <v>4645</v>
      </c>
      <c r="D385" s="111">
        <v>0</v>
      </c>
      <c r="E385" s="9" t="s">
        <v>3797</v>
      </c>
      <c r="F385" s="9" t="s">
        <v>3785</v>
      </c>
      <c r="G385" s="46">
        <v>45453</v>
      </c>
      <c r="H385" s="119" t="s">
        <v>3819</v>
      </c>
      <c r="I385" s="728"/>
      <c r="J385" s="728"/>
      <c r="K385" s="138"/>
      <c r="L385" s="138">
        <f t="shared" si="5"/>
        <v>0</v>
      </c>
      <c r="M385" s="471"/>
      <c r="N385" s="22" t="s">
        <v>3758</v>
      </c>
      <c r="O385" s="106" t="s">
        <v>3759</v>
      </c>
    </row>
    <row r="386" spans="1:15" hidden="1">
      <c r="A386" s="316" t="s">
        <v>4643</v>
      </c>
      <c r="B386" s="8" t="s">
        <v>4646</v>
      </c>
      <c r="C386" s="10" t="s">
        <v>4645</v>
      </c>
      <c r="D386" s="111">
        <v>0</v>
      </c>
      <c r="E386" s="9" t="s">
        <v>3887</v>
      </c>
      <c r="F386" s="9"/>
      <c r="G386" s="9"/>
      <c r="H386" s="119"/>
      <c r="I386" s="728"/>
      <c r="J386" s="728"/>
      <c r="K386" s="138"/>
      <c r="L386" s="138">
        <f t="shared" si="5"/>
        <v>0</v>
      </c>
      <c r="M386" s="471"/>
      <c r="N386" s="22" t="s">
        <v>3758</v>
      </c>
      <c r="O386" s="106" t="s">
        <v>3759</v>
      </c>
    </row>
    <row r="387" spans="1:15" hidden="1">
      <c r="A387" s="316" t="s">
        <v>4647</v>
      </c>
      <c r="B387" s="110">
        <v>1251</v>
      </c>
      <c r="C387" s="44" t="s">
        <v>4648</v>
      </c>
      <c r="D387" s="111">
        <v>0</v>
      </c>
      <c r="E387" s="111" t="s">
        <v>4649</v>
      </c>
      <c r="F387" s="111" t="s">
        <v>3763</v>
      </c>
      <c r="G387" s="114">
        <v>45468</v>
      </c>
      <c r="H387" s="170" t="s">
        <v>4081</v>
      </c>
      <c r="I387" s="728">
        <v>1645</v>
      </c>
      <c r="J387" s="728"/>
      <c r="K387" s="479"/>
      <c r="L387" s="5">
        <f t="shared" si="5"/>
        <v>1645</v>
      </c>
      <c r="M387" s="479"/>
      <c r="N387" s="112" t="s">
        <v>3758</v>
      </c>
      <c r="O387" s="113" t="s">
        <v>3759</v>
      </c>
    </row>
    <row r="388" spans="1:15">
      <c r="A388" s="10" t="s">
        <v>4353</v>
      </c>
      <c r="B388" s="34" t="s">
        <v>3748</v>
      </c>
      <c r="C388" s="10" t="s">
        <v>596</v>
      </c>
      <c r="D388" s="11">
        <v>1</v>
      </c>
      <c r="E388" s="11" t="s">
        <v>4354</v>
      </c>
      <c r="F388" s="11" t="s">
        <v>3763</v>
      </c>
      <c r="G388" s="129">
        <v>44536</v>
      </c>
      <c r="H388" s="161" t="s">
        <v>3781</v>
      </c>
      <c r="I388" s="729"/>
      <c r="J388" s="729"/>
      <c r="K388" s="636"/>
      <c r="L388" s="522">
        <f t="shared" ref="L388:L451" si="6">IF(OR(I388="", K388=""), I388 + K388, I388 + K388)</f>
        <v>0</v>
      </c>
      <c r="M388" s="142"/>
      <c r="N388" s="22"/>
      <c r="O388" s="22" t="s">
        <v>3759</v>
      </c>
    </row>
    <row r="389" spans="1:15" hidden="1">
      <c r="A389" s="316" t="s">
        <v>4653</v>
      </c>
      <c r="B389" s="554">
        <v>24481</v>
      </c>
      <c r="C389" s="329" t="s">
        <v>4654</v>
      </c>
      <c r="D389" s="555">
        <v>0</v>
      </c>
      <c r="E389" s="556" t="s">
        <v>4655</v>
      </c>
      <c r="F389" s="556"/>
      <c r="G389" s="556"/>
      <c r="H389" s="557"/>
      <c r="I389" s="728"/>
      <c r="J389" s="728"/>
      <c r="K389" s="494"/>
      <c r="L389" s="494">
        <f t="shared" si="6"/>
        <v>0</v>
      </c>
      <c r="M389" s="670"/>
      <c r="N389" s="107" t="s">
        <v>3758</v>
      </c>
      <c r="O389" s="108" t="s">
        <v>3759</v>
      </c>
    </row>
    <row r="390" spans="1:15" hidden="1">
      <c r="A390" s="316" t="s">
        <v>4653</v>
      </c>
      <c r="B390" s="8">
        <v>24480</v>
      </c>
      <c r="C390" s="10" t="s">
        <v>4654</v>
      </c>
      <c r="D390" s="111">
        <v>0</v>
      </c>
      <c r="E390" s="9" t="s">
        <v>4655</v>
      </c>
      <c r="F390" s="9"/>
      <c r="G390" s="9"/>
      <c r="H390" s="119"/>
      <c r="I390" s="728"/>
      <c r="J390" s="728"/>
      <c r="K390" s="138"/>
      <c r="L390" s="138">
        <f t="shared" si="6"/>
        <v>0</v>
      </c>
      <c r="M390" s="471"/>
      <c r="N390" s="22" t="s">
        <v>3758</v>
      </c>
      <c r="O390" s="106" t="s">
        <v>3759</v>
      </c>
    </row>
    <row r="391" spans="1:15" hidden="1">
      <c r="A391" s="316" t="s">
        <v>4653</v>
      </c>
      <c r="B391" s="8">
        <v>24479</v>
      </c>
      <c r="C391" s="10" t="s">
        <v>4654</v>
      </c>
      <c r="D391" s="111">
        <v>0</v>
      </c>
      <c r="E391" s="9" t="s">
        <v>4655</v>
      </c>
      <c r="F391" s="9"/>
      <c r="G391" s="9"/>
      <c r="H391" s="119"/>
      <c r="I391" s="728"/>
      <c r="J391" s="728"/>
      <c r="K391" s="138"/>
      <c r="L391" s="138">
        <f t="shared" si="6"/>
        <v>0</v>
      </c>
      <c r="M391" s="471"/>
      <c r="N391" s="22" t="s">
        <v>3758</v>
      </c>
      <c r="O391" s="106" t="s">
        <v>3759</v>
      </c>
    </row>
    <row r="392" spans="1:15" hidden="1">
      <c r="A392" s="316" t="s">
        <v>4653</v>
      </c>
      <c r="B392" s="8">
        <v>18250</v>
      </c>
      <c r="C392" s="10" t="s">
        <v>4654</v>
      </c>
      <c r="D392" s="111">
        <v>0</v>
      </c>
      <c r="E392" s="9" t="s">
        <v>4656</v>
      </c>
      <c r="F392" s="9"/>
      <c r="G392" s="9"/>
      <c r="H392" s="119"/>
      <c r="I392" s="728"/>
      <c r="J392" s="728"/>
      <c r="K392" s="138"/>
      <c r="L392" s="138">
        <f t="shared" si="6"/>
        <v>0</v>
      </c>
      <c r="M392" s="471"/>
      <c r="N392" s="22" t="s">
        <v>3758</v>
      </c>
      <c r="O392" s="106" t="s">
        <v>3759</v>
      </c>
    </row>
    <row r="393" spans="1:15" hidden="1">
      <c r="A393" s="316" t="s">
        <v>4653</v>
      </c>
      <c r="B393" s="8">
        <v>24470</v>
      </c>
      <c r="C393" s="10" t="s">
        <v>4654</v>
      </c>
      <c r="D393" s="111">
        <v>0</v>
      </c>
      <c r="E393" s="9" t="s">
        <v>4656</v>
      </c>
      <c r="F393" s="9"/>
      <c r="G393" s="9"/>
      <c r="H393" s="119"/>
      <c r="I393" s="728"/>
      <c r="J393" s="728"/>
      <c r="K393" s="138"/>
      <c r="L393" s="138">
        <f t="shared" si="6"/>
        <v>0</v>
      </c>
      <c r="M393" s="471"/>
      <c r="N393" s="22" t="s">
        <v>3758</v>
      </c>
      <c r="O393" s="106" t="s">
        <v>3759</v>
      </c>
    </row>
    <row r="394" spans="1:15" hidden="1">
      <c r="A394" s="316" t="s">
        <v>4653</v>
      </c>
      <c r="B394" s="110">
        <v>24472</v>
      </c>
      <c r="C394" s="44" t="s">
        <v>4654</v>
      </c>
      <c r="D394" s="111">
        <v>0</v>
      </c>
      <c r="E394" s="111" t="s">
        <v>4656</v>
      </c>
      <c r="F394" s="111"/>
      <c r="G394" s="111"/>
      <c r="H394" s="170"/>
      <c r="I394" s="728"/>
      <c r="J394" s="728"/>
      <c r="K394" s="478"/>
      <c r="L394" s="478">
        <f t="shared" si="6"/>
        <v>0</v>
      </c>
      <c r="M394" s="524"/>
      <c r="N394" s="112" t="s">
        <v>3758</v>
      </c>
      <c r="O394" s="113" t="s">
        <v>3759</v>
      </c>
    </row>
    <row r="395" spans="1:15">
      <c r="A395" s="10" t="s">
        <v>4364</v>
      </c>
      <c r="B395" s="34" t="s">
        <v>3748</v>
      </c>
      <c r="C395" s="34" t="s">
        <v>2742</v>
      </c>
      <c r="D395" s="11">
        <v>3</v>
      </c>
      <c r="E395" s="10" t="s">
        <v>3836</v>
      </c>
      <c r="F395" s="11" t="s">
        <v>3750</v>
      </c>
      <c r="G395" s="11"/>
      <c r="H395" s="161" t="s">
        <v>4365</v>
      </c>
      <c r="I395" s="729"/>
      <c r="J395" s="729"/>
      <c r="K395" s="633"/>
      <c r="L395" s="522">
        <f t="shared" si="6"/>
        <v>0</v>
      </c>
      <c r="M395" s="471"/>
      <c r="N395" s="22"/>
      <c r="O395" s="22" t="s">
        <v>3759</v>
      </c>
    </row>
    <row r="396" spans="1:15">
      <c r="A396" s="10" t="s">
        <v>4265</v>
      </c>
      <c r="B396" s="372" t="s">
        <v>5759</v>
      </c>
      <c r="C396" s="371" t="s">
        <v>4267</v>
      </c>
      <c r="D396" s="11">
        <v>1</v>
      </c>
      <c r="E396" s="382" t="s">
        <v>5037</v>
      </c>
      <c r="F396" s="10" t="s">
        <v>3798</v>
      </c>
      <c r="G396" s="129">
        <v>45852</v>
      </c>
      <c r="H396" s="161" t="s">
        <v>3951</v>
      </c>
      <c r="I396" s="729"/>
      <c r="J396" s="729"/>
      <c r="K396" s="633"/>
      <c r="L396" s="522">
        <f t="shared" si="6"/>
        <v>0</v>
      </c>
      <c r="M396" s="471"/>
      <c r="N396" s="22"/>
      <c r="O396" s="22" t="s">
        <v>3759</v>
      </c>
    </row>
    <row r="397" spans="1:15" hidden="1">
      <c r="A397" s="316" t="s">
        <v>4659</v>
      </c>
      <c r="B397" s="554">
        <v>224920</v>
      </c>
      <c r="C397" s="329" t="s">
        <v>4660</v>
      </c>
      <c r="D397" s="555">
        <v>0</v>
      </c>
      <c r="E397" s="556" t="s">
        <v>4661</v>
      </c>
      <c r="F397" s="556" t="s">
        <v>3798</v>
      </c>
      <c r="G397" s="565">
        <v>44739</v>
      </c>
      <c r="H397" s="557" t="s">
        <v>4009</v>
      </c>
      <c r="I397" s="728">
        <v>250</v>
      </c>
      <c r="J397" s="728"/>
      <c r="K397" s="505"/>
      <c r="L397" s="655">
        <f t="shared" si="6"/>
        <v>250</v>
      </c>
      <c r="M397" s="512"/>
      <c r="N397" s="107" t="s">
        <v>3758</v>
      </c>
      <c r="O397" s="120" t="s">
        <v>3759</v>
      </c>
    </row>
    <row r="398" spans="1:15" hidden="1">
      <c r="A398" s="316" t="s">
        <v>4659</v>
      </c>
      <c r="B398" s="110">
        <v>237672</v>
      </c>
      <c r="C398" s="44" t="s">
        <v>4662</v>
      </c>
      <c r="D398" s="111">
        <v>0</v>
      </c>
      <c r="E398" s="111" t="s">
        <v>4663</v>
      </c>
      <c r="F398" s="111" t="s">
        <v>3798</v>
      </c>
      <c r="G398" s="114">
        <v>44739</v>
      </c>
      <c r="H398" s="170" t="s">
        <v>4009</v>
      </c>
      <c r="I398" s="728">
        <v>250</v>
      </c>
      <c r="J398" s="728"/>
      <c r="K398" s="481"/>
      <c r="L398" s="551">
        <f t="shared" si="6"/>
        <v>250</v>
      </c>
      <c r="M398" s="490"/>
      <c r="N398" s="112" t="s">
        <v>3758</v>
      </c>
      <c r="O398" s="113" t="s">
        <v>3759</v>
      </c>
    </row>
    <row r="399" spans="1:15">
      <c r="A399" s="10" t="s">
        <v>4370</v>
      </c>
      <c r="B399" s="34">
        <v>470</v>
      </c>
      <c r="C399" s="10" t="s">
        <v>4301</v>
      </c>
      <c r="D399" s="11">
        <v>1</v>
      </c>
      <c r="E399" s="10" t="s">
        <v>4371</v>
      </c>
      <c r="F399" s="11" t="s">
        <v>3763</v>
      </c>
      <c r="G399" s="129">
        <v>45169</v>
      </c>
      <c r="H399" s="161" t="s">
        <v>4238</v>
      </c>
      <c r="I399" s="729"/>
      <c r="J399" s="729"/>
      <c r="K399" s="636"/>
      <c r="L399" s="522">
        <f t="shared" si="6"/>
        <v>0</v>
      </c>
      <c r="M399" s="142"/>
      <c r="N399" s="12"/>
      <c r="O399" s="12" t="s">
        <v>3759</v>
      </c>
    </row>
    <row r="400" spans="1:15" hidden="1">
      <c r="A400" s="316" t="s">
        <v>4666</v>
      </c>
      <c r="B400" s="558" t="s">
        <v>4667</v>
      </c>
      <c r="C400" s="260" t="s">
        <v>4668</v>
      </c>
      <c r="D400" s="555">
        <v>0</v>
      </c>
      <c r="E400" s="555" t="s">
        <v>4669</v>
      </c>
      <c r="F400" s="555" t="s">
        <v>3785</v>
      </c>
      <c r="G400" s="559">
        <v>45027</v>
      </c>
      <c r="H400" s="475" t="s">
        <v>3768</v>
      </c>
      <c r="I400" s="728">
        <v>1850</v>
      </c>
      <c r="J400" s="728"/>
      <c r="K400" s="220"/>
      <c r="L400" s="660">
        <f t="shared" si="6"/>
        <v>1850</v>
      </c>
      <c r="M400" s="220"/>
      <c r="N400" s="121" t="s">
        <v>3758</v>
      </c>
      <c r="O400" s="122" t="s">
        <v>3759</v>
      </c>
    </row>
    <row r="401" spans="1:15">
      <c r="A401" s="10" t="s">
        <v>4370</v>
      </c>
      <c r="B401" s="449">
        <v>1805</v>
      </c>
      <c r="C401" s="10" t="s">
        <v>4372</v>
      </c>
      <c r="D401" s="11">
        <v>1</v>
      </c>
      <c r="E401" s="10" t="s">
        <v>4282</v>
      </c>
      <c r="F401" s="11" t="s">
        <v>3785</v>
      </c>
      <c r="G401" s="129">
        <v>45217</v>
      </c>
      <c r="H401" s="161" t="s">
        <v>4081</v>
      </c>
      <c r="I401" s="729"/>
      <c r="J401" s="729"/>
      <c r="K401" s="636"/>
      <c r="L401" s="522">
        <f t="shared" si="6"/>
        <v>0</v>
      </c>
      <c r="M401" s="142"/>
      <c r="N401" s="12"/>
      <c r="O401" s="12" t="s">
        <v>3759</v>
      </c>
    </row>
    <row r="402" spans="1:15" hidden="1">
      <c r="A402" s="316" t="s">
        <v>4653</v>
      </c>
      <c r="B402" s="554" t="s">
        <v>4674</v>
      </c>
      <c r="C402" s="329" t="s">
        <v>4675</v>
      </c>
      <c r="D402" s="555">
        <v>0</v>
      </c>
      <c r="E402" s="556" t="s">
        <v>4676</v>
      </c>
      <c r="F402" s="556" t="s">
        <v>3785</v>
      </c>
      <c r="G402" s="565">
        <v>45348</v>
      </c>
      <c r="H402" s="557" t="s">
        <v>4677</v>
      </c>
      <c r="I402" s="728">
        <v>1825</v>
      </c>
      <c r="J402" s="728"/>
      <c r="K402" s="500"/>
      <c r="L402" s="90">
        <f t="shared" si="6"/>
        <v>1825</v>
      </c>
      <c r="M402" s="500"/>
      <c r="N402" s="107" t="s">
        <v>3758</v>
      </c>
      <c r="O402" s="108" t="s">
        <v>4678</v>
      </c>
    </row>
    <row r="403" spans="1:15" hidden="1">
      <c r="A403" s="316" t="s">
        <v>4653</v>
      </c>
      <c r="B403" s="8" t="s">
        <v>4679</v>
      </c>
      <c r="C403" s="10" t="s">
        <v>4675</v>
      </c>
      <c r="D403" s="111">
        <v>0</v>
      </c>
      <c r="E403" s="9" t="s">
        <v>4680</v>
      </c>
      <c r="F403" s="9" t="s">
        <v>3785</v>
      </c>
      <c r="G403" s="46">
        <v>45348</v>
      </c>
      <c r="H403" s="119" t="s">
        <v>4677</v>
      </c>
      <c r="I403" s="728">
        <v>1825</v>
      </c>
      <c r="J403" s="728"/>
      <c r="K403" s="141"/>
      <c r="L403" s="2">
        <f t="shared" si="6"/>
        <v>1825</v>
      </c>
      <c r="M403" s="141"/>
      <c r="N403" s="22" t="s">
        <v>3758</v>
      </c>
      <c r="O403" s="106" t="s">
        <v>4678</v>
      </c>
    </row>
    <row r="404" spans="1:15" hidden="1">
      <c r="A404" s="316" t="s">
        <v>4653</v>
      </c>
      <c r="B404" s="126">
        <v>24586</v>
      </c>
      <c r="C404" s="10" t="s">
        <v>4654</v>
      </c>
      <c r="D404" s="111">
        <v>0</v>
      </c>
      <c r="E404" s="9" t="s">
        <v>4681</v>
      </c>
      <c r="F404" s="9" t="s">
        <v>3785</v>
      </c>
      <c r="G404" s="46">
        <v>45407</v>
      </c>
      <c r="H404" s="119" t="s">
        <v>4677</v>
      </c>
      <c r="I404" s="728">
        <v>1825</v>
      </c>
      <c r="J404" s="728"/>
      <c r="K404" s="141"/>
      <c r="L404" s="2">
        <f t="shared" si="6"/>
        <v>1825</v>
      </c>
      <c r="M404" s="141"/>
      <c r="N404" s="22" t="s">
        <v>3758</v>
      </c>
      <c r="O404" s="106" t="s">
        <v>3759</v>
      </c>
    </row>
    <row r="405" spans="1:15" hidden="1">
      <c r="A405" s="316" t="s">
        <v>4682</v>
      </c>
      <c r="B405" s="8">
        <v>1202</v>
      </c>
      <c r="C405" s="10" t="s">
        <v>690</v>
      </c>
      <c r="D405" s="111">
        <v>0</v>
      </c>
      <c r="E405" s="9" t="s">
        <v>4683</v>
      </c>
      <c r="F405" s="9"/>
      <c r="G405" s="9"/>
      <c r="H405" s="119"/>
      <c r="I405" s="728"/>
      <c r="J405" s="728"/>
      <c r="K405" s="137"/>
      <c r="L405" s="137">
        <f t="shared" si="6"/>
        <v>0</v>
      </c>
      <c r="M405" s="487"/>
      <c r="N405" s="22" t="s">
        <v>3758</v>
      </c>
      <c r="O405" s="106" t="s">
        <v>3759</v>
      </c>
    </row>
    <row r="406" spans="1:15" hidden="1">
      <c r="A406" s="316" t="s">
        <v>4653</v>
      </c>
      <c r="B406" s="126">
        <v>24583</v>
      </c>
      <c r="C406" s="10" t="s">
        <v>4654</v>
      </c>
      <c r="D406" s="111">
        <v>0</v>
      </c>
      <c r="E406" s="9" t="s">
        <v>4681</v>
      </c>
      <c r="F406" s="9" t="s">
        <v>3785</v>
      </c>
      <c r="G406" s="46">
        <v>45407</v>
      </c>
      <c r="H406" s="119" t="s">
        <v>4677</v>
      </c>
      <c r="I406" s="728">
        <v>1825</v>
      </c>
      <c r="J406" s="728"/>
      <c r="K406" s="141"/>
      <c r="L406" s="2">
        <f t="shared" si="6"/>
        <v>1825</v>
      </c>
      <c r="M406" s="141"/>
      <c r="N406" s="22" t="s">
        <v>3758</v>
      </c>
      <c r="O406" s="106" t="s">
        <v>3759</v>
      </c>
    </row>
    <row r="407" spans="1:15" hidden="1">
      <c r="A407" s="316" t="s">
        <v>4653</v>
      </c>
      <c r="B407" s="126">
        <v>24531</v>
      </c>
      <c r="C407" s="10" t="s">
        <v>4654</v>
      </c>
      <c r="D407" s="111">
        <v>0</v>
      </c>
      <c r="E407" s="9" t="s">
        <v>4684</v>
      </c>
      <c r="F407" s="9" t="s">
        <v>3785</v>
      </c>
      <c r="G407" s="46">
        <v>12575</v>
      </c>
      <c r="H407" s="119" t="s">
        <v>4677</v>
      </c>
      <c r="I407" s="728">
        <v>1825</v>
      </c>
      <c r="J407" s="728"/>
      <c r="K407" s="213"/>
      <c r="L407" s="19">
        <f t="shared" si="6"/>
        <v>1825</v>
      </c>
      <c r="M407" s="213"/>
      <c r="N407" s="22" t="s">
        <v>3758</v>
      </c>
      <c r="O407" s="106" t="s">
        <v>3759</v>
      </c>
    </row>
    <row r="408" spans="1:15" hidden="1">
      <c r="A408" s="316" t="s">
        <v>4653</v>
      </c>
      <c r="B408" s="126">
        <v>24529</v>
      </c>
      <c r="C408" s="10" t="s">
        <v>4654</v>
      </c>
      <c r="D408" s="111">
        <v>0</v>
      </c>
      <c r="E408" s="9" t="s">
        <v>4684</v>
      </c>
      <c r="F408" s="9" t="s">
        <v>3785</v>
      </c>
      <c r="G408" s="46">
        <v>12575</v>
      </c>
      <c r="H408" s="119" t="s">
        <v>4677</v>
      </c>
      <c r="I408" s="728">
        <v>1825</v>
      </c>
      <c r="J408" s="728"/>
      <c r="K408" s="213"/>
      <c r="L408" s="19">
        <f t="shared" si="6"/>
        <v>1825</v>
      </c>
      <c r="M408" s="213"/>
      <c r="N408" s="22" t="s">
        <v>3758</v>
      </c>
      <c r="O408" s="106" t="s">
        <v>3759</v>
      </c>
    </row>
    <row r="409" spans="1:15" hidden="1">
      <c r="A409" s="316" t="s">
        <v>4653</v>
      </c>
      <c r="B409" s="126" t="s">
        <v>4685</v>
      </c>
      <c r="C409" s="10" t="s">
        <v>4654</v>
      </c>
      <c r="D409" s="111">
        <v>0</v>
      </c>
      <c r="E409" s="9" t="s">
        <v>4686</v>
      </c>
      <c r="F409" s="9" t="s">
        <v>3785</v>
      </c>
      <c r="G409" s="46">
        <v>45449</v>
      </c>
      <c r="H409" s="119" t="s">
        <v>4677</v>
      </c>
      <c r="I409" s="728">
        <v>1825</v>
      </c>
      <c r="J409" s="728"/>
      <c r="K409" s="141"/>
      <c r="L409" s="2">
        <f t="shared" si="6"/>
        <v>1825</v>
      </c>
      <c r="M409" s="141"/>
      <c r="N409" s="22" t="s">
        <v>3758</v>
      </c>
      <c r="O409" s="106" t="s">
        <v>3759</v>
      </c>
    </row>
    <row r="410" spans="1:15" hidden="1">
      <c r="A410" s="316" t="s">
        <v>4653</v>
      </c>
      <c r="B410" s="126">
        <v>33310</v>
      </c>
      <c r="C410" s="10" t="s">
        <v>4654</v>
      </c>
      <c r="D410" s="111">
        <v>0</v>
      </c>
      <c r="E410" s="9" t="s">
        <v>4687</v>
      </c>
      <c r="F410" s="9" t="s">
        <v>3785</v>
      </c>
      <c r="G410" s="46">
        <v>12575</v>
      </c>
      <c r="H410" s="119" t="s">
        <v>4677</v>
      </c>
      <c r="I410" s="728">
        <v>1825</v>
      </c>
      <c r="J410" s="728"/>
      <c r="K410" s="141"/>
      <c r="L410" s="2">
        <f t="shared" si="6"/>
        <v>1825</v>
      </c>
      <c r="M410" s="141"/>
      <c r="N410" s="22" t="s">
        <v>3758</v>
      </c>
      <c r="O410" s="106" t="s">
        <v>3759</v>
      </c>
    </row>
    <row r="411" spans="1:15" hidden="1">
      <c r="A411" s="316" t="s">
        <v>4653</v>
      </c>
      <c r="B411" s="126">
        <v>33311</v>
      </c>
      <c r="C411" s="10" t="s">
        <v>4654</v>
      </c>
      <c r="D411" s="111">
        <v>0</v>
      </c>
      <c r="E411" s="9" t="s">
        <v>4687</v>
      </c>
      <c r="F411" s="9" t="s">
        <v>3785</v>
      </c>
      <c r="G411" s="46">
        <v>12575</v>
      </c>
      <c r="H411" s="119" t="s">
        <v>4677</v>
      </c>
      <c r="I411" s="728">
        <v>1825</v>
      </c>
      <c r="J411" s="728"/>
      <c r="K411" s="141"/>
      <c r="L411" s="2">
        <f t="shared" si="6"/>
        <v>1825</v>
      </c>
      <c r="M411" s="141"/>
      <c r="N411" s="22" t="s">
        <v>3758</v>
      </c>
      <c r="O411" s="106" t="s">
        <v>3759</v>
      </c>
    </row>
    <row r="412" spans="1:15" hidden="1">
      <c r="A412" s="316" t="s">
        <v>4688</v>
      </c>
      <c r="B412" s="8" t="s">
        <v>4689</v>
      </c>
      <c r="C412" s="10" t="s">
        <v>4690</v>
      </c>
      <c r="D412" s="111">
        <v>0</v>
      </c>
      <c r="E412" s="9" t="s">
        <v>4024</v>
      </c>
      <c r="F412" s="9"/>
      <c r="G412" s="9"/>
      <c r="H412" s="119"/>
      <c r="I412" s="728"/>
      <c r="J412" s="728"/>
      <c r="K412" s="137"/>
      <c r="L412" s="137">
        <f t="shared" si="6"/>
        <v>0</v>
      </c>
      <c r="M412" s="487"/>
      <c r="N412" s="22" t="s">
        <v>3758</v>
      </c>
      <c r="O412" s="106" t="s">
        <v>3759</v>
      </c>
    </row>
    <row r="413" spans="1:15" hidden="1">
      <c r="A413" s="316" t="s">
        <v>4688</v>
      </c>
      <c r="B413" s="8" t="s">
        <v>4691</v>
      </c>
      <c r="C413" s="10" t="s">
        <v>4690</v>
      </c>
      <c r="D413" s="111">
        <v>0</v>
      </c>
      <c r="E413" s="9" t="s">
        <v>4692</v>
      </c>
      <c r="F413" s="9"/>
      <c r="G413" s="9"/>
      <c r="H413" s="119"/>
      <c r="I413" s="728"/>
      <c r="J413" s="728"/>
      <c r="K413" s="137"/>
      <c r="L413" s="137">
        <f t="shared" si="6"/>
        <v>0</v>
      </c>
      <c r="M413" s="487"/>
      <c r="N413" s="12" t="s">
        <v>3758</v>
      </c>
      <c r="O413" s="106" t="s">
        <v>3759</v>
      </c>
    </row>
    <row r="414" spans="1:15" hidden="1">
      <c r="A414" s="316" t="s">
        <v>4537</v>
      </c>
      <c r="B414" s="16">
        <v>2063</v>
      </c>
      <c r="C414" s="17" t="s">
        <v>207</v>
      </c>
      <c r="D414" s="111">
        <v>0</v>
      </c>
      <c r="E414" s="9" t="s">
        <v>4640</v>
      </c>
      <c r="F414" s="9" t="s">
        <v>3785</v>
      </c>
      <c r="G414" s="46">
        <v>45775</v>
      </c>
      <c r="H414" s="119" t="s">
        <v>3799</v>
      </c>
      <c r="I414" s="728"/>
      <c r="J414" s="728"/>
      <c r="K414" s="218"/>
      <c r="L414" s="218">
        <f t="shared" si="6"/>
        <v>0</v>
      </c>
      <c r="M414" s="487"/>
      <c r="N414" s="22" t="s">
        <v>3758</v>
      </c>
      <c r="O414" s="106" t="s">
        <v>3759</v>
      </c>
    </row>
    <row r="415" spans="1:15" hidden="1">
      <c r="A415" s="316" t="s">
        <v>4688</v>
      </c>
      <c r="B415" s="110" t="s">
        <v>4693</v>
      </c>
      <c r="C415" s="44" t="s">
        <v>4694</v>
      </c>
      <c r="D415" s="111">
        <v>0</v>
      </c>
      <c r="E415" s="111" t="s">
        <v>3981</v>
      </c>
      <c r="F415" s="111"/>
      <c r="G415" s="111"/>
      <c r="H415" s="170"/>
      <c r="I415" s="728"/>
      <c r="J415" s="728"/>
      <c r="K415" s="478"/>
      <c r="L415" s="478">
        <f t="shared" si="6"/>
        <v>0</v>
      </c>
      <c r="M415" s="524"/>
      <c r="N415" s="112" t="s">
        <v>3758</v>
      </c>
      <c r="O415" s="113" t="s">
        <v>3759</v>
      </c>
    </row>
    <row r="416" spans="1:15">
      <c r="A416" s="10" t="s">
        <v>4370</v>
      </c>
      <c r="B416" s="449">
        <v>622</v>
      </c>
      <c r="C416" s="10" t="s">
        <v>4372</v>
      </c>
      <c r="D416" s="11">
        <v>1</v>
      </c>
      <c r="E416" s="10" t="s">
        <v>4373</v>
      </c>
      <c r="F416" s="11" t="s">
        <v>3763</v>
      </c>
      <c r="G416" s="129">
        <v>44771</v>
      </c>
      <c r="H416" s="161" t="s">
        <v>4081</v>
      </c>
      <c r="I416" s="729"/>
      <c r="J416" s="729"/>
      <c r="K416" s="636"/>
      <c r="L416" s="522">
        <f t="shared" si="6"/>
        <v>0</v>
      </c>
      <c r="M416" s="142"/>
      <c r="N416" s="12"/>
      <c r="O416" s="12" t="s">
        <v>3759</v>
      </c>
    </row>
    <row r="417" spans="1:15" hidden="1">
      <c r="A417" s="316" t="s">
        <v>4696</v>
      </c>
      <c r="B417" s="554" t="s">
        <v>4697</v>
      </c>
      <c r="C417" s="329" t="s">
        <v>4698</v>
      </c>
      <c r="D417" s="555">
        <v>0</v>
      </c>
      <c r="E417" s="556" t="s">
        <v>4699</v>
      </c>
      <c r="F417" s="556" t="s">
        <v>3763</v>
      </c>
      <c r="G417" s="565">
        <v>44155</v>
      </c>
      <c r="H417" s="557" t="s">
        <v>3768</v>
      </c>
      <c r="I417" s="728">
        <v>2150</v>
      </c>
      <c r="J417" s="728"/>
      <c r="K417" s="505"/>
      <c r="L417" s="655">
        <f t="shared" si="6"/>
        <v>2150</v>
      </c>
      <c r="M417" s="512"/>
      <c r="N417" s="107" t="s">
        <v>3758</v>
      </c>
      <c r="O417" s="108" t="s">
        <v>3759</v>
      </c>
    </row>
    <row r="418" spans="1:15" hidden="1">
      <c r="A418" s="316" t="s">
        <v>4700</v>
      </c>
      <c r="B418" s="8" t="s">
        <v>4701</v>
      </c>
      <c r="C418" s="10" t="s">
        <v>4702</v>
      </c>
      <c r="D418" s="111">
        <v>0</v>
      </c>
      <c r="E418" s="9" t="s">
        <v>4703</v>
      </c>
      <c r="F418" s="9"/>
      <c r="G418" s="9"/>
      <c r="H418" s="119"/>
      <c r="I418" s="728"/>
      <c r="J418" s="728"/>
      <c r="K418" s="137"/>
      <c r="L418" s="137">
        <f t="shared" si="6"/>
        <v>0</v>
      </c>
      <c r="M418" s="487"/>
      <c r="N418" s="22" t="s">
        <v>3758</v>
      </c>
      <c r="O418" s="106" t="s">
        <v>3759</v>
      </c>
    </row>
    <row r="419" spans="1:15" hidden="1">
      <c r="A419" s="316" t="s">
        <v>4700</v>
      </c>
      <c r="B419" s="463" t="s">
        <v>4704</v>
      </c>
      <c r="C419" s="44" t="s">
        <v>2264</v>
      </c>
      <c r="D419" s="111">
        <v>0</v>
      </c>
      <c r="E419" s="111" t="s">
        <v>4705</v>
      </c>
      <c r="F419" s="45" t="s">
        <v>3763</v>
      </c>
      <c r="G419" s="114">
        <v>45553</v>
      </c>
      <c r="H419" s="170" t="s">
        <v>4706</v>
      </c>
      <c r="I419" s="728">
        <v>4250</v>
      </c>
      <c r="J419" s="728"/>
      <c r="K419" s="491"/>
      <c r="L419" s="520">
        <f t="shared" si="6"/>
        <v>4250</v>
      </c>
      <c r="M419" s="735"/>
      <c r="N419" s="112" t="s">
        <v>3758</v>
      </c>
      <c r="O419" s="113" t="s">
        <v>3759</v>
      </c>
    </row>
    <row r="420" spans="1:15">
      <c r="A420" s="10" t="s">
        <v>4370</v>
      </c>
      <c r="B420" s="449">
        <v>676</v>
      </c>
      <c r="C420" s="10" t="s">
        <v>4374</v>
      </c>
      <c r="D420" s="11">
        <v>1</v>
      </c>
      <c r="E420" s="11" t="s">
        <v>4375</v>
      </c>
      <c r="F420" s="11" t="s">
        <v>3785</v>
      </c>
      <c r="G420" s="129">
        <v>45264</v>
      </c>
      <c r="H420" s="161" t="s">
        <v>4081</v>
      </c>
      <c r="I420" s="729"/>
      <c r="J420" s="729"/>
      <c r="K420" s="636"/>
      <c r="L420" s="522">
        <f t="shared" si="6"/>
        <v>0</v>
      </c>
      <c r="M420" s="142"/>
      <c r="N420" s="22"/>
      <c r="O420" s="22" t="s">
        <v>3759</v>
      </c>
    </row>
    <row r="421" spans="1:15">
      <c r="A421" s="10" t="s">
        <v>4381</v>
      </c>
      <c r="B421" s="34" t="s">
        <v>4382</v>
      </c>
      <c r="C421" s="10" t="s">
        <v>4383</v>
      </c>
      <c r="D421" s="11">
        <v>1</v>
      </c>
      <c r="E421" s="11" t="s">
        <v>4384</v>
      </c>
      <c r="F421" s="11" t="s">
        <v>3763</v>
      </c>
      <c r="G421" s="129">
        <v>44644</v>
      </c>
      <c r="H421" s="161" t="s">
        <v>3934</v>
      </c>
      <c r="I421" s="729"/>
      <c r="J421" s="729"/>
      <c r="K421" s="636"/>
      <c r="L421" s="522">
        <f t="shared" si="6"/>
        <v>0</v>
      </c>
      <c r="M421" s="142"/>
      <c r="N421" s="12"/>
      <c r="O421" s="12" t="s">
        <v>3759</v>
      </c>
    </row>
    <row r="422" spans="1:15">
      <c r="A422" s="10" t="s">
        <v>4385</v>
      </c>
      <c r="B422" s="34" t="s">
        <v>4386</v>
      </c>
      <c r="C422" s="10" t="s">
        <v>4387</v>
      </c>
      <c r="D422" s="11">
        <v>1</v>
      </c>
      <c r="E422" s="11" t="s">
        <v>4373</v>
      </c>
      <c r="F422" s="11" t="s">
        <v>3780</v>
      </c>
      <c r="G422" s="129">
        <v>44722</v>
      </c>
      <c r="H422" s="161" t="s">
        <v>3934</v>
      </c>
      <c r="I422" s="729"/>
      <c r="J422" s="729"/>
      <c r="K422" s="636"/>
      <c r="L422" s="522">
        <f t="shared" si="6"/>
        <v>0</v>
      </c>
      <c r="M422" s="142"/>
      <c r="N422" s="22"/>
      <c r="O422" s="22" t="s">
        <v>3759</v>
      </c>
    </row>
    <row r="423" spans="1:15" hidden="1">
      <c r="A423" s="316" t="s">
        <v>4717</v>
      </c>
      <c r="B423" s="558" t="s">
        <v>3748</v>
      </c>
      <c r="C423" s="260" t="s">
        <v>4718</v>
      </c>
      <c r="D423" s="555">
        <v>0</v>
      </c>
      <c r="E423" s="555" t="s">
        <v>4167</v>
      </c>
      <c r="F423" s="555"/>
      <c r="G423" s="555"/>
      <c r="H423" s="475"/>
      <c r="I423" s="728"/>
      <c r="J423" s="728"/>
      <c r="K423" s="497"/>
      <c r="L423" s="497">
        <f t="shared" si="6"/>
        <v>0</v>
      </c>
      <c r="M423" s="526"/>
      <c r="N423" s="121" t="s">
        <v>3758</v>
      </c>
      <c r="O423" s="122" t="s">
        <v>3759</v>
      </c>
    </row>
    <row r="424" spans="1:15">
      <c r="A424" s="10" t="s">
        <v>5709</v>
      </c>
      <c r="B424" s="34" t="s">
        <v>5710</v>
      </c>
      <c r="C424" s="10" t="s">
        <v>5711</v>
      </c>
      <c r="D424" s="11">
        <v>1</v>
      </c>
      <c r="E424" s="11" t="s">
        <v>3801</v>
      </c>
      <c r="F424" s="11" t="s">
        <v>3763</v>
      </c>
      <c r="G424" s="129">
        <v>45742</v>
      </c>
      <c r="H424" s="161" t="s">
        <v>5166</v>
      </c>
      <c r="I424" s="729"/>
      <c r="J424" s="729"/>
      <c r="K424" s="633"/>
      <c r="L424" s="522">
        <f t="shared" si="6"/>
        <v>0</v>
      </c>
      <c r="M424" s="471"/>
      <c r="N424" s="22"/>
      <c r="O424" s="22" t="s">
        <v>3759</v>
      </c>
    </row>
    <row r="425" spans="1:15" hidden="1">
      <c r="A425" s="316" t="s">
        <v>4688</v>
      </c>
      <c r="B425" s="558" t="s">
        <v>4720</v>
      </c>
      <c r="C425" s="260" t="s">
        <v>4694</v>
      </c>
      <c r="D425" s="555">
        <v>0</v>
      </c>
      <c r="E425" s="555" t="s">
        <v>4017</v>
      </c>
      <c r="F425" s="555" t="s">
        <v>3798</v>
      </c>
      <c r="G425" s="559">
        <v>45268</v>
      </c>
      <c r="H425" s="475" t="s">
        <v>4009</v>
      </c>
      <c r="I425" s="728">
        <v>225</v>
      </c>
      <c r="J425" s="728"/>
      <c r="K425" s="485"/>
      <c r="L425" s="652">
        <f t="shared" si="6"/>
        <v>225</v>
      </c>
      <c r="M425" s="485"/>
      <c r="N425" s="121" t="s">
        <v>3758</v>
      </c>
      <c r="O425" s="122" t="s">
        <v>3759</v>
      </c>
    </row>
    <row r="426" spans="1:15">
      <c r="A426" s="10" t="s">
        <v>5762</v>
      </c>
      <c r="B426" s="33" t="s">
        <v>5763</v>
      </c>
      <c r="C426" s="33" t="s">
        <v>4387</v>
      </c>
      <c r="D426" s="11">
        <v>1</v>
      </c>
      <c r="E426" s="10" t="s">
        <v>4734</v>
      </c>
      <c r="F426" s="10" t="s">
        <v>3763</v>
      </c>
      <c r="G426" s="129">
        <v>45833</v>
      </c>
      <c r="H426" s="161" t="s">
        <v>5166</v>
      </c>
      <c r="I426" s="729"/>
      <c r="J426" s="729"/>
      <c r="K426" s="633"/>
      <c r="L426" s="522">
        <f t="shared" si="6"/>
        <v>0</v>
      </c>
      <c r="M426" s="471"/>
      <c r="N426" s="22"/>
      <c r="O426" s="22" t="s">
        <v>3759</v>
      </c>
    </row>
    <row r="427" spans="1:15" hidden="1">
      <c r="A427" s="316" t="s">
        <v>4724</v>
      </c>
      <c r="B427" s="558">
        <v>1429</v>
      </c>
      <c r="C427" s="260" t="s">
        <v>3789</v>
      </c>
      <c r="D427" s="555">
        <v>0</v>
      </c>
      <c r="E427" s="555" t="s">
        <v>3818</v>
      </c>
      <c r="F427" s="555"/>
      <c r="G427" s="555"/>
      <c r="H427" s="475"/>
      <c r="I427" s="728"/>
      <c r="J427" s="728"/>
      <c r="K427" s="169"/>
      <c r="L427" s="169">
        <f t="shared" si="6"/>
        <v>0</v>
      </c>
      <c r="M427" s="668"/>
      <c r="N427" s="121" t="s">
        <v>3758</v>
      </c>
      <c r="O427" s="122" t="s">
        <v>3759</v>
      </c>
    </row>
    <row r="428" spans="1:15">
      <c r="A428" s="10" t="s">
        <v>4392</v>
      </c>
      <c r="B428" s="34" t="s">
        <v>4393</v>
      </c>
      <c r="C428" s="10" t="s">
        <v>4394</v>
      </c>
      <c r="D428" s="11">
        <v>1</v>
      </c>
      <c r="E428" s="11" t="s">
        <v>4395</v>
      </c>
      <c r="F428" s="11" t="s">
        <v>3763</v>
      </c>
      <c r="G428" s="129">
        <v>43754</v>
      </c>
      <c r="H428" s="161" t="s">
        <v>4396</v>
      </c>
      <c r="I428" s="729"/>
      <c r="J428" s="729"/>
      <c r="K428" s="636"/>
      <c r="L428" s="522">
        <f t="shared" si="6"/>
        <v>0</v>
      </c>
      <c r="M428" s="142"/>
      <c r="N428" s="22"/>
      <c r="O428" s="22" t="s">
        <v>3759</v>
      </c>
    </row>
    <row r="429" spans="1:15" hidden="1">
      <c r="A429" s="316" t="s">
        <v>4726</v>
      </c>
      <c r="B429" s="554" t="s">
        <v>4727</v>
      </c>
      <c r="C429" s="329" t="s">
        <v>2264</v>
      </c>
      <c r="D429" s="555">
        <v>0</v>
      </c>
      <c r="E429" s="556" t="s">
        <v>4728</v>
      </c>
      <c r="F429" s="556" t="s">
        <v>4310</v>
      </c>
      <c r="G429" s="565">
        <v>38155</v>
      </c>
      <c r="H429" s="557" t="s">
        <v>4365</v>
      </c>
      <c r="I429" s="728">
        <v>3000</v>
      </c>
      <c r="J429" s="728"/>
      <c r="K429" s="500"/>
      <c r="L429" s="90">
        <f t="shared" si="6"/>
        <v>3000</v>
      </c>
      <c r="M429" s="500"/>
      <c r="N429" s="107" t="s">
        <v>3758</v>
      </c>
      <c r="O429" s="108" t="s">
        <v>3759</v>
      </c>
    </row>
    <row r="430" spans="1:15" hidden="1">
      <c r="A430" s="316" t="s">
        <v>4729</v>
      </c>
      <c r="B430" s="8">
        <v>1989</v>
      </c>
      <c r="C430" s="10" t="s">
        <v>4730</v>
      </c>
      <c r="D430" s="111">
        <v>0</v>
      </c>
      <c r="E430" s="9" t="s">
        <v>4731</v>
      </c>
      <c r="F430" s="9"/>
      <c r="G430" s="9"/>
      <c r="H430" s="119"/>
      <c r="I430" s="728"/>
      <c r="J430" s="728"/>
      <c r="K430" s="137"/>
      <c r="L430" s="137">
        <f t="shared" si="6"/>
        <v>0</v>
      </c>
      <c r="M430" s="487"/>
      <c r="N430" s="22" t="s">
        <v>3758</v>
      </c>
      <c r="O430" s="106" t="s">
        <v>3759</v>
      </c>
    </row>
    <row r="431" spans="1:15" hidden="1">
      <c r="A431" s="316" t="s">
        <v>4729</v>
      </c>
      <c r="B431" s="8">
        <v>2828</v>
      </c>
      <c r="C431" s="10" t="s">
        <v>4730</v>
      </c>
      <c r="D431" s="111">
        <v>0</v>
      </c>
      <c r="E431" s="9" t="s">
        <v>3760</v>
      </c>
      <c r="F431" s="9"/>
      <c r="G431" s="9"/>
      <c r="H431" s="119"/>
      <c r="I431" s="728"/>
      <c r="J431" s="728"/>
      <c r="K431" s="137"/>
      <c r="L431" s="137">
        <f t="shared" si="6"/>
        <v>0</v>
      </c>
      <c r="M431" s="487"/>
      <c r="N431" s="12" t="s">
        <v>3758</v>
      </c>
      <c r="O431" s="106" t="s">
        <v>3759</v>
      </c>
    </row>
    <row r="432" spans="1:15" hidden="1">
      <c r="A432" s="316" t="s">
        <v>4729</v>
      </c>
      <c r="B432" s="8">
        <v>3482</v>
      </c>
      <c r="C432" s="10" t="s">
        <v>4732</v>
      </c>
      <c r="D432" s="111">
        <v>0</v>
      </c>
      <c r="E432" s="9" t="s">
        <v>4326</v>
      </c>
      <c r="F432" s="9" t="s">
        <v>3785</v>
      </c>
      <c r="G432" s="46">
        <v>45293</v>
      </c>
      <c r="H432" s="119" t="s">
        <v>3768</v>
      </c>
      <c r="I432" s="728"/>
      <c r="J432" s="728"/>
      <c r="K432" s="137"/>
      <c r="L432" s="137">
        <f t="shared" si="6"/>
        <v>0</v>
      </c>
      <c r="M432" s="487"/>
      <c r="N432" s="22" t="s">
        <v>3758</v>
      </c>
      <c r="O432" s="106" t="s">
        <v>3759</v>
      </c>
    </row>
    <row r="433" spans="1:15" hidden="1">
      <c r="A433" s="316" t="s">
        <v>4729</v>
      </c>
      <c r="B433" s="8">
        <v>4729</v>
      </c>
      <c r="C433" s="10" t="s">
        <v>4733</v>
      </c>
      <c r="D433" s="111">
        <v>0</v>
      </c>
      <c r="E433" s="9" t="s">
        <v>4624</v>
      </c>
      <c r="F433" s="9" t="s">
        <v>3763</v>
      </c>
      <c r="G433" s="46">
        <v>37429</v>
      </c>
      <c r="H433" s="119" t="s">
        <v>3768</v>
      </c>
      <c r="I433" s="728">
        <v>1050</v>
      </c>
      <c r="J433" s="728"/>
      <c r="K433" s="217"/>
      <c r="L433" s="654">
        <f t="shared" si="6"/>
        <v>1050</v>
      </c>
      <c r="M433" s="219"/>
      <c r="N433" s="22" t="s">
        <v>3758</v>
      </c>
      <c r="O433" s="106" t="s">
        <v>3759</v>
      </c>
    </row>
    <row r="434" spans="1:15" hidden="1">
      <c r="A434" s="316" t="s">
        <v>4729</v>
      </c>
      <c r="B434" s="8">
        <v>3136</v>
      </c>
      <c r="C434" s="10" t="s">
        <v>207</v>
      </c>
      <c r="D434" s="111">
        <v>0</v>
      </c>
      <c r="E434" s="9" t="s">
        <v>4516</v>
      </c>
      <c r="F434" s="9"/>
      <c r="G434" s="9"/>
      <c r="H434" s="119"/>
      <c r="I434" s="728"/>
      <c r="J434" s="728"/>
      <c r="K434" s="138"/>
      <c r="L434" s="138">
        <f t="shared" si="6"/>
        <v>0</v>
      </c>
      <c r="M434" s="471"/>
      <c r="N434" s="22" t="s">
        <v>3758</v>
      </c>
      <c r="O434" s="106" t="s">
        <v>3759</v>
      </c>
    </row>
    <row r="435" spans="1:15" hidden="1">
      <c r="A435" s="316" t="s">
        <v>4729</v>
      </c>
      <c r="B435" s="461">
        <v>4376</v>
      </c>
      <c r="C435" s="44" t="s">
        <v>4730</v>
      </c>
      <c r="D435" s="111">
        <v>0</v>
      </c>
      <c r="E435" s="111" t="s">
        <v>4734</v>
      </c>
      <c r="F435" s="111" t="s">
        <v>3785</v>
      </c>
      <c r="G435" s="114">
        <v>45160</v>
      </c>
      <c r="H435" s="170" t="s">
        <v>3768</v>
      </c>
      <c r="I435" s="728">
        <v>2150</v>
      </c>
      <c r="J435" s="728"/>
      <c r="K435" s="216"/>
      <c r="L435" s="656">
        <f t="shared" si="6"/>
        <v>2150</v>
      </c>
      <c r="M435" s="513"/>
      <c r="N435" s="112" t="s">
        <v>3758</v>
      </c>
      <c r="O435" s="113" t="s">
        <v>3759</v>
      </c>
    </row>
    <row r="436" spans="1:15">
      <c r="A436" s="10" t="s">
        <v>4402</v>
      </c>
      <c r="B436" s="34">
        <v>1393</v>
      </c>
      <c r="C436" s="10" t="s">
        <v>4403</v>
      </c>
      <c r="D436" s="11">
        <v>1</v>
      </c>
      <c r="E436" s="11" t="s">
        <v>4193</v>
      </c>
      <c r="F436" s="11" t="s">
        <v>3763</v>
      </c>
      <c r="G436" s="129">
        <v>45383</v>
      </c>
      <c r="H436" s="161" t="s">
        <v>3768</v>
      </c>
      <c r="I436" s="729"/>
      <c r="J436" s="729"/>
      <c r="K436" s="634"/>
      <c r="L436" s="522">
        <f t="shared" si="6"/>
        <v>0</v>
      </c>
      <c r="M436" s="141"/>
      <c r="N436" s="22"/>
      <c r="O436" s="22" t="s">
        <v>3759</v>
      </c>
    </row>
    <row r="437" spans="1:15" hidden="1">
      <c r="A437" s="316" t="s">
        <v>4738</v>
      </c>
      <c r="B437" s="558">
        <v>1353</v>
      </c>
      <c r="C437" s="260" t="s">
        <v>4739</v>
      </c>
      <c r="D437" s="555">
        <v>0</v>
      </c>
      <c r="E437" s="555" t="s">
        <v>4414</v>
      </c>
      <c r="F437" s="555"/>
      <c r="G437" s="555"/>
      <c r="H437" s="475"/>
      <c r="I437" s="728"/>
      <c r="J437" s="728"/>
      <c r="K437" s="169"/>
      <c r="L437" s="169">
        <f t="shared" si="6"/>
        <v>0</v>
      </c>
      <c r="M437" s="668"/>
      <c r="N437" s="121" t="s">
        <v>3758</v>
      </c>
      <c r="O437" s="122" t="s">
        <v>3759</v>
      </c>
    </row>
    <row r="438" spans="1:15">
      <c r="A438" s="10" t="s">
        <v>4404</v>
      </c>
      <c r="B438" s="34" t="s">
        <v>4405</v>
      </c>
      <c r="C438" s="10" t="s">
        <v>4406</v>
      </c>
      <c r="D438" s="11">
        <v>1</v>
      </c>
      <c r="E438" s="11" t="s">
        <v>4407</v>
      </c>
      <c r="F438" s="11" t="s">
        <v>3785</v>
      </c>
      <c r="G438" s="129">
        <v>45471</v>
      </c>
      <c r="H438" s="161" t="s">
        <v>3799</v>
      </c>
      <c r="I438" s="729"/>
      <c r="J438" s="729"/>
      <c r="K438" s="634"/>
      <c r="L438" s="522">
        <f t="shared" si="6"/>
        <v>0</v>
      </c>
      <c r="M438" s="141"/>
      <c r="N438" s="22"/>
      <c r="O438" s="22" t="s">
        <v>3759</v>
      </c>
    </row>
    <row r="439" spans="1:15" hidden="1">
      <c r="A439" s="316" t="s">
        <v>4742</v>
      </c>
      <c r="B439" s="554">
        <v>3421</v>
      </c>
      <c r="C439" s="329" t="s">
        <v>4690</v>
      </c>
      <c r="D439" s="555">
        <v>0</v>
      </c>
      <c r="E439" s="556" t="s">
        <v>4251</v>
      </c>
      <c r="F439" s="556"/>
      <c r="G439" s="556"/>
      <c r="H439" s="557"/>
      <c r="I439" s="728"/>
      <c r="J439" s="728"/>
      <c r="K439" s="498"/>
      <c r="L439" s="498">
        <f t="shared" si="6"/>
        <v>0</v>
      </c>
      <c r="M439" s="527"/>
      <c r="N439" s="107" t="s">
        <v>3758</v>
      </c>
      <c r="O439" s="108" t="s">
        <v>3759</v>
      </c>
    </row>
    <row r="440" spans="1:15" hidden="1">
      <c r="A440" s="316" t="s">
        <v>4742</v>
      </c>
      <c r="B440" s="8" t="s">
        <v>4743</v>
      </c>
      <c r="C440" s="10" t="s">
        <v>4690</v>
      </c>
      <c r="D440" s="111">
        <v>0</v>
      </c>
      <c r="E440" s="9" t="s">
        <v>4251</v>
      </c>
      <c r="F440" s="9"/>
      <c r="G440" s="9"/>
      <c r="H440" s="119"/>
      <c r="I440" s="728"/>
      <c r="J440" s="728"/>
      <c r="K440" s="137"/>
      <c r="L440" s="137">
        <f t="shared" si="6"/>
        <v>0</v>
      </c>
      <c r="M440" s="487"/>
      <c r="N440" s="22" t="s">
        <v>3758</v>
      </c>
      <c r="O440" s="106" t="s">
        <v>3759</v>
      </c>
    </row>
    <row r="441" spans="1:15" hidden="1">
      <c r="A441" s="316" t="s">
        <v>4742</v>
      </c>
      <c r="B441" s="8">
        <v>2136</v>
      </c>
      <c r="C441" s="10" t="s">
        <v>4690</v>
      </c>
      <c r="D441" s="111">
        <v>0</v>
      </c>
      <c r="E441" s="9" t="s">
        <v>4744</v>
      </c>
      <c r="F441" s="9" t="s">
        <v>3785</v>
      </c>
      <c r="G441" s="46">
        <v>45161</v>
      </c>
      <c r="H441" s="119" t="s">
        <v>3768</v>
      </c>
      <c r="I441" s="728">
        <v>3050</v>
      </c>
      <c r="J441" s="728"/>
      <c r="K441" s="217"/>
      <c r="L441" s="654">
        <f t="shared" si="6"/>
        <v>3050</v>
      </c>
      <c r="M441" s="219"/>
      <c r="N441" s="22" t="s">
        <v>3758</v>
      </c>
      <c r="O441" s="106" t="s">
        <v>3759</v>
      </c>
    </row>
    <row r="442" spans="1:15" hidden="1">
      <c r="A442" s="316" t="s">
        <v>4717</v>
      </c>
      <c r="B442" s="110" t="s">
        <v>4745</v>
      </c>
      <c r="C442" s="44" t="s">
        <v>4746</v>
      </c>
      <c r="D442" s="111">
        <v>0</v>
      </c>
      <c r="E442" s="111" t="s">
        <v>4340</v>
      </c>
      <c r="F442" s="111" t="s">
        <v>3798</v>
      </c>
      <c r="G442" s="114">
        <v>45077</v>
      </c>
      <c r="H442" s="170" t="s">
        <v>4747</v>
      </c>
      <c r="I442" s="728">
        <v>450</v>
      </c>
      <c r="J442" s="728"/>
      <c r="K442" s="488"/>
      <c r="L442" s="515">
        <f t="shared" si="6"/>
        <v>450</v>
      </c>
      <c r="M442" s="734"/>
      <c r="N442" s="112" t="s">
        <v>3940</v>
      </c>
      <c r="O442" s="113" t="s">
        <v>3759</v>
      </c>
    </row>
    <row r="443" spans="1:15">
      <c r="A443" s="316" t="s">
        <v>4408</v>
      </c>
      <c r="B443" s="462" t="s">
        <v>4409</v>
      </c>
      <c r="C443" s="316" t="s">
        <v>4410</v>
      </c>
      <c r="D443" s="464">
        <v>1</v>
      </c>
      <c r="E443" s="464" t="s">
        <v>8158</v>
      </c>
      <c r="F443" s="464" t="s">
        <v>3763</v>
      </c>
      <c r="G443" s="465">
        <v>44840</v>
      </c>
      <c r="H443" s="330" t="s">
        <v>3768</v>
      </c>
      <c r="I443" s="728"/>
      <c r="J443" s="728"/>
      <c r="K443" s="645"/>
      <c r="L443" s="522">
        <f t="shared" si="6"/>
        <v>0</v>
      </c>
      <c r="M443" s="733"/>
      <c r="N443" s="407" t="s">
        <v>7995</v>
      </c>
      <c r="O443" s="22" t="s">
        <v>3759</v>
      </c>
    </row>
    <row r="444" spans="1:15" hidden="1">
      <c r="A444" s="316" t="s">
        <v>4749</v>
      </c>
      <c r="B444" s="554" t="s">
        <v>4750</v>
      </c>
      <c r="C444" s="329" t="s">
        <v>4751</v>
      </c>
      <c r="D444" s="555">
        <v>0</v>
      </c>
      <c r="E444" s="556" t="s">
        <v>4752</v>
      </c>
      <c r="F444" s="556" t="s">
        <v>3763</v>
      </c>
      <c r="G444" s="565">
        <v>44250</v>
      </c>
      <c r="H444" s="557" t="s">
        <v>4753</v>
      </c>
      <c r="I444" s="728">
        <v>950</v>
      </c>
      <c r="J444" s="728"/>
      <c r="K444" s="507"/>
      <c r="L444" s="468">
        <f t="shared" si="6"/>
        <v>950</v>
      </c>
      <c r="M444" s="507"/>
      <c r="N444" s="107" t="s">
        <v>3758</v>
      </c>
      <c r="O444" s="108" t="s">
        <v>3759</v>
      </c>
    </row>
    <row r="445" spans="1:15" hidden="1">
      <c r="A445" s="316" t="s">
        <v>4754</v>
      </c>
      <c r="B445" s="8" t="s">
        <v>4755</v>
      </c>
      <c r="C445" s="10" t="s">
        <v>4756</v>
      </c>
      <c r="D445" s="111">
        <v>0</v>
      </c>
      <c r="E445" s="9" t="s">
        <v>4757</v>
      </c>
      <c r="F445" s="9"/>
      <c r="G445" s="9"/>
      <c r="H445" s="119"/>
      <c r="I445" s="728"/>
      <c r="J445" s="728"/>
      <c r="K445" s="138"/>
      <c r="L445" s="138">
        <f t="shared" si="6"/>
        <v>0</v>
      </c>
      <c r="M445" s="471"/>
      <c r="N445" s="22" t="s">
        <v>3758</v>
      </c>
      <c r="O445" s="106" t="s">
        <v>3759</v>
      </c>
    </row>
    <row r="446" spans="1:15" hidden="1">
      <c r="A446" s="316" t="s">
        <v>4758</v>
      </c>
      <c r="B446" s="8" t="s">
        <v>4759</v>
      </c>
      <c r="C446" s="10" t="s">
        <v>4756</v>
      </c>
      <c r="D446" s="111">
        <v>0</v>
      </c>
      <c r="E446" s="9" t="s">
        <v>4760</v>
      </c>
      <c r="F446" s="9" t="s">
        <v>3763</v>
      </c>
      <c r="G446" s="46">
        <v>45489</v>
      </c>
      <c r="H446" s="119" t="s">
        <v>3834</v>
      </c>
      <c r="I446" s="728">
        <v>1350</v>
      </c>
      <c r="J446" s="728"/>
      <c r="K446" s="141"/>
      <c r="L446" s="2">
        <f t="shared" si="6"/>
        <v>1350</v>
      </c>
      <c r="M446" s="141"/>
      <c r="N446" s="22" t="s">
        <v>3758</v>
      </c>
      <c r="O446" s="106" t="s">
        <v>3759</v>
      </c>
    </row>
    <row r="447" spans="1:15" hidden="1">
      <c r="A447" s="316" t="s">
        <v>4758</v>
      </c>
      <c r="B447" s="110" t="s">
        <v>4761</v>
      </c>
      <c r="C447" s="44" t="s">
        <v>4762</v>
      </c>
      <c r="D447" s="111">
        <v>0</v>
      </c>
      <c r="E447" s="111" t="s">
        <v>4237</v>
      </c>
      <c r="F447" s="111"/>
      <c r="G447" s="111"/>
      <c r="H447" s="170"/>
      <c r="I447" s="728"/>
      <c r="J447" s="728"/>
      <c r="K447" s="478"/>
      <c r="L447" s="478">
        <f t="shared" si="6"/>
        <v>0</v>
      </c>
      <c r="M447" s="524"/>
      <c r="N447" s="535" t="s">
        <v>3758</v>
      </c>
      <c r="O447" s="113" t="s">
        <v>3759</v>
      </c>
    </row>
    <row r="448" spans="1:15">
      <c r="A448" s="316" t="s">
        <v>4408</v>
      </c>
      <c r="B448" s="316">
        <v>1712</v>
      </c>
      <c r="C448" s="316" t="s">
        <v>4410</v>
      </c>
      <c r="D448" s="316">
        <v>1</v>
      </c>
      <c r="E448" s="316" t="s">
        <v>8158</v>
      </c>
      <c r="F448" s="316" t="s">
        <v>3763</v>
      </c>
      <c r="G448" s="316">
        <v>44796</v>
      </c>
      <c r="H448" s="316" t="s">
        <v>3768</v>
      </c>
      <c r="I448" s="316"/>
      <c r="J448" s="316"/>
      <c r="K448" s="316"/>
      <c r="L448" s="522">
        <f t="shared" si="6"/>
        <v>0</v>
      </c>
      <c r="M448" s="318"/>
      <c r="N448" s="407" t="s">
        <v>7995</v>
      </c>
      <c r="O448" s="22" t="s">
        <v>3759</v>
      </c>
    </row>
    <row r="449" spans="1:15">
      <c r="A449" s="10" t="s">
        <v>4411</v>
      </c>
      <c r="B449" s="34" t="s">
        <v>4412</v>
      </c>
      <c r="C449" s="10" t="s">
        <v>4413</v>
      </c>
      <c r="D449" s="11">
        <v>1</v>
      </c>
      <c r="E449" s="11" t="s">
        <v>4414</v>
      </c>
      <c r="F449" s="11" t="s">
        <v>3780</v>
      </c>
      <c r="G449" s="129">
        <v>45453</v>
      </c>
      <c r="H449" s="161" t="s">
        <v>3768</v>
      </c>
      <c r="I449" s="729"/>
      <c r="J449" s="729"/>
      <c r="K449" s="634"/>
      <c r="L449" s="522">
        <f t="shared" si="6"/>
        <v>0</v>
      </c>
      <c r="M449" s="141"/>
      <c r="N449" s="22"/>
      <c r="O449" s="22" t="s">
        <v>3759</v>
      </c>
    </row>
    <row r="450" spans="1:15">
      <c r="A450" s="10" t="s">
        <v>4419</v>
      </c>
      <c r="B450" s="34">
        <v>4788</v>
      </c>
      <c r="C450" s="10" t="s">
        <v>4307</v>
      </c>
      <c r="D450" s="11">
        <v>1</v>
      </c>
      <c r="E450" s="11" t="s">
        <v>4420</v>
      </c>
      <c r="F450" s="11" t="s">
        <v>3763</v>
      </c>
      <c r="G450" s="129">
        <v>44701</v>
      </c>
      <c r="H450" s="161" t="s">
        <v>3768</v>
      </c>
      <c r="I450" s="729"/>
      <c r="J450" s="729"/>
      <c r="K450" s="636"/>
      <c r="L450" s="522">
        <f t="shared" si="6"/>
        <v>0</v>
      </c>
      <c r="M450" s="142"/>
      <c r="N450" s="12"/>
      <c r="O450" s="12" t="s">
        <v>3759</v>
      </c>
    </row>
    <row r="451" spans="1:15" s="1" customFormat="1" hidden="1">
      <c r="A451" s="316" t="s">
        <v>4767</v>
      </c>
      <c r="B451" s="554">
        <v>90114688</v>
      </c>
      <c r="C451" s="329" t="s">
        <v>4768</v>
      </c>
      <c r="D451" s="555">
        <v>0</v>
      </c>
      <c r="E451" s="556" t="s">
        <v>3964</v>
      </c>
      <c r="F451" s="556"/>
      <c r="G451" s="556"/>
      <c r="H451" s="557"/>
      <c r="I451" s="728"/>
      <c r="J451" s="728"/>
      <c r="K451" s="498"/>
      <c r="L451" s="498">
        <f t="shared" si="6"/>
        <v>0</v>
      </c>
      <c r="M451" s="527"/>
      <c r="N451" s="107" t="s">
        <v>3758</v>
      </c>
      <c r="O451" s="108" t="s">
        <v>3759</v>
      </c>
    </row>
    <row r="452" spans="1:15" s="1" customFormat="1" ht="15.75" hidden="1" customHeight="1">
      <c r="A452" s="316" t="s">
        <v>4769</v>
      </c>
      <c r="B452" s="8">
        <v>31892234</v>
      </c>
      <c r="C452" s="10" t="s">
        <v>4770</v>
      </c>
      <c r="D452" s="111">
        <v>0</v>
      </c>
      <c r="E452" s="9" t="s">
        <v>3950</v>
      </c>
      <c r="F452" s="9"/>
      <c r="G452" s="9"/>
      <c r="H452" s="119"/>
      <c r="I452" s="728"/>
      <c r="J452" s="728"/>
      <c r="K452" s="138"/>
      <c r="L452" s="138">
        <f t="shared" ref="L452:L515" si="7">IF(OR(I452="", K452=""), I452 + K452, I452 + K452)</f>
        <v>0</v>
      </c>
      <c r="M452" s="471"/>
      <c r="N452" s="22" t="s">
        <v>3758</v>
      </c>
      <c r="O452" s="106" t="s">
        <v>3759</v>
      </c>
    </row>
    <row r="453" spans="1:15" hidden="1">
      <c r="A453" s="316" t="s">
        <v>4769</v>
      </c>
      <c r="B453" s="8" t="s">
        <v>4771</v>
      </c>
      <c r="C453" s="10" t="s">
        <v>4770</v>
      </c>
      <c r="D453" s="111">
        <v>0</v>
      </c>
      <c r="E453" s="46" t="s">
        <v>4198</v>
      </c>
      <c r="F453" s="46" t="s">
        <v>3763</v>
      </c>
      <c r="G453" s="46">
        <v>45490</v>
      </c>
      <c r="H453" s="119" t="s">
        <v>3951</v>
      </c>
      <c r="I453" s="728"/>
      <c r="J453" s="728"/>
      <c r="K453" s="138"/>
      <c r="L453" s="138">
        <f t="shared" si="7"/>
        <v>0</v>
      </c>
      <c r="M453" s="471"/>
      <c r="N453" s="22" t="s">
        <v>3758</v>
      </c>
      <c r="O453" s="106" t="s">
        <v>3759</v>
      </c>
    </row>
    <row r="454" spans="1:15" hidden="1">
      <c r="A454" s="316" t="s">
        <v>4772</v>
      </c>
      <c r="B454" s="8">
        <v>89030350</v>
      </c>
      <c r="C454" s="10" t="s">
        <v>3862</v>
      </c>
      <c r="D454" s="111">
        <v>0</v>
      </c>
      <c r="E454" s="9" t="s">
        <v>4198</v>
      </c>
      <c r="F454" s="9"/>
      <c r="G454" s="9"/>
      <c r="H454" s="119"/>
      <c r="I454" s="728"/>
      <c r="J454" s="728"/>
      <c r="K454" s="138"/>
      <c r="L454" s="138">
        <f t="shared" si="7"/>
        <v>0</v>
      </c>
      <c r="M454" s="471"/>
      <c r="N454" s="22" t="s">
        <v>3758</v>
      </c>
      <c r="O454" s="106" t="s">
        <v>3759</v>
      </c>
    </row>
    <row r="455" spans="1:15" hidden="1">
      <c r="A455" s="316" t="s">
        <v>4773</v>
      </c>
      <c r="B455" s="110">
        <v>97073064</v>
      </c>
      <c r="C455" s="44" t="s">
        <v>3862</v>
      </c>
      <c r="D455" s="111">
        <v>0</v>
      </c>
      <c r="E455" s="111" t="s">
        <v>3927</v>
      </c>
      <c r="F455" s="111"/>
      <c r="G455" s="111"/>
      <c r="H455" s="170"/>
      <c r="I455" s="728"/>
      <c r="J455" s="728"/>
      <c r="K455" s="478"/>
      <c r="L455" s="478">
        <f t="shared" si="7"/>
        <v>0</v>
      </c>
      <c r="M455" s="524"/>
      <c r="N455" s="112" t="s">
        <v>3758</v>
      </c>
      <c r="O455" s="113" t="s">
        <v>3759</v>
      </c>
    </row>
    <row r="456" spans="1:15">
      <c r="A456" s="10" t="s">
        <v>4421</v>
      </c>
      <c r="B456" s="34" t="s">
        <v>4422</v>
      </c>
      <c r="C456" s="10" t="s">
        <v>4307</v>
      </c>
      <c r="D456" s="11">
        <v>1</v>
      </c>
      <c r="E456" s="11" t="s">
        <v>4175</v>
      </c>
      <c r="F456" s="11" t="s">
        <v>3785</v>
      </c>
      <c r="G456" s="129">
        <v>45427</v>
      </c>
      <c r="H456" s="161" t="s">
        <v>3799</v>
      </c>
      <c r="I456" s="729"/>
      <c r="J456" s="729"/>
      <c r="K456" s="641"/>
      <c r="L456" s="522">
        <f t="shared" si="7"/>
        <v>0</v>
      </c>
      <c r="M456" s="474">
        <v>14000</v>
      </c>
      <c r="N456" s="22"/>
      <c r="O456" s="22" t="s">
        <v>3759</v>
      </c>
    </row>
    <row r="457" spans="1:15">
      <c r="A457" s="10" t="s">
        <v>4311</v>
      </c>
      <c r="B457" s="630" t="s">
        <v>5747</v>
      </c>
      <c r="C457" s="167" t="s">
        <v>690</v>
      </c>
      <c r="D457" s="11">
        <v>1</v>
      </c>
      <c r="E457" s="10" t="s">
        <v>4640</v>
      </c>
      <c r="F457" s="10" t="s">
        <v>3785</v>
      </c>
      <c r="G457" s="129">
        <v>45832</v>
      </c>
      <c r="H457" s="161" t="s">
        <v>3799</v>
      </c>
      <c r="I457" s="729"/>
      <c r="J457" s="729"/>
      <c r="K457" s="646"/>
      <c r="L457" s="522">
        <f t="shared" si="7"/>
        <v>0</v>
      </c>
      <c r="M457" s="470">
        <v>11000</v>
      </c>
      <c r="N457" s="22"/>
      <c r="O457" s="22" t="s">
        <v>3759</v>
      </c>
    </row>
    <row r="458" spans="1:15">
      <c r="A458" s="10" t="s">
        <v>4431</v>
      </c>
      <c r="B458" s="34" t="s">
        <v>4432</v>
      </c>
      <c r="C458" s="10" t="s">
        <v>207</v>
      </c>
      <c r="D458" s="11">
        <v>1</v>
      </c>
      <c r="E458" s="11" t="s">
        <v>4433</v>
      </c>
      <c r="F458" s="11" t="s">
        <v>3785</v>
      </c>
      <c r="G458" s="129">
        <v>44708</v>
      </c>
      <c r="H458" s="161" t="s">
        <v>3768</v>
      </c>
      <c r="I458" s="729"/>
      <c r="J458" s="729"/>
      <c r="K458" s="634"/>
      <c r="L458" s="522">
        <f t="shared" si="7"/>
        <v>0</v>
      </c>
      <c r="M458" s="141"/>
      <c r="N458" s="22"/>
      <c r="O458" s="22" t="s">
        <v>3759</v>
      </c>
    </row>
    <row r="459" spans="1:15" hidden="1">
      <c r="A459" s="316" t="s">
        <v>4780</v>
      </c>
      <c r="B459" s="554">
        <v>1540</v>
      </c>
      <c r="C459" s="329" t="s">
        <v>4781</v>
      </c>
      <c r="D459" s="555">
        <v>0</v>
      </c>
      <c r="E459" s="556" t="s">
        <v>4782</v>
      </c>
      <c r="F459" s="556"/>
      <c r="G459" s="556"/>
      <c r="H459" s="557"/>
      <c r="I459" s="728"/>
      <c r="J459" s="728"/>
      <c r="K459" s="494"/>
      <c r="L459" s="494">
        <f t="shared" si="7"/>
        <v>0</v>
      </c>
      <c r="M459" s="670"/>
      <c r="N459" s="107" t="s">
        <v>3758</v>
      </c>
      <c r="O459" s="108" t="s">
        <v>3759</v>
      </c>
    </row>
    <row r="460" spans="1:15" hidden="1">
      <c r="A460" s="316" t="s">
        <v>4586</v>
      </c>
      <c r="B460" s="327" t="s">
        <v>4783</v>
      </c>
      <c r="C460" s="86" t="s">
        <v>4784</v>
      </c>
      <c r="D460" s="111">
        <v>0</v>
      </c>
      <c r="E460" s="111" t="s">
        <v>4624</v>
      </c>
      <c r="F460" s="111" t="s">
        <v>3785</v>
      </c>
      <c r="G460" s="114">
        <v>45771</v>
      </c>
      <c r="H460" s="170" t="s">
        <v>3799</v>
      </c>
      <c r="I460" s="728"/>
      <c r="J460" s="728"/>
      <c r="K460" s="331"/>
      <c r="L460" s="331">
        <f t="shared" si="7"/>
        <v>0</v>
      </c>
      <c r="M460" s="525"/>
      <c r="N460" s="112" t="s">
        <v>3758</v>
      </c>
      <c r="O460" s="113" t="s">
        <v>3759</v>
      </c>
    </row>
    <row r="461" spans="1:15">
      <c r="A461" s="10" t="s">
        <v>4337</v>
      </c>
      <c r="B461" s="34" t="s">
        <v>4441</v>
      </c>
      <c r="C461" s="10" t="s">
        <v>4339</v>
      </c>
      <c r="D461" s="11">
        <v>1</v>
      </c>
      <c r="E461" s="11" t="s">
        <v>4442</v>
      </c>
      <c r="F461" s="11" t="s">
        <v>3785</v>
      </c>
      <c r="G461" s="129">
        <v>45007</v>
      </c>
      <c r="H461" s="161" t="s">
        <v>3768</v>
      </c>
      <c r="I461" s="729"/>
      <c r="J461" s="729"/>
      <c r="K461" s="636"/>
      <c r="L461" s="522">
        <f t="shared" si="7"/>
        <v>0</v>
      </c>
      <c r="M461" s="142">
        <v>7500</v>
      </c>
      <c r="N461" s="22"/>
      <c r="O461" s="22" t="s">
        <v>3759</v>
      </c>
    </row>
    <row r="462" spans="1:15">
      <c r="A462" s="10" t="s">
        <v>4443</v>
      </c>
      <c r="B462" s="34" t="s">
        <v>4444</v>
      </c>
      <c r="C462" s="10" t="s">
        <v>4445</v>
      </c>
      <c r="D462" s="11">
        <v>1</v>
      </c>
      <c r="E462" s="11" t="s">
        <v>4446</v>
      </c>
      <c r="F462" s="11" t="s">
        <v>3763</v>
      </c>
      <c r="G462" s="129">
        <v>45274</v>
      </c>
      <c r="H462" s="161" t="s">
        <v>3768</v>
      </c>
      <c r="I462" s="729"/>
      <c r="J462" s="729"/>
      <c r="K462" s="634"/>
      <c r="L462" s="522">
        <f t="shared" si="7"/>
        <v>0</v>
      </c>
      <c r="M462" s="142">
        <v>6700</v>
      </c>
      <c r="N462" s="22"/>
      <c r="O462" s="22" t="s">
        <v>3759</v>
      </c>
    </row>
    <row r="463" spans="1:15">
      <c r="A463" s="10" t="s">
        <v>4345</v>
      </c>
      <c r="B463" s="449" t="s">
        <v>4449</v>
      </c>
      <c r="C463" s="10" t="s">
        <v>4347</v>
      </c>
      <c r="D463" s="11">
        <v>1</v>
      </c>
      <c r="E463" s="11" t="s">
        <v>4450</v>
      </c>
      <c r="F463" s="11" t="s">
        <v>3763</v>
      </c>
      <c r="G463" s="129">
        <v>45147</v>
      </c>
      <c r="H463" s="161" t="s">
        <v>3768</v>
      </c>
      <c r="I463" s="729"/>
      <c r="J463" s="729"/>
      <c r="K463" s="634"/>
      <c r="L463" s="522">
        <f t="shared" si="7"/>
        <v>0</v>
      </c>
      <c r="M463" s="141"/>
      <c r="N463" s="112"/>
      <c r="O463" s="22" t="s">
        <v>3759</v>
      </c>
    </row>
    <row r="464" spans="1:15">
      <c r="A464" s="10" t="s">
        <v>4345</v>
      </c>
      <c r="B464" s="449" t="s">
        <v>4453</v>
      </c>
      <c r="C464" s="10" t="s">
        <v>4454</v>
      </c>
      <c r="D464" s="11">
        <v>1</v>
      </c>
      <c r="E464" s="11" t="s">
        <v>3757</v>
      </c>
      <c r="F464" s="11" t="s">
        <v>3763</v>
      </c>
      <c r="G464" s="129">
        <v>45406</v>
      </c>
      <c r="H464" s="161" t="s">
        <v>3768</v>
      </c>
      <c r="I464" s="729"/>
      <c r="J464" s="729"/>
      <c r="K464" s="636"/>
      <c r="L464" s="522">
        <f t="shared" si="7"/>
        <v>0</v>
      </c>
      <c r="M464" s="142">
        <v>7000</v>
      </c>
      <c r="N464" s="22" t="s">
        <v>8073</v>
      </c>
      <c r="O464" s="22" t="s">
        <v>3759</v>
      </c>
    </row>
    <row r="465" spans="1:15" hidden="1">
      <c r="A465" s="316" t="s">
        <v>4792</v>
      </c>
      <c r="B465" s="554">
        <v>299</v>
      </c>
      <c r="C465" s="329" t="s">
        <v>4793</v>
      </c>
      <c r="D465" s="555">
        <v>0</v>
      </c>
      <c r="E465" s="556" t="s">
        <v>4794</v>
      </c>
      <c r="F465" s="556" t="s">
        <v>3763</v>
      </c>
      <c r="G465" s="565">
        <v>44763</v>
      </c>
      <c r="H465" s="557" t="s">
        <v>4081</v>
      </c>
      <c r="I465" s="728">
        <v>411</v>
      </c>
      <c r="J465" s="728"/>
      <c r="K465" s="505"/>
      <c r="L465" s="655">
        <f t="shared" si="7"/>
        <v>411</v>
      </c>
      <c r="M465" s="512"/>
      <c r="N465" s="40" t="s">
        <v>4041</v>
      </c>
      <c r="O465" s="120" t="s">
        <v>3759</v>
      </c>
    </row>
    <row r="466" spans="1:15" hidden="1">
      <c r="A466" s="316" t="s">
        <v>4616</v>
      </c>
      <c r="B466" s="408" t="s">
        <v>4795</v>
      </c>
      <c r="C466" s="402" t="s">
        <v>3859</v>
      </c>
      <c r="D466" s="405">
        <v>0</v>
      </c>
      <c r="E466" s="409" t="s">
        <v>3815</v>
      </c>
      <c r="F466" s="403" t="s">
        <v>3785</v>
      </c>
      <c r="G466" s="404">
        <v>45755</v>
      </c>
      <c r="H466" s="317" t="s">
        <v>7993</v>
      </c>
      <c r="I466" s="728"/>
      <c r="J466" s="728"/>
      <c r="K466" s="406"/>
      <c r="L466" s="406">
        <f t="shared" si="7"/>
        <v>0</v>
      </c>
      <c r="M466" s="406"/>
      <c r="N466" s="407" t="s">
        <v>5754</v>
      </c>
      <c r="O466" s="106" t="s">
        <v>3759</v>
      </c>
    </row>
    <row r="467" spans="1:15" hidden="1">
      <c r="A467" s="316" t="s">
        <v>4796</v>
      </c>
      <c r="B467" s="8" t="s">
        <v>4797</v>
      </c>
      <c r="C467" s="10" t="s">
        <v>4798</v>
      </c>
      <c r="D467" s="111">
        <v>0</v>
      </c>
      <c r="E467" s="9" t="s">
        <v>3919</v>
      </c>
      <c r="F467" s="9"/>
      <c r="G467" s="9"/>
      <c r="H467" s="119"/>
      <c r="I467" s="728"/>
      <c r="J467" s="728"/>
      <c r="K467" s="138"/>
      <c r="L467" s="138">
        <f t="shared" si="7"/>
        <v>0</v>
      </c>
      <c r="M467" s="471"/>
      <c r="N467" s="22" t="s">
        <v>3758</v>
      </c>
      <c r="O467" s="106" t="s">
        <v>3759</v>
      </c>
    </row>
    <row r="468" spans="1:15" hidden="1">
      <c r="A468" s="316" t="s">
        <v>4796</v>
      </c>
      <c r="B468" s="8">
        <v>4078</v>
      </c>
      <c r="C468" s="10" t="s">
        <v>4798</v>
      </c>
      <c r="D468" s="111">
        <v>0</v>
      </c>
      <c r="E468" s="9" t="s">
        <v>4198</v>
      </c>
      <c r="F468" s="9" t="s">
        <v>3785</v>
      </c>
      <c r="G468" s="46">
        <v>45516</v>
      </c>
      <c r="H468" s="119" t="s">
        <v>3834</v>
      </c>
      <c r="I468" s="728"/>
      <c r="J468" s="728"/>
      <c r="K468" s="137"/>
      <c r="L468" s="137">
        <f t="shared" si="7"/>
        <v>0</v>
      </c>
      <c r="M468" s="487"/>
      <c r="N468" s="22" t="s">
        <v>3758</v>
      </c>
      <c r="O468" s="106" t="s">
        <v>3759</v>
      </c>
    </row>
    <row r="469" spans="1:15" hidden="1">
      <c r="A469" s="316" t="s">
        <v>4616</v>
      </c>
      <c r="B469" s="544" t="s">
        <v>4799</v>
      </c>
      <c r="C469" s="545" t="s">
        <v>4800</v>
      </c>
      <c r="D469" s="111">
        <v>0</v>
      </c>
      <c r="E469" s="405" t="s">
        <v>3815</v>
      </c>
      <c r="F469" s="405" t="s">
        <v>3785</v>
      </c>
      <c r="G469" s="546">
        <v>45777</v>
      </c>
      <c r="H469" s="547" t="s">
        <v>3819</v>
      </c>
      <c r="I469" s="728"/>
      <c r="J469" s="728"/>
      <c r="K469" s="492"/>
      <c r="L469" s="492">
        <f t="shared" si="7"/>
        <v>0</v>
      </c>
      <c r="M469" s="492"/>
      <c r="N469" s="112" t="s">
        <v>3909</v>
      </c>
      <c r="O469" s="113" t="s">
        <v>3759</v>
      </c>
    </row>
    <row r="470" spans="1:15">
      <c r="A470" s="10" t="s">
        <v>4361</v>
      </c>
      <c r="B470" s="34" t="s">
        <v>4459</v>
      </c>
      <c r="C470" s="10" t="s">
        <v>3789</v>
      </c>
      <c r="D470" s="11">
        <v>1</v>
      </c>
      <c r="E470" s="11" t="s">
        <v>4460</v>
      </c>
      <c r="F470" s="11" t="s">
        <v>3785</v>
      </c>
      <c r="G470" s="129">
        <v>45211</v>
      </c>
      <c r="H470" s="161" t="s">
        <v>3768</v>
      </c>
      <c r="I470" s="729"/>
      <c r="J470" s="729"/>
      <c r="K470" s="636"/>
      <c r="L470" s="522">
        <f t="shared" si="7"/>
        <v>0</v>
      </c>
      <c r="M470" s="142"/>
      <c r="N470" s="22"/>
      <c r="O470" s="22" t="s">
        <v>3759</v>
      </c>
    </row>
    <row r="471" spans="1:15" hidden="1">
      <c r="A471" s="316" t="s">
        <v>4804</v>
      </c>
      <c r="B471" s="558">
        <v>626</v>
      </c>
      <c r="C471" s="260" t="s">
        <v>4805</v>
      </c>
      <c r="D471" s="555">
        <v>0</v>
      </c>
      <c r="E471" s="555" t="s">
        <v>4198</v>
      </c>
      <c r="F471" s="555"/>
      <c r="G471" s="555"/>
      <c r="H471" s="475"/>
      <c r="I471" s="728"/>
      <c r="J471" s="728"/>
      <c r="K471" s="169"/>
      <c r="L471" s="169">
        <f t="shared" si="7"/>
        <v>0</v>
      </c>
      <c r="M471" s="668"/>
      <c r="N471" s="121" t="s">
        <v>3758</v>
      </c>
      <c r="O471" s="122" t="s">
        <v>3759</v>
      </c>
    </row>
    <row r="472" spans="1:15">
      <c r="A472" s="10" t="s">
        <v>4361</v>
      </c>
      <c r="B472" s="34">
        <v>1814</v>
      </c>
      <c r="C472" s="10" t="s">
        <v>3789</v>
      </c>
      <c r="D472" s="11">
        <v>1</v>
      </c>
      <c r="E472" s="11" t="s">
        <v>4461</v>
      </c>
      <c r="F472" s="11" t="s">
        <v>3763</v>
      </c>
      <c r="G472" s="129">
        <v>44425</v>
      </c>
      <c r="H472" s="161" t="s">
        <v>3768</v>
      </c>
      <c r="I472" s="729"/>
      <c r="J472" s="729"/>
      <c r="K472" s="636"/>
      <c r="L472" s="522">
        <f t="shared" si="7"/>
        <v>0</v>
      </c>
      <c r="M472" s="142"/>
      <c r="N472" s="12"/>
      <c r="O472" s="12" t="s">
        <v>3759</v>
      </c>
    </row>
    <row r="473" spans="1:15" ht="14.25" customHeight="1">
      <c r="A473" s="10" t="s">
        <v>4361</v>
      </c>
      <c r="B473" s="34">
        <v>1231</v>
      </c>
      <c r="C473" s="10" t="s">
        <v>3789</v>
      </c>
      <c r="D473" s="11">
        <v>1</v>
      </c>
      <c r="E473" s="11" t="s">
        <v>4462</v>
      </c>
      <c r="F473" s="11" t="s">
        <v>3763</v>
      </c>
      <c r="G473" s="129">
        <v>45175</v>
      </c>
      <c r="H473" s="161" t="s">
        <v>3768</v>
      </c>
      <c r="I473" s="729"/>
      <c r="J473" s="729"/>
      <c r="K473" s="636"/>
      <c r="L473" s="522">
        <f t="shared" si="7"/>
        <v>0</v>
      </c>
      <c r="M473" s="142"/>
      <c r="N473" s="22"/>
      <c r="O473" s="22" t="s">
        <v>3759</v>
      </c>
    </row>
    <row r="474" spans="1:15">
      <c r="A474" s="10" t="s">
        <v>4361</v>
      </c>
      <c r="B474" s="34">
        <v>1862</v>
      </c>
      <c r="C474" s="10" t="s">
        <v>3789</v>
      </c>
      <c r="D474" s="11">
        <v>1</v>
      </c>
      <c r="E474" s="11" t="s">
        <v>4466</v>
      </c>
      <c r="F474" s="11" t="s">
        <v>3763</v>
      </c>
      <c r="G474" s="129">
        <v>45180</v>
      </c>
      <c r="H474" s="161" t="s">
        <v>3768</v>
      </c>
      <c r="I474" s="729"/>
      <c r="J474" s="729"/>
      <c r="K474" s="636"/>
      <c r="L474" s="522">
        <f t="shared" si="7"/>
        <v>0</v>
      </c>
      <c r="M474" s="142"/>
      <c r="N474" s="22"/>
      <c r="O474" s="22" t="s">
        <v>3759</v>
      </c>
    </row>
    <row r="475" spans="1:15" hidden="1">
      <c r="A475" s="316" t="s">
        <v>4807</v>
      </c>
      <c r="B475" s="554">
        <v>4234</v>
      </c>
      <c r="C475" s="329" t="s">
        <v>4808</v>
      </c>
      <c r="D475" s="555">
        <v>0</v>
      </c>
      <c r="E475" s="556" t="s">
        <v>4809</v>
      </c>
      <c r="F475" s="556"/>
      <c r="G475" s="556"/>
      <c r="H475" s="557"/>
      <c r="I475" s="728"/>
      <c r="J475" s="728"/>
      <c r="K475" s="494"/>
      <c r="L475" s="494">
        <f t="shared" si="7"/>
        <v>0</v>
      </c>
      <c r="M475" s="670"/>
      <c r="N475" s="107" t="s">
        <v>3758</v>
      </c>
      <c r="O475" s="108" t="s">
        <v>3759</v>
      </c>
    </row>
    <row r="476" spans="1:15" hidden="1">
      <c r="A476" s="316" t="s">
        <v>4810</v>
      </c>
      <c r="B476" s="8">
        <v>72121</v>
      </c>
      <c r="C476" s="10" t="s">
        <v>4662</v>
      </c>
      <c r="D476" s="111">
        <v>0</v>
      </c>
      <c r="E476" s="9" t="s">
        <v>4663</v>
      </c>
      <c r="F476" s="9" t="s">
        <v>3798</v>
      </c>
      <c r="G476" s="46">
        <v>44739</v>
      </c>
      <c r="H476" s="119" t="s">
        <v>4009</v>
      </c>
      <c r="I476" s="728">
        <v>250</v>
      </c>
      <c r="J476" s="728"/>
      <c r="K476" s="217"/>
      <c r="L476" s="654">
        <f t="shared" si="7"/>
        <v>250</v>
      </c>
      <c r="M476" s="219"/>
      <c r="N476" s="22" t="s">
        <v>3758</v>
      </c>
      <c r="O476" s="106" t="s">
        <v>3804</v>
      </c>
    </row>
    <row r="477" spans="1:15" hidden="1">
      <c r="A477" s="316" t="s">
        <v>4810</v>
      </c>
      <c r="B477" s="110">
        <v>72095</v>
      </c>
      <c r="C477" s="44" t="s">
        <v>4660</v>
      </c>
      <c r="D477" s="111">
        <v>0</v>
      </c>
      <c r="E477" s="111" t="s">
        <v>4661</v>
      </c>
      <c r="F477" s="111" t="s">
        <v>3798</v>
      </c>
      <c r="G477" s="114">
        <v>44740</v>
      </c>
      <c r="H477" s="170" t="s">
        <v>4009</v>
      </c>
      <c r="I477" s="728">
        <v>250</v>
      </c>
      <c r="J477" s="728"/>
      <c r="K477" s="481"/>
      <c r="L477" s="551">
        <f t="shared" si="7"/>
        <v>250</v>
      </c>
      <c r="M477" s="490"/>
      <c r="N477" s="144" t="s">
        <v>3758</v>
      </c>
      <c r="O477" s="145" t="s">
        <v>3804</v>
      </c>
    </row>
    <row r="478" spans="1:15">
      <c r="A478" s="10" t="s">
        <v>4361</v>
      </c>
      <c r="B478" s="34">
        <v>1251</v>
      </c>
      <c r="C478" s="10" t="s">
        <v>3789</v>
      </c>
      <c r="D478" s="11">
        <v>1</v>
      </c>
      <c r="E478" s="11" t="s">
        <v>4477</v>
      </c>
      <c r="F478" s="11" t="s">
        <v>3763</v>
      </c>
      <c r="G478" s="129">
        <v>45275</v>
      </c>
      <c r="H478" s="161" t="s">
        <v>3768</v>
      </c>
      <c r="I478" s="729"/>
      <c r="J478" s="729"/>
      <c r="K478" s="634"/>
      <c r="L478" s="522">
        <f t="shared" si="7"/>
        <v>0</v>
      </c>
      <c r="M478" s="141"/>
      <c r="N478" s="22"/>
      <c r="O478" s="22" t="s">
        <v>3759</v>
      </c>
    </row>
    <row r="479" spans="1:15">
      <c r="A479" s="10" t="s">
        <v>4361</v>
      </c>
      <c r="B479" s="323">
        <v>1051</v>
      </c>
      <c r="C479" s="323" t="s">
        <v>3789</v>
      </c>
      <c r="D479" s="11">
        <v>1</v>
      </c>
      <c r="E479" s="11" t="s">
        <v>5329</v>
      </c>
      <c r="F479" s="11" t="s">
        <v>3785</v>
      </c>
      <c r="G479" s="129">
        <v>45918</v>
      </c>
      <c r="H479" s="161" t="s">
        <v>3799</v>
      </c>
      <c r="I479" s="729"/>
      <c r="J479" s="729"/>
      <c r="K479" s="633"/>
      <c r="L479" s="522">
        <f t="shared" si="7"/>
        <v>0</v>
      </c>
      <c r="M479" s="471"/>
      <c r="N479" s="22"/>
      <c r="O479" s="22" t="s">
        <v>3759</v>
      </c>
    </row>
    <row r="480" spans="1:15" hidden="1">
      <c r="A480" s="316" t="s">
        <v>4376</v>
      </c>
      <c r="B480" s="624">
        <v>2261</v>
      </c>
      <c r="C480" s="206" t="s">
        <v>3789</v>
      </c>
      <c r="D480" s="445">
        <v>0</v>
      </c>
      <c r="E480" s="445" t="s">
        <v>3815</v>
      </c>
      <c r="F480" s="445" t="s">
        <v>3763</v>
      </c>
      <c r="G480" s="631">
        <v>44685</v>
      </c>
      <c r="H480" s="625" t="s">
        <v>3768</v>
      </c>
      <c r="I480" s="728"/>
      <c r="J480" s="728"/>
      <c r="K480" s="647"/>
      <c r="L480" s="522">
        <f t="shared" si="7"/>
        <v>0</v>
      </c>
      <c r="M480" s="732"/>
      <c r="N480" s="208" t="s">
        <v>8136</v>
      </c>
      <c r="O480" s="22" t="s">
        <v>3759</v>
      </c>
    </row>
    <row r="481" spans="1:15">
      <c r="A481" s="10" t="s">
        <v>4479</v>
      </c>
      <c r="B481" s="34">
        <v>1570</v>
      </c>
      <c r="C481" s="10" t="s">
        <v>4480</v>
      </c>
      <c r="D481" s="11">
        <v>1</v>
      </c>
      <c r="E481" s="11" t="s">
        <v>4481</v>
      </c>
      <c r="F481" s="11" t="s">
        <v>3785</v>
      </c>
      <c r="G481" s="129">
        <v>44804</v>
      </c>
      <c r="H481" s="161" t="s">
        <v>3768</v>
      </c>
      <c r="I481" s="729"/>
      <c r="J481" s="729"/>
      <c r="K481" s="638"/>
      <c r="L481" s="522">
        <f t="shared" si="7"/>
        <v>0</v>
      </c>
      <c r="M481" s="142"/>
      <c r="N481" s="12"/>
      <c r="O481" s="12" t="s">
        <v>3759</v>
      </c>
    </row>
    <row r="482" spans="1:15">
      <c r="A482" s="10" t="s">
        <v>4479</v>
      </c>
      <c r="B482" s="34">
        <v>1181</v>
      </c>
      <c r="C482" s="10" t="s">
        <v>4485</v>
      </c>
      <c r="D482" s="11">
        <v>1</v>
      </c>
      <c r="E482" s="11" t="s">
        <v>4481</v>
      </c>
      <c r="F482" s="11" t="s">
        <v>3785</v>
      </c>
      <c r="G482" s="129">
        <v>44804</v>
      </c>
      <c r="H482" s="161" t="s">
        <v>3768</v>
      </c>
      <c r="I482" s="729"/>
      <c r="J482" s="729"/>
      <c r="K482" s="638"/>
      <c r="L482" s="522">
        <f t="shared" si="7"/>
        <v>0</v>
      </c>
      <c r="M482" s="142"/>
      <c r="N482" s="22"/>
      <c r="O482" s="22" t="s">
        <v>3759</v>
      </c>
    </row>
    <row r="483" spans="1:15" hidden="1">
      <c r="A483" s="316" t="s">
        <v>4824</v>
      </c>
      <c r="B483" s="558" t="s">
        <v>4825</v>
      </c>
      <c r="C483" s="260" t="s">
        <v>4826</v>
      </c>
      <c r="D483" s="555">
        <v>0</v>
      </c>
      <c r="E483" s="555" t="s">
        <v>3757</v>
      </c>
      <c r="F483" s="555"/>
      <c r="G483" s="555"/>
      <c r="H483" s="475"/>
      <c r="I483" s="728"/>
      <c r="J483" s="728"/>
      <c r="K483" s="169"/>
      <c r="L483" s="169">
        <f t="shared" si="7"/>
        <v>0</v>
      </c>
      <c r="M483" s="668"/>
      <c r="N483" s="121" t="s">
        <v>3758</v>
      </c>
      <c r="O483" s="122" t="s">
        <v>3759</v>
      </c>
    </row>
    <row r="484" spans="1:15">
      <c r="A484" s="10" t="s">
        <v>4479</v>
      </c>
      <c r="B484" s="34">
        <v>1734</v>
      </c>
      <c r="C484" s="10" t="s">
        <v>4485</v>
      </c>
      <c r="D484" s="11">
        <v>1</v>
      </c>
      <c r="E484" s="11" t="s">
        <v>4481</v>
      </c>
      <c r="F484" s="11" t="s">
        <v>3785</v>
      </c>
      <c r="G484" s="129">
        <v>44792</v>
      </c>
      <c r="H484" s="161" t="s">
        <v>3768</v>
      </c>
      <c r="I484" s="729"/>
      <c r="J484" s="729"/>
      <c r="K484" s="638"/>
      <c r="L484" s="522">
        <f t="shared" si="7"/>
        <v>0</v>
      </c>
      <c r="M484" s="142"/>
      <c r="N484" s="22"/>
      <c r="O484" s="22" t="s">
        <v>3759</v>
      </c>
    </row>
    <row r="485" spans="1:15">
      <c r="A485" s="10" t="s">
        <v>4388</v>
      </c>
      <c r="B485" s="34" t="s">
        <v>4488</v>
      </c>
      <c r="C485" s="10" t="s">
        <v>4390</v>
      </c>
      <c r="D485" s="11">
        <v>1</v>
      </c>
      <c r="E485" s="11" t="s">
        <v>4430</v>
      </c>
      <c r="F485" s="11" t="s">
        <v>3785</v>
      </c>
      <c r="G485" s="129">
        <v>43948</v>
      </c>
      <c r="H485" s="161" t="s">
        <v>3930</v>
      </c>
      <c r="I485" s="729"/>
      <c r="J485" s="729"/>
      <c r="K485" s="633"/>
      <c r="L485" s="522">
        <f t="shared" si="7"/>
        <v>0</v>
      </c>
      <c r="M485" s="471"/>
      <c r="N485" s="12"/>
      <c r="O485" s="22" t="s">
        <v>3759</v>
      </c>
    </row>
    <row r="486" spans="1:15">
      <c r="A486" s="316" t="s">
        <v>4504</v>
      </c>
      <c r="B486" s="316" t="s">
        <v>4505</v>
      </c>
      <c r="C486" s="316" t="s">
        <v>4506</v>
      </c>
      <c r="D486" s="316">
        <v>1</v>
      </c>
      <c r="E486" s="316" t="s">
        <v>8157</v>
      </c>
      <c r="F486" s="316" t="s">
        <v>3763</v>
      </c>
      <c r="G486" s="316">
        <v>45778</v>
      </c>
      <c r="H486" s="316" t="s">
        <v>3965</v>
      </c>
      <c r="I486" s="316"/>
      <c r="J486" s="316"/>
      <c r="K486" s="316"/>
      <c r="L486" s="522">
        <f t="shared" si="7"/>
        <v>0</v>
      </c>
      <c r="M486" s="318"/>
      <c r="N486" s="407" t="s">
        <v>7995</v>
      </c>
      <c r="O486" s="22" t="s">
        <v>3759</v>
      </c>
    </row>
    <row r="487" spans="1:15" hidden="1">
      <c r="A487" s="316" t="s">
        <v>4836</v>
      </c>
      <c r="B487" s="554" t="s">
        <v>4837</v>
      </c>
      <c r="C487" s="329" t="s">
        <v>4838</v>
      </c>
      <c r="D487" s="555">
        <v>0</v>
      </c>
      <c r="E487" s="556" t="s">
        <v>4595</v>
      </c>
      <c r="F487" s="556" t="s">
        <v>3763</v>
      </c>
      <c r="G487" s="565">
        <v>45456</v>
      </c>
      <c r="H487" s="557" t="s">
        <v>3768</v>
      </c>
      <c r="I487" s="728">
        <v>2850</v>
      </c>
      <c r="J487" s="728"/>
      <c r="K487" s="506"/>
      <c r="L487" s="519">
        <f t="shared" si="7"/>
        <v>2850</v>
      </c>
      <c r="M487" s="736"/>
      <c r="N487" s="107" t="s">
        <v>3758</v>
      </c>
      <c r="O487" s="108" t="s">
        <v>3759</v>
      </c>
    </row>
    <row r="488" spans="1:15" hidden="1">
      <c r="A488" s="316" t="s">
        <v>4839</v>
      </c>
      <c r="B488" s="110" t="s">
        <v>4840</v>
      </c>
      <c r="C488" s="44" t="s">
        <v>4791</v>
      </c>
      <c r="D488" s="111">
        <v>0</v>
      </c>
      <c r="E488" s="111" t="s">
        <v>4229</v>
      </c>
      <c r="F488" s="111" t="s">
        <v>3785</v>
      </c>
      <c r="G488" s="114">
        <v>45681</v>
      </c>
      <c r="H488" s="170" t="s">
        <v>3819</v>
      </c>
      <c r="I488" s="728">
        <v>2500</v>
      </c>
      <c r="J488" s="728"/>
      <c r="K488" s="480"/>
      <c r="L488" s="480">
        <f t="shared" si="7"/>
        <v>2500</v>
      </c>
      <c r="M488" s="524"/>
      <c r="N488" s="112" t="s">
        <v>4041</v>
      </c>
      <c r="O488" s="113" t="s">
        <v>3759</v>
      </c>
    </row>
    <row r="489" spans="1:15">
      <c r="A489" s="10" t="s">
        <v>4507</v>
      </c>
      <c r="B489" s="34" t="s">
        <v>4508</v>
      </c>
      <c r="C489" s="10" t="s">
        <v>4509</v>
      </c>
      <c r="D489" s="11">
        <v>1</v>
      </c>
      <c r="E489" s="11" t="s">
        <v>3927</v>
      </c>
      <c r="F489" s="11" t="s">
        <v>3763</v>
      </c>
      <c r="G489" s="129">
        <v>45804</v>
      </c>
      <c r="H489" s="161" t="s">
        <v>3965</v>
      </c>
      <c r="I489" s="729"/>
      <c r="J489" s="729"/>
      <c r="K489" s="633"/>
      <c r="L489" s="522">
        <f t="shared" si="7"/>
        <v>0</v>
      </c>
      <c r="M489" s="471"/>
      <c r="N489" s="22"/>
      <c r="O489" s="22" t="s">
        <v>3759</v>
      </c>
    </row>
    <row r="490" spans="1:15" hidden="1">
      <c r="A490" s="316" t="s">
        <v>4844</v>
      </c>
      <c r="B490" s="554" t="s">
        <v>4845</v>
      </c>
      <c r="C490" s="329" t="s">
        <v>4846</v>
      </c>
      <c r="D490" s="555">
        <v>0</v>
      </c>
      <c r="E490" s="556" t="s">
        <v>4599</v>
      </c>
      <c r="F490" s="556"/>
      <c r="G490" s="556"/>
      <c r="H490" s="557"/>
      <c r="I490" s="728"/>
      <c r="J490" s="728"/>
      <c r="K490" s="494"/>
      <c r="L490" s="494">
        <f t="shared" si="7"/>
        <v>0</v>
      </c>
      <c r="M490" s="670"/>
      <c r="N490" s="107" t="s">
        <v>3758</v>
      </c>
      <c r="O490" s="108" t="s">
        <v>3759</v>
      </c>
    </row>
    <row r="491" spans="1:15" hidden="1">
      <c r="A491" s="316" t="s">
        <v>4844</v>
      </c>
      <c r="B491" s="8" t="s">
        <v>4847</v>
      </c>
      <c r="C491" s="10" t="s">
        <v>4668</v>
      </c>
      <c r="D491" s="111">
        <v>0</v>
      </c>
      <c r="E491" s="9" t="s">
        <v>4848</v>
      </c>
      <c r="F491" s="9" t="s">
        <v>3785</v>
      </c>
      <c r="G491" s="46">
        <v>45560</v>
      </c>
      <c r="H491" s="119" t="s">
        <v>3819</v>
      </c>
      <c r="I491" s="728">
        <v>4000</v>
      </c>
      <c r="J491" s="728"/>
      <c r="K491" s="146"/>
      <c r="L491" s="517">
        <f t="shared" si="7"/>
        <v>4000</v>
      </c>
      <c r="M491" s="739"/>
      <c r="N491" s="22" t="s">
        <v>3758</v>
      </c>
      <c r="O491" s="106" t="s">
        <v>3759</v>
      </c>
    </row>
    <row r="492" spans="1:15" hidden="1">
      <c r="A492" s="316" t="s">
        <v>4849</v>
      </c>
      <c r="B492" s="8" t="s">
        <v>4850</v>
      </c>
      <c r="C492" s="10" t="s">
        <v>4668</v>
      </c>
      <c r="D492" s="111">
        <v>0</v>
      </c>
      <c r="E492" s="9" t="s">
        <v>4472</v>
      </c>
      <c r="F492" s="9"/>
      <c r="G492" s="9"/>
      <c r="H492" s="119"/>
      <c r="I492" s="728"/>
      <c r="J492" s="728"/>
      <c r="K492" s="138"/>
      <c r="L492" s="138">
        <f t="shared" si="7"/>
        <v>0</v>
      </c>
      <c r="M492" s="471"/>
      <c r="N492" s="22" t="s">
        <v>3758</v>
      </c>
      <c r="O492" s="106" t="s">
        <v>3759</v>
      </c>
    </row>
    <row r="493" spans="1:15" hidden="1">
      <c r="A493" s="316" t="s">
        <v>4849</v>
      </c>
      <c r="B493" s="45">
        <v>14648</v>
      </c>
      <c r="C493" s="44" t="s">
        <v>4668</v>
      </c>
      <c r="D493" s="111">
        <v>0</v>
      </c>
      <c r="E493" s="111" t="s">
        <v>4468</v>
      </c>
      <c r="F493" s="111" t="s">
        <v>3785</v>
      </c>
      <c r="G493" s="114">
        <v>45560</v>
      </c>
      <c r="H493" s="170" t="s">
        <v>3819</v>
      </c>
      <c r="I493" s="728">
        <v>4050</v>
      </c>
      <c r="J493" s="728"/>
      <c r="K493" s="488"/>
      <c r="L493" s="515">
        <f t="shared" si="7"/>
        <v>4050</v>
      </c>
      <c r="M493" s="734"/>
      <c r="N493" s="112" t="s">
        <v>3758</v>
      </c>
      <c r="O493" s="113" t="s">
        <v>3759</v>
      </c>
    </row>
    <row r="494" spans="1:15">
      <c r="A494" s="10" t="s">
        <v>4512</v>
      </c>
      <c r="B494" s="115" t="s">
        <v>4513</v>
      </c>
      <c r="C494" s="10" t="s">
        <v>4440</v>
      </c>
      <c r="D494" s="11">
        <v>1</v>
      </c>
      <c r="E494" s="10" t="s">
        <v>4198</v>
      </c>
      <c r="F494" s="11" t="s">
        <v>3763</v>
      </c>
      <c r="G494" s="129">
        <v>44435</v>
      </c>
      <c r="H494" s="161" t="s">
        <v>3930</v>
      </c>
      <c r="I494" s="729"/>
      <c r="J494" s="729"/>
      <c r="K494" s="636"/>
      <c r="L494" s="522">
        <f t="shared" si="7"/>
        <v>0</v>
      </c>
      <c r="M494" s="142"/>
      <c r="N494" s="22"/>
      <c r="O494" s="22" t="s">
        <v>3759</v>
      </c>
    </row>
    <row r="495" spans="1:15" hidden="1">
      <c r="A495" s="316" t="s">
        <v>4849</v>
      </c>
      <c r="B495" s="558" t="s">
        <v>4851</v>
      </c>
      <c r="C495" s="260" t="s">
        <v>4668</v>
      </c>
      <c r="D495" s="555">
        <v>0</v>
      </c>
      <c r="E495" s="555" t="s">
        <v>4599</v>
      </c>
      <c r="F495" s="555" t="s">
        <v>3785</v>
      </c>
      <c r="G495" s="559">
        <v>45560</v>
      </c>
      <c r="H495" s="475" t="s">
        <v>3819</v>
      </c>
      <c r="I495" s="728">
        <v>4830</v>
      </c>
      <c r="J495" s="728"/>
      <c r="K495" s="497"/>
      <c r="L495" s="497">
        <f t="shared" si="7"/>
        <v>4830</v>
      </c>
      <c r="M495" s="526"/>
      <c r="N495" s="121" t="s">
        <v>3758</v>
      </c>
      <c r="O495" s="122" t="s">
        <v>3759</v>
      </c>
    </row>
    <row r="496" spans="1:15">
      <c r="A496" s="10" t="s">
        <v>4517</v>
      </c>
      <c r="B496" s="34" t="s">
        <v>4518</v>
      </c>
      <c r="C496" s="10" t="s">
        <v>4417</v>
      </c>
      <c r="D496" s="11">
        <v>1</v>
      </c>
      <c r="E496" s="11" t="s">
        <v>4519</v>
      </c>
      <c r="F496" s="11" t="s">
        <v>3763</v>
      </c>
      <c r="G496" s="129">
        <v>45141</v>
      </c>
      <c r="H496" s="161" t="s">
        <v>3834</v>
      </c>
      <c r="I496" s="729"/>
      <c r="J496" s="729"/>
      <c r="K496" s="636"/>
      <c r="L496" s="522">
        <f t="shared" si="7"/>
        <v>0</v>
      </c>
      <c r="M496" s="142"/>
      <c r="N496" s="22"/>
      <c r="O496" s="22" t="s">
        <v>3759</v>
      </c>
    </row>
    <row r="497" spans="1:15" hidden="1">
      <c r="A497" s="316" t="s">
        <v>4849</v>
      </c>
      <c r="B497" s="554" t="s">
        <v>4853</v>
      </c>
      <c r="C497" s="329" t="s">
        <v>4668</v>
      </c>
      <c r="D497" s="555">
        <v>0</v>
      </c>
      <c r="E497" s="556" t="s">
        <v>4848</v>
      </c>
      <c r="F497" s="556" t="s">
        <v>3785</v>
      </c>
      <c r="G497" s="565">
        <v>45078</v>
      </c>
      <c r="H497" s="557" t="s">
        <v>3768</v>
      </c>
      <c r="I497" s="728"/>
      <c r="J497" s="728"/>
      <c r="K497" s="498"/>
      <c r="L497" s="498">
        <f t="shared" si="7"/>
        <v>0</v>
      </c>
      <c r="M497" s="527"/>
      <c r="N497" s="107" t="s">
        <v>3758</v>
      </c>
      <c r="O497" s="108" t="s">
        <v>3759</v>
      </c>
    </row>
    <row r="498" spans="1:15" hidden="1">
      <c r="A498" s="316" t="s">
        <v>4849</v>
      </c>
      <c r="B498" s="8" t="s">
        <v>4854</v>
      </c>
      <c r="C498" s="10" t="s">
        <v>4668</v>
      </c>
      <c r="D498" s="111">
        <v>0</v>
      </c>
      <c r="E498" s="9" t="s">
        <v>4855</v>
      </c>
      <c r="F498" s="9" t="s">
        <v>3785</v>
      </c>
      <c r="G498" s="46">
        <v>45338</v>
      </c>
      <c r="H498" s="119" t="s">
        <v>3768</v>
      </c>
      <c r="I498" s="728"/>
      <c r="J498" s="728"/>
      <c r="K498" s="138"/>
      <c r="L498" s="138">
        <f t="shared" si="7"/>
        <v>0</v>
      </c>
      <c r="M498" s="471"/>
      <c r="N498" s="22" t="s">
        <v>3758</v>
      </c>
      <c r="O498" s="106" t="s">
        <v>3759</v>
      </c>
    </row>
    <row r="499" spans="1:15" hidden="1">
      <c r="A499" s="316" t="s">
        <v>4849</v>
      </c>
      <c r="B499" s="110" t="s">
        <v>4856</v>
      </c>
      <c r="C499" s="44" t="s">
        <v>4846</v>
      </c>
      <c r="D499" s="111">
        <v>0</v>
      </c>
      <c r="E499" s="111" t="s">
        <v>4857</v>
      </c>
      <c r="F499" s="111" t="s">
        <v>3785</v>
      </c>
      <c r="G499" s="114">
        <v>45393</v>
      </c>
      <c r="H499" s="170" t="s">
        <v>3768</v>
      </c>
      <c r="I499" s="728"/>
      <c r="J499" s="728"/>
      <c r="K499" s="478"/>
      <c r="L499" s="478">
        <f t="shared" si="7"/>
        <v>0</v>
      </c>
      <c r="M499" s="524"/>
      <c r="N499" s="112" t="s">
        <v>3758</v>
      </c>
      <c r="O499" s="113" t="s">
        <v>3759</v>
      </c>
    </row>
    <row r="500" spans="1:15">
      <c r="A500" s="10" t="s">
        <v>4520</v>
      </c>
      <c r="B500" s="34" t="s">
        <v>4521</v>
      </c>
      <c r="C500" s="10" t="s">
        <v>4522</v>
      </c>
      <c r="D500" s="11">
        <v>1</v>
      </c>
      <c r="E500" s="11" t="s">
        <v>3957</v>
      </c>
      <c r="F500" s="11" t="s">
        <v>3785</v>
      </c>
      <c r="G500" s="129">
        <v>44334</v>
      </c>
      <c r="H500" s="161" t="s">
        <v>4523</v>
      </c>
      <c r="I500" s="729"/>
      <c r="J500" s="729"/>
      <c r="K500" s="636"/>
      <c r="L500" s="522">
        <f t="shared" si="7"/>
        <v>0</v>
      </c>
      <c r="M500" s="142"/>
      <c r="N500" s="22"/>
      <c r="O500" s="22" t="s">
        <v>3759</v>
      </c>
    </row>
    <row r="501" spans="1:15" hidden="1">
      <c r="A501" s="316" t="s">
        <v>4861</v>
      </c>
      <c r="B501" s="554" t="s">
        <v>4862</v>
      </c>
      <c r="C501" s="329" t="s">
        <v>4863</v>
      </c>
      <c r="D501" s="555">
        <v>0</v>
      </c>
      <c r="E501" s="556" t="s">
        <v>4864</v>
      </c>
      <c r="F501" s="556" t="s">
        <v>3785</v>
      </c>
      <c r="G501" s="565">
        <v>45461</v>
      </c>
      <c r="H501" s="557" t="s">
        <v>3768</v>
      </c>
      <c r="I501" s="728">
        <v>7016</v>
      </c>
      <c r="J501" s="728"/>
      <c r="K501" s="498"/>
      <c r="L501" s="498">
        <f t="shared" si="7"/>
        <v>7016</v>
      </c>
      <c r="M501" s="527"/>
      <c r="N501" s="107" t="s">
        <v>3758</v>
      </c>
      <c r="O501" s="108" t="s">
        <v>3759</v>
      </c>
    </row>
    <row r="502" spans="1:15" hidden="1">
      <c r="A502" s="316" t="s">
        <v>4865</v>
      </c>
      <c r="B502" s="8" t="s">
        <v>4866</v>
      </c>
      <c r="C502" s="10" t="s">
        <v>3809</v>
      </c>
      <c r="D502" s="111">
        <v>0</v>
      </c>
      <c r="E502" s="9" t="s">
        <v>4472</v>
      </c>
      <c r="F502" s="9" t="s">
        <v>3785</v>
      </c>
      <c r="G502" s="46">
        <v>45471</v>
      </c>
      <c r="H502" s="119" t="s">
        <v>3819</v>
      </c>
      <c r="I502" s="728">
        <v>2350</v>
      </c>
      <c r="J502" s="728"/>
      <c r="K502" s="141"/>
      <c r="L502" s="2">
        <f t="shared" si="7"/>
        <v>2350</v>
      </c>
      <c r="M502" s="141"/>
      <c r="N502" s="22" t="s">
        <v>3758</v>
      </c>
      <c r="O502" s="106" t="s">
        <v>3759</v>
      </c>
    </row>
    <row r="503" spans="1:15" hidden="1">
      <c r="A503" s="316" t="s">
        <v>4867</v>
      </c>
      <c r="B503" s="8">
        <v>5212</v>
      </c>
      <c r="C503" s="10" t="s">
        <v>207</v>
      </c>
      <c r="D503" s="111">
        <v>0</v>
      </c>
      <c r="E503" s="9" t="s">
        <v>4868</v>
      </c>
      <c r="F503" s="9"/>
      <c r="G503" s="9"/>
      <c r="H503" s="119"/>
      <c r="I503" s="728"/>
      <c r="J503" s="728"/>
      <c r="K503" s="138"/>
      <c r="L503" s="138">
        <f t="shared" si="7"/>
        <v>0</v>
      </c>
      <c r="M503" s="471"/>
      <c r="N503" s="22" t="s">
        <v>3758</v>
      </c>
      <c r="O503" s="106" t="s">
        <v>3759</v>
      </c>
    </row>
    <row r="504" spans="1:15" hidden="1">
      <c r="A504" s="316" t="s">
        <v>4869</v>
      </c>
      <c r="B504" s="8" t="s">
        <v>4870</v>
      </c>
      <c r="C504" s="10" t="s">
        <v>4871</v>
      </c>
      <c r="D504" s="111">
        <v>0</v>
      </c>
      <c r="E504" s="9" t="s">
        <v>4872</v>
      </c>
      <c r="F504" s="9"/>
      <c r="G504" s="9"/>
      <c r="H504" s="119"/>
      <c r="I504" s="728"/>
      <c r="J504" s="728"/>
      <c r="K504" s="138"/>
      <c r="L504" s="138">
        <f t="shared" si="7"/>
        <v>0</v>
      </c>
      <c r="M504" s="471"/>
      <c r="N504" s="22" t="s">
        <v>3758</v>
      </c>
      <c r="O504" s="106" t="s">
        <v>3759</v>
      </c>
    </row>
    <row r="505" spans="1:15" hidden="1">
      <c r="A505" s="316" t="s">
        <v>4869</v>
      </c>
      <c r="B505" s="8">
        <v>571863768</v>
      </c>
      <c r="C505" s="10" t="s">
        <v>4873</v>
      </c>
      <c r="D505" s="111">
        <v>0</v>
      </c>
      <c r="E505" s="9" t="s">
        <v>4640</v>
      </c>
      <c r="F505" s="9" t="s">
        <v>3785</v>
      </c>
      <c r="G505" s="46">
        <v>45363</v>
      </c>
      <c r="H505" s="119" t="s">
        <v>3768</v>
      </c>
      <c r="I505" s="728">
        <v>3850</v>
      </c>
      <c r="J505" s="728"/>
      <c r="K505" s="141"/>
      <c r="L505" s="2">
        <f t="shared" si="7"/>
        <v>3850</v>
      </c>
      <c r="M505" s="141"/>
      <c r="N505" s="22" t="s">
        <v>3758</v>
      </c>
      <c r="O505" s="106" t="s">
        <v>3804</v>
      </c>
    </row>
    <row r="506" spans="1:15" hidden="1">
      <c r="A506" s="316" t="s">
        <v>4869</v>
      </c>
      <c r="B506" s="13" t="s">
        <v>4874</v>
      </c>
      <c r="C506" s="10" t="s">
        <v>4471</v>
      </c>
      <c r="D506" s="111">
        <v>0</v>
      </c>
      <c r="E506" s="7" t="s">
        <v>4857</v>
      </c>
      <c r="F506" s="7" t="s">
        <v>3785</v>
      </c>
      <c r="G506" s="46">
        <v>45443</v>
      </c>
      <c r="H506" s="119" t="s">
        <v>3819</v>
      </c>
      <c r="I506" s="728">
        <v>9500</v>
      </c>
      <c r="J506" s="728"/>
      <c r="K506" s="214"/>
      <c r="L506" s="521">
        <f t="shared" si="7"/>
        <v>9500</v>
      </c>
      <c r="M506" s="731"/>
      <c r="N506" s="22" t="s">
        <v>3758</v>
      </c>
      <c r="O506" s="106" t="s">
        <v>3759</v>
      </c>
    </row>
    <row r="507" spans="1:15" hidden="1">
      <c r="A507" s="316" t="s">
        <v>4875</v>
      </c>
      <c r="B507" s="110">
        <v>19777</v>
      </c>
      <c r="C507" s="44" t="s">
        <v>418</v>
      </c>
      <c r="D507" s="111">
        <v>0</v>
      </c>
      <c r="E507" s="111" t="s">
        <v>4017</v>
      </c>
      <c r="F507" s="111"/>
      <c r="G507" s="111"/>
      <c r="H507" s="170"/>
      <c r="I507" s="728"/>
      <c r="J507" s="728"/>
      <c r="K507" s="478"/>
      <c r="L507" s="478">
        <f t="shared" si="7"/>
        <v>0</v>
      </c>
      <c r="M507" s="524"/>
      <c r="N507" s="112" t="s">
        <v>3758</v>
      </c>
      <c r="O507" s="113" t="s">
        <v>3759</v>
      </c>
    </row>
    <row r="508" spans="1:15">
      <c r="A508" s="10" t="s">
        <v>4524</v>
      </c>
      <c r="B508" s="34" t="s">
        <v>4525</v>
      </c>
      <c r="C508" s="10" t="s">
        <v>4526</v>
      </c>
      <c r="D508" s="11">
        <v>1</v>
      </c>
      <c r="E508" s="11" t="s">
        <v>4527</v>
      </c>
      <c r="F508" s="11" t="s">
        <v>3763</v>
      </c>
      <c r="G508" s="129">
        <v>44728</v>
      </c>
      <c r="H508" s="161" t="s">
        <v>3934</v>
      </c>
      <c r="I508" s="729"/>
      <c r="J508" s="729"/>
      <c r="K508" s="636"/>
      <c r="L508" s="522">
        <f t="shared" si="7"/>
        <v>0</v>
      </c>
      <c r="M508" s="142"/>
      <c r="N508" s="12"/>
      <c r="O508" s="12" t="s">
        <v>3759</v>
      </c>
    </row>
    <row r="509" spans="1:15">
      <c r="A509" s="10" t="s">
        <v>4524</v>
      </c>
      <c r="B509" s="34" t="s">
        <v>4528</v>
      </c>
      <c r="C509" s="10" t="s">
        <v>4529</v>
      </c>
      <c r="D509" s="11">
        <v>1</v>
      </c>
      <c r="E509" s="11" t="s">
        <v>4530</v>
      </c>
      <c r="F509" s="11" t="s">
        <v>3763</v>
      </c>
      <c r="G509" s="129">
        <v>42912</v>
      </c>
      <c r="H509" s="161" t="s">
        <v>3965</v>
      </c>
      <c r="I509" s="729"/>
      <c r="J509" s="729"/>
      <c r="K509" s="636"/>
      <c r="L509" s="522">
        <f t="shared" si="7"/>
        <v>0</v>
      </c>
      <c r="M509" s="142"/>
      <c r="N509" s="12"/>
      <c r="O509" s="12" t="s">
        <v>3804</v>
      </c>
    </row>
    <row r="510" spans="1:15">
      <c r="A510" s="10" t="s">
        <v>4524</v>
      </c>
      <c r="B510" s="34" t="s">
        <v>4544</v>
      </c>
      <c r="C510" s="10" t="s">
        <v>4529</v>
      </c>
      <c r="D510" s="11">
        <v>1</v>
      </c>
      <c r="E510" s="11" t="s">
        <v>4530</v>
      </c>
      <c r="F510" s="11" t="s">
        <v>3798</v>
      </c>
      <c r="G510" s="129">
        <v>42490</v>
      </c>
      <c r="H510" s="161" t="s">
        <v>4545</v>
      </c>
      <c r="I510" s="729"/>
      <c r="J510" s="729"/>
      <c r="K510" s="636"/>
      <c r="L510" s="522">
        <f t="shared" si="7"/>
        <v>0</v>
      </c>
      <c r="M510" s="142"/>
      <c r="N510" s="12"/>
      <c r="O510" s="12" t="s">
        <v>3759</v>
      </c>
    </row>
    <row r="511" spans="1:15" hidden="1">
      <c r="A511" s="316" t="s">
        <v>4849</v>
      </c>
      <c r="B511" s="554" t="s">
        <v>4883</v>
      </c>
      <c r="C511" s="329" t="s">
        <v>4668</v>
      </c>
      <c r="D511" s="555">
        <v>0</v>
      </c>
      <c r="E511" s="556" t="s">
        <v>4884</v>
      </c>
      <c r="F511" s="556" t="s">
        <v>3785</v>
      </c>
      <c r="G511" s="565">
        <v>45559</v>
      </c>
      <c r="H511" s="557" t="s">
        <v>3819</v>
      </c>
      <c r="I511" s="728">
        <v>6530</v>
      </c>
      <c r="J511" s="728"/>
      <c r="K511" s="506"/>
      <c r="L511" s="519">
        <f t="shared" si="7"/>
        <v>6530</v>
      </c>
      <c r="M511" s="736"/>
      <c r="N511" s="107" t="s">
        <v>3758</v>
      </c>
      <c r="O511" s="108" t="s">
        <v>3759</v>
      </c>
    </row>
    <row r="512" spans="1:15" hidden="1">
      <c r="A512" s="316" t="s">
        <v>4729</v>
      </c>
      <c r="B512" s="126">
        <v>2888</v>
      </c>
      <c r="C512" s="10" t="s">
        <v>4885</v>
      </c>
      <c r="D512" s="111">
        <v>0</v>
      </c>
      <c r="E512" s="9" t="s">
        <v>4029</v>
      </c>
      <c r="F512" s="9" t="s">
        <v>3763</v>
      </c>
      <c r="G512" s="46">
        <v>45562</v>
      </c>
      <c r="H512" s="119" t="s">
        <v>4142</v>
      </c>
      <c r="I512" s="728">
        <v>645.23</v>
      </c>
      <c r="J512" s="728"/>
      <c r="K512" s="137"/>
      <c r="L512" s="137">
        <f t="shared" si="7"/>
        <v>645.23</v>
      </c>
      <c r="M512" s="487"/>
      <c r="N512" s="22" t="s">
        <v>4041</v>
      </c>
      <c r="O512" s="106" t="s">
        <v>3759</v>
      </c>
    </row>
    <row r="513" spans="1:15" hidden="1">
      <c r="A513" s="316" t="s">
        <v>4886</v>
      </c>
      <c r="B513" s="110">
        <v>2061</v>
      </c>
      <c r="C513" s="44" t="s">
        <v>207</v>
      </c>
      <c r="D513" s="111">
        <v>0</v>
      </c>
      <c r="E513" s="111" t="s">
        <v>4887</v>
      </c>
      <c r="F513" s="111" t="s">
        <v>3763</v>
      </c>
      <c r="G513" s="114">
        <v>44713</v>
      </c>
      <c r="H513" s="170" t="s">
        <v>3768</v>
      </c>
      <c r="I513" s="728">
        <v>2250</v>
      </c>
      <c r="J513" s="728"/>
      <c r="K513" s="481"/>
      <c r="L513" s="551">
        <f t="shared" si="7"/>
        <v>2250</v>
      </c>
      <c r="M513" s="490"/>
      <c r="N513" s="112" t="s">
        <v>3758</v>
      </c>
      <c r="O513" s="113" t="s">
        <v>3759</v>
      </c>
    </row>
    <row r="514" spans="1:15">
      <c r="A514" s="10" t="s">
        <v>4438</v>
      </c>
      <c r="B514" s="34" t="s">
        <v>4548</v>
      </c>
      <c r="C514" s="10" t="s">
        <v>4440</v>
      </c>
      <c r="D514" s="11">
        <v>1</v>
      </c>
      <c r="E514" s="10" t="s">
        <v>4371</v>
      </c>
      <c r="F514" s="11" t="s">
        <v>3785</v>
      </c>
      <c r="G514" s="129">
        <v>45595</v>
      </c>
      <c r="H514" s="161" t="s">
        <v>3834</v>
      </c>
      <c r="I514" s="729"/>
      <c r="J514" s="729"/>
      <c r="K514" s="633"/>
      <c r="L514" s="522">
        <f t="shared" si="7"/>
        <v>0</v>
      </c>
      <c r="M514" s="471"/>
      <c r="N514" s="22"/>
      <c r="O514" s="22" t="s">
        <v>3759</v>
      </c>
    </row>
    <row r="515" spans="1:15">
      <c r="A515" s="10" t="s">
        <v>4556</v>
      </c>
      <c r="B515" s="34" t="s">
        <v>4557</v>
      </c>
      <c r="C515" s="10" t="s">
        <v>4558</v>
      </c>
      <c r="D515" s="11">
        <v>1</v>
      </c>
      <c r="E515" s="11" t="s">
        <v>4559</v>
      </c>
      <c r="F515" s="11" t="s">
        <v>3785</v>
      </c>
      <c r="G515" s="129">
        <v>44897</v>
      </c>
      <c r="H515" s="161" t="s">
        <v>4081</v>
      </c>
      <c r="I515" s="729"/>
      <c r="J515" s="729"/>
      <c r="K515" s="636"/>
      <c r="L515" s="522">
        <f t="shared" si="7"/>
        <v>0</v>
      </c>
      <c r="M515" s="142"/>
      <c r="N515" s="22"/>
      <c r="O515" s="22" t="s">
        <v>3759</v>
      </c>
    </row>
    <row r="516" spans="1:15" hidden="1">
      <c r="A516" s="316" t="s">
        <v>4895</v>
      </c>
      <c r="B516" s="554">
        <v>6501</v>
      </c>
      <c r="C516" s="329" t="s">
        <v>4440</v>
      </c>
      <c r="D516" s="555">
        <v>0</v>
      </c>
      <c r="E516" s="556" t="s">
        <v>4896</v>
      </c>
      <c r="F516" s="556" t="s">
        <v>3763</v>
      </c>
      <c r="G516" s="565">
        <v>43942</v>
      </c>
      <c r="H516" s="557" t="s">
        <v>3930</v>
      </c>
      <c r="I516" s="728">
        <v>1588.28</v>
      </c>
      <c r="J516" s="728"/>
      <c r="K516" s="496"/>
      <c r="L516" s="657">
        <f t="shared" ref="L516:L579" si="8">IF(OR(I516="", K516=""), I516 + K516, I516 + K516)</f>
        <v>1588.28</v>
      </c>
      <c r="M516" s="503"/>
      <c r="N516" s="107" t="s">
        <v>3758</v>
      </c>
      <c r="O516" s="583" t="s">
        <v>3759</v>
      </c>
    </row>
    <row r="517" spans="1:15" hidden="1">
      <c r="A517" s="316" t="s">
        <v>4897</v>
      </c>
      <c r="B517" s="110" t="s">
        <v>4898</v>
      </c>
      <c r="C517" s="44" t="s">
        <v>4307</v>
      </c>
      <c r="D517" s="111">
        <v>0</v>
      </c>
      <c r="E517" s="114" t="s">
        <v>3771</v>
      </c>
      <c r="F517" s="114"/>
      <c r="G517" s="114"/>
      <c r="H517" s="537"/>
      <c r="I517" s="728"/>
      <c r="J517" s="728"/>
      <c r="K517" s="478"/>
      <c r="L517" s="478">
        <f t="shared" si="8"/>
        <v>0</v>
      </c>
      <c r="M517" s="524"/>
      <c r="N517" s="112" t="s">
        <v>3758</v>
      </c>
      <c r="O517" s="113" t="s">
        <v>3759</v>
      </c>
    </row>
    <row r="518" spans="1:15">
      <c r="A518" s="10" t="s">
        <v>4560</v>
      </c>
      <c r="B518" s="449" t="s">
        <v>4561</v>
      </c>
      <c r="C518" s="10" t="s">
        <v>4562</v>
      </c>
      <c r="D518" s="11">
        <v>1</v>
      </c>
      <c r="E518" s="10" t="s">
        <v>4078</v>
      </c>
      <c r="F518" s="11" t="s">
        <v>3763</v>
      </c>
      <c r="G518" s="129">
        <v>45097</v>
      </c>
      <c r="H518" s="161" t="s">
        <v>3834</v>
      </c>
      <c r="I518" s="729"/>
      <c r="J518" s="729"/>
      <c r="K518" s="635"/>
      <c r="L518" s="522">
        <f t="shared" si="8"/>
        <v>0</v>
      </c>
      <c r="M518" s="740">
        <v>5750</v>
      </c>
      <c r="N518" s="12"/>
      <c r="O518" s="12" t="s">
        <v>3759</v>
      </c>
    </row>
    <row r="519" spans="1:15" hidden="1">
      <c r="A519" s="316" t="s">
        <v>4901</v>
      </c>
      <c r="B519" s="554" t="s">
        <v>4902</v>
      </c>
      <c r="C519" s="329" t="s">
        <v>4903</v>
      </c>
      <c r="D519" s="555">
        <v>0</v>
      </c>
      <c r="E519" s="556" t="s">
        <v>4542</v>
      </c>
      <c r="F519" s="556" t="s">
        <v>3785</v>
      </c>
      <c r="G519" s="565">
        <v>45040</v>
      </c>
      <c r="H519" s="557" t="s">
        <v>3768</v>
      </c>
      <c r="I519" s="728"/>
      <c r="J519" s="728"/>
      <c r="K519" s="498"/>
      <c r="L519" s="498">
        <f t="shared" si="8"/>
        <v>0</v>
      </c>
      <c r="M519" s="527"/>
      <c r="N519" s="107" t="s">
        <v>3758</v>
      </c>
      <c r="O519" s="583" t="s">
        <v>3759</v>
      </c>
    </row>
    <row r="520" spans="1:15" hidden="1">
      <c r="A520" s="316" t="s">
        <v>4901</v>
      </c>
      <c r="B520" s="110" t="s">
        <v>4904</v>
      </c>
      <c r="C520" s="44" t="s">
        <v>4903</v>
      </c>
      <c r="D520" s="111">
        <v>0</v>
      </c>
      <c r="E520" s="111" t="s">
        <v>4542</v>
      </c>
      <c r="F520" s="111"/>
      <c r="G520" s="111"/>
      <c r="H520" s="170"/>
      <c r="I520" s="728"/>
      <c r="J520" s="728"/>
      <c r="K520" s="478"/>
      <c r="L520" s="478">
        <f t="shared" si="8"/>
        <v>0</v>
      </c>
      <c r="M520" s="524"/>
      <c r="N520" s="112" t="s">
        <v>3758</v>
      </c>
      <c r="O520" s="113" t="s">
        <v>3759</v>
      </c>
    </row>
    <row r="521" spans="1:15">
      <c r="A521" s="10" t="s">
        <v>4560</v>
      </c>
      <c r="B521" s="449" t="s">
        <v>4563</v>
      </c>
      <c r="C521" s="10" t="s">
        <v>4562</v>
      </c>
      <c r="D521" s="11">
        <v>1</v>
      </c>
      <c r="E521" s="11" t="s">
        <v>4564</v>
      </c>
      <c r="F521" s="11" t="s">
        <v>3763</v>
      </c>
      <c r="G521" s="129">
        <v>44832</v>
      </c>
      <c r="H521" s="161" t="s">
        <v>3930</v>
      </c>
      <c r="I521" s="729"/>
      <c r="J521" s="729"/>
      <c r="K521" s="635"/>
      <c r="L521" s="522">
        <f t="shared" si="8"/>
        <v>0</v>
      </c>
      <c r="M521" s="740">
        <v>5750</v>
      </c>
      <c r="N521" s="22"/>
      <c r="O521" s="22" t="s">
        <v>3759</v>
      </c>
    </row>
    <row r="522" spans="1:15" hidden="1">
      <c r="A522" s="316" t="s">
        <v>4905</v>
      </c>
      <c r="B522" s="558">
        <v>20707513</v>
      </c>
      <c r="C522" s="260" t="s">
        <v>4906</v>
      </c>
      <c r="D522" s="555">
        <v>0</v>
      </c>
      <c r="E522" s="555" t="s">
        <v>4907</v>
      </c>
      <c r="F522" s="555"/>
      <c r="G522" s="555"/>
      <c r="H522" s="475"/>
      <c r="I522" s="728"/>
      <c r="J522" s="728"/>
      <c r="K522" s="497"/>
      <c r="L522" s="497">
        <f t="shared" si="8"/>
        <v>0</v>
      </c>
      <c r="M522" s="526"/>
      <c r="N522" s="121" t="s">
        <v>3758</v>
      </c>
      <c r="O522" s="122" t="s">
        <v>3759</v>
      </c>
    </row>
    <row r="523" spans="1:15">
      <c r="A523" s="10" t="s">
        <v>4560</v>
      </c>
      <c r="B523" s="449" t="s">
        <v>4435</v>
      </c>
      <c r="C523" s="10" t="s">
        <v>4562</v>
      </c>
      <c r="D523" s="11">
        <v>1</v>
      </c>
      <c r="E523" s="11" t="s">
        <v>4565</v>
      </c>
      <c r="F523" s="11" t="s">
        <v>3785</v>
      </c>
      <c r="G523" s="129">
        <v>44771</v>
      </c>
      <c r="H523" s="161" t="s">
        <v>4081</v>
      </c>
      <c r="I523" s="729"/>
      <c r="J523" s="729"/>
      <c r="K523" s="635"/>
      <c r="L523" s="522">
        <f t="shared" si="8"/>
        <v>0</v>
      </c>
      <c r="M523" s="740">
        <v>10000</v>
      </c>
      <c r="N523" s="12"/>
      <c r="O523" s="12" t="s">
        <v>3759</v>
      </c>
    </row>
    <row r="524" spans="1:15">
      <c r="A524" s="10" t="s">
        <v>4573</v>
      </c>
      <c r="B524" s="34">
        <v>391</v>
      </c>
      <c r="C524" s="10" t="s">
        <v>4574</v>
      </c>
      <c r="D524" s="11">
        <v>1</v>
      </c>
      <c r="E524" s="11" t="s">
        <v>3968</v>
      </c>
      <c r="F524" s="11" t="s">
        <v>3763</v>
      </c>
      <c r="G524" s="129">
        <v>44816</v>
      </c>
      <c r="H524" s="161" t="s">
        <v>3951</v>
      </c>
      <c r="I524" s="729"/>
      <c r="J524" s="729"/>
      <c r="K524" s="636"/>
      <c r="L524" s="522">
        <f t="shared" si="8"/>
        <v>0</v>
      </c>
      <c r="M524" s="142"/>
      <c r="N524" s="22"/>
      <c r="O524" s="22" t="s">
        <v>3759</v>
      </c>
    </row>
    <row r="525" spans="1:15">
      <c r="A525" s="10" t="s">
        <v>4573</v>
      </c>
      <c r="B525" s="34">
        <v>906</v>
      </c>
      <c r="C525" s="10" t="s">
        <v>4574</v>
      </c>
      <c r="D525" s="11">
        <v>1</v>
      </c>
      <c r="E525" s="10" t="s">
        <v>4198</v>
      </c>
      <c r="F525" s="11" t="s">
        <v>3763</v>
      </c>
      <c r="G525" s="129">
        <v>44994</v>
      </c>
      <c r="H525" s="161" t="s">
        <v>3951</v>
      </c>
      <c r="I525" s="729"/>
      <c r="J525" s="729"/>
      <c r="K525" s="636"/>
      <c r="L525" s="522">
        <f t="shared" si="8"/>
        <v>0</v>
      </c>
      <c r="M525" s="142"/>
      <c r="N525" s="22"/>
      <c r="O525" s="22" t="s">
        <v>3759</v>
      </c>
    </row>
    <row r="526" spans="1:15" hidden="1">
      <c r="A526" s="316" t="s">
        <v>4917</v>
      </c>
      <c r="B526" s="558">
        <v>3162</v>
      </c>
      <c r="C526" s="260" t="s">
        <v>3918</v>
      </c>
      <c r="D526" s="555">
        <v>0</v>
      </c>
      <c r="E526" s="555" t="s">
        <v>3968</v>
      </c>
      <c r="F526" s="555"/>
      <c r="G526" s="555"/>
      <c r="H526" s="475"/>
      <c r="I526" s="728"/>
      <c r="J526" s="728"/>
      <c r="K526" s="497"/>
      <c r="L526" s="497">
        <f t="shared" si="8"/>
        <v>0</v>
      </c>
      <c r="M526" s="526"/>
      <c r="N526" s="121" t="s">
        <v>3758</v>
      </c>
      <c r="O526" s="122" t="s">
        <v>3759</v>
      </c>
    </row>
    <row r="527" spans="1:15">
      <c r="A527" s="10" t="s">
        <v>4581</v>
      </c>
      <c r="B527" s="34" t="s">
        <v>4582</v>
      </c>
      <c r="C527" s="10" t="s">
        <v>3988</v>
      </c>
      <c r="D527" s="11">
        <v>1</v>
      </c>
      <c r="E527" s="11" t="s">
        <v>4583</v>
      </c>
      <c r="F527" s="11" t="s">
        <v>3785</v>
      </c>
      <c r="G527" s="129">
        <v>44574</v>
      </c>
      <c r="H527" s="161" t="s">
        <v>3768</v>
      </c>
      <c r="I527" s="729"/>
      <c r="J527" s="729"/>
      <c r="K527" s="636"/>
      <c r="L527" s="522">
        <f t="shared" si="8"/>
        <v>0</v>
      </c>
      <c r="M527" s="142"/>
      <c r="N527" s="22"/>
      <c r="O527" s="22" t="s">
        <v>3759</v>
      </c>
    </row>
    <row r="528" spans="1:15">
      <c r="A528" s="10" t="s">
        <v>4463</v>
      </c>
      <c r="B528" s="449">
        <v>3312</v>
      </c>
      <c r="C528" s="10" t="s">
        <v>4464</v>
      </c>
      <c r="D528" s="11">
        <v>1</v>
      </c>
      <c r="E528" s="11" t="s">
        <v>4584</v>
      </c>
      <c r="F528" s="11" t="s">
        <v>3785</v>
      </c>
      <c r="G528" s="129">
        <v>44771</v>
      </c>
      <c r="H528" s="161" t="s">
        <v>3768</v>
      </c>
      <c r="I528" s="729"/>
      <c r="J528" s="729"/>
      <c r="K528" s="636"/>
      <c r="L528" s="522">
        <f t="shared" si="8"/>
        <v>0</v>
      </c>
      <c r="M528" s="142"/>
      <c r="N528" s="22"/>
      <c r="O528" s="22" t="s">
        <v>3759</v>
      </c>
    </row>
    <row r="529" spans="1:15" hidden="1">
      <c r="A529" s="316" t="s">
        <v>4917</v>
      </c>
      <c r="B529" s="558">
        <v>5397</v>
      </c>
      <c r="C529" s="260" t="s">
        <v>4919</v>
      </c>
      <c r="D529" s="555">
        <v>0</v>
      </c>
      <c r="E529" s="555" t="s">
        <v>3927</v>
      </c>
      <c r="F529" s="555" t="s">
        <v>3763</v>
      </c>
      <c r="G529" s="559">
        <v>45523</v>
      </c>
      <c r="H529" s="475" t="s">
        <v>3934</v>
      </c>
      <c r="I529" s="728"/>
      <c r="J529" s="728"/>
      <c r="K529" s="169"/>
      <c r="L529" s="169">
        <f t="shared" si="8"/>
        <v>0</v>
      </c>
      <c r="M529" s="668"/>
      <c r="N529" s="121" t="s">
        <v>3758</v>
      </c>
      <c r="O529" s="122" t="s">
        <v>3759</v>
      </c>
    </row>
    <row r="530" spans="1:15">
      <c r="A530" s="10" t="s">
        <v>168</v>
      </c>
      <c r="B530" s="115" t="s">
        <v>3748</v>
      </c>
      <c r="C530" s="10" t="s">
        <v>27</v>
      </c>
      <c r="D530" s="11">
        <v>4</v>
      </c>
      <c r="E530" s="10" t="s">
        <v>3784</v>
      </c>
      <c r="F530" s="10" t="s">
        <v>3780</v>
      </c>
      <c r="G530" s="129">
        <v>45630</v>
      </c>
      <c r="H530" s="161" t="s">
        <v>4585</v>
      </c>
      <c r="I530" s="729"/>
      <c r="J530" s="729"/>
      <c r="K530" s="633"/>
      <c r="L530" s="522">
        <f t="shared" si="8"/>
        <v>0</v>
      </c>
      <c r="M530" s="471"/>
      <c r="N530" s="22"/>
      <c r="O530" s="22" t="s">
        <v>3759</v>
      </c>
    </row>
    <row r="531" spans="1:15">
      <c r="A531" s="10" t="s">
        <v>4588</v>
      </c>
      <c r="B531" s="34" t="s">
        <v>4589</v>
      </c>
      <c r="C531" s="10" t="s">
        <v>4476</v>
      </c>
      <c r="D531" s="11">
        <v>1</v>
      </c>
      <c r="E531" s="11" t="s">
        <v>4590</v>
      </c>
      <c r="F531" s="11" t="s">
        <v>3785</v>
      </c>
      <c r="G531" s="129">
        <v>45320</v>
      </c>
      <c r="H531" s="161" t="s">
        <v>3834</v>
      </c>
      <c r="I531" s="729"/>
      <c r="J531" s="729"/>
      <c r="K531" s="634"/>
      <c r="L531" s="522">
        <f t="shared" si="8"/>
        <v>0</v>
      </c>
      <c r="M531" s="141"/>
      <c r="N531" s="22"/>
      <c r="O531" s="22" t="s">
        <v>3759</v>
      </c>
    </row>
    <row r="532" spans="1:15">
      <c r="A532" s="10" t="s">
        <v>4588</v>
      </c>
      <c r="B532" s="34" t="s">
        <v>4591</v>
      </c>
      <c r="C532" s="10" t="s">
        <v>4476</v>
      </c>
      <c r="D532" s="11">
        <v>1</v>
      </c>
      <c r="E532" s="11" t="s">
        <v>4590</v>
      </c>
      <c r="F532" s="11" t="s">
        <v>3785</v>
      </c>
      <c r="G532" s="129">
        <v>45320</v>
      </c>
      <c r="H532" s="161" t="s">
        <v>3834</v>
      </c>
      <c r="I532" s="729"/>
      <c r="J532" s="729"/>
      <c r="K532" s="634"/>
      <c r="L532" s="522">
        <f t="shared" si="8"/>
        <v>0</v>
      </c>
      <c r="M532" s="141"/>
      <c r="N532" s="22"/>
      <c r="O532" s="22" t="s">
        <v>3759</v>
      </c>
    </row>
    <row r="533" spans="1:15" hidden="1">
      <c r="A533" s="316" t="s">
        <v>4926</v>
      </c>
      <c r="B533" s="558">
        <v>3949</v>
      </c>
      <c r="C533" s="260" t="s">
        <v>4927</v>
      </c>
      <c r="D533" s="555">
        <v>0</v>
      </c>
      <c r="E533" s="555" t="s">
        <v>3927</v>
      </c>
      <c r="F533" s="555"/>
      <c r="G533" s="555"/>
      <c r="H533" s="475"/>
      <c r="I533" s="728"/>
      <c r="J533" s="728"/>
      <c r="K533" s="169"/>
      <c r="L533" s="169">
        <f t="shared" si="8"/>
        <v>0</v>
      </c>
      <c r="M533" s="668"/>
      <c r="N533" s="584" t="s">
        <v>3758</v>
      </c>
      <c r="O533" s="122" t="s">
        <v>3759</v>
      </c>
    </row>
    <row r="534" spans="1:15">
      <c r="A534" s="10" t="s">
        <v>4486</v>
      </c>
      <c r="B534" s="34">
        <v>14016</v>
      </c>
      <c r="C534" s="10" t="s">
        <v>690</v>
      </c>
      <c r="D534" s="11">
        <v>1</v>
      </c>
      <c r="E534" s="11" t="s">
        <v>3771</v>
      </c>
      <c r="F534" s="11" t="s">
        <v>3763</v>
      </c>
      <c r="G534" s="129">
        <v>45474</v>
      </c>
      <c r="H534" s="161" t="s">
        <v>3799</v>
      </c>
      <c r="I534" s="729"/>
      <c r="J534" s="729"/>
      <c r="K534" s="634"/>
      <c r="L534" s="522">
        <f t="shared" si="8"/>
        <v>0</v>
      </c>
      <c r="M534" s="141"/>
      <c r="N534" s="22"/>
      <c r="O534" s="22" t="s">
        <v>3759</v>
      </c>
    </row>
    <row r="535" spans="1:15" hidden="1">
      <c r="A535" s="316" t="s">
        <v>4926</v>
      </c>
      <c r="B535" s="554">
        <v>1868</v>
      </c>
      <c r="C535" s="329" t="s">
        <v>4927</v>
      </c>
      <c r="D535" s="555">
        <v>0</v>
      </c>
      <c r="E535" s="556" t="s">
        <v>3927</v>
      </c>
      <c r="F535" s="556" t="s">
        <v>3763</v>
      </c>
      <c r="G535" s="565">
        <v>45104</v>
      </c>
      <c r="H535" s="557" t="s">
        <v>3934</v>
      </c>
      <c r="I535" s="728">
        <v>3295</v>
      </c>
      <c r="J535" s="728"/>
      <c r="K535" s="505"/>
      <c r="L535" s="655">
        <f t="shared" si="8"/>
        <v>3295</v>
      </c>
      <c r="M535" s="512"/>
      <c r="N535" s="107" t="s">
        <v>3758</v>
      </c>
      <c r="O535" s="108" t="s">
        <v>3759</v>
      </c>
    </row>
    <row r="536" spans="1:15" hidden="1">
      <c r="A536" s="316" t="s">
        <v>4930</v>
      </c>
      <c r="B536" s="8">
        <v>6672</v>
      </c>
      <c r="C536" s="10" t="s">
        <v>4931</v>
      </c>
      <c r="D536" s="111">
        <v>0</v>
      </c>
      <c r="E536" s="9" t="s">
        <v>3922</v>
      </c>
      <c r="F536" s="9"/>
      <c r="G536" s="9"/>
      <c r="H536" s="119"/>
      <c r="I536" s="728"/>
      <c r="J536" s="728"/>
      <c r="K536" s="138"/>
      <c r="L536" s="138">
        <f t="shared" si="8"/>
        <v>0</v>
      </c>
      <c r="M536" s="471"/>
      <c r="N536" s="22" t="s">
        <v>3758</v>
      </c>
      <c r="O536" s="106" t="s">
        <v>3759</v>
      </c>
    </row>
    <row r="537" spans="1:15" hidden="1">
      <c r="A537" s="316" t="s">
        <v>4930</v>
      </c>
      <c r="B537" s="8">
        <v>1566</v>
      </c>
      <c r="C537" s="10" t="s">
        <v>4931</v>
      </c>
      <c r="D537" s="111">
        <v>0</v>
      </c>
      <c r="E537" s="9" t="s">
        <v>4198</v>
      </c>
      <c r="F537" s="9"/>
      <c r="G537" s="9"/>
      <c r="H537" s="119"/>
      <c r="I537" s="728"/>
      <c r="J537" s="728"/>
      <c r="K537" s="138"/>
      <c r="L537" s="138">
        <f t="shared" si="8"/>
        <v>0</v>
      </c>
      <c r="M537" s="471"/>
      <c r="N537" s="22" t="s">
        <v>3758</v>
      </c>
      <c r="O537" s="106" t="s">
        <v>3759</v>
      </c>
    </row>
    <row r="538" spans="1:15" hidden="1">
      <c r="A538" s="316" t="s">
        <v>4930</v>
      </c>
      <c r="B538" s="110">
        <v>4057</v>
      </c>
      <c r="C538" s="44" t="s">
        <v>4931</v>
      </c>
      <c r="D538" s="111">
        <v>0</v>
      </c>
      <c r="E538" s="111" t="s">
        <v>3950</v>
      </c>
      <c r="F538" s="111"/>
      <c r="G538" s="111"/>
      <c r="H538" s="170"/>
      <c r="I538" s="728"/>
      <c r="J538" s="728"/>
      <c r="K538" s="478"/>
      <c r="L538" s="478">
        <f t="shared" si="8"/>
        <v>0</v>
      </c>
      <c r="M538" s="524"/>
      <c r="N538" s="112" t="s">
        <v>3758</v>
      </c>
      <c r="O538" s="113" t="s">
        <v>3759</v>
      </c>
    </row>
    <row r="539" spans="1:15">
      <c r="A539" s="10" t="s">
        <v>4486</v>
      </c>
      <c r="B539" s="34">
        <v>6687</v>
      </c>
      <c r="C539" s="10" t="s">
        <v>690</v>
      </c>
      <c r="D539" s="11">
        <v>1</v>
      </c>
      <c r="E539" s="11" t="s">
        <v>3771</v>
      </c>
      <c r="F539" s="11" t="s">
        <v>3763</v>
      </c>
      <c r="G539" s="129">
        <v>45474</v>
      </c>
      <c r="H539" s="161" t="s">
        <v>3799</v>
      </c>
      <c r="I539" s="729"/>
      <c r="J539" s="729"/>
      <c r="K539" s="634"/>
      <c r="L539" s="522">
        <f t="shared" si="8"/>
        <v>0</v>
      </c>
      <c r="M539" s="474">
        <v>6500</v>
      </c>
      <c r="N539" s="22"/>
      <c r="O539" s="22" t="s">
        <v>3759</v>
      </c>
    </row>
    <row r="540" spans="1:15">
      <c r="A540" s="10" t="s">
        <v>4489</v>
      </c>
      <c r="B540" s="115" t="s">
        <v>4614</v>
      </c>
      <c r="C540" s="10" t="s">
        <v>4615</v>
      </c>
      <c r="D540" s="11">
        <v>1</v>
      </c>
      <c r="E540" s="11" t="s">
        <v>3774</v>
      </c>
      <c r="F540" s="11" t="s">
        <v>3763</v>
      </c>
      <c r="G540" s="129">
        <v>45588</v>
      </c>
      <c r="H540" s="161" t="s">
        <v>3799</v>
      </c>
      <c r="I540" s="729"/>
      <c r="J540" s="729"/>
      <c r="K540" s="633"/>
      <c r="L540" s="522">
        <f t="shared" si="8"/>
        <v>0</v>
      </c>
      <c r="M540" s="471"/>
      <c r="N540" s="22"/>
      <c r="O540" s="22" t="s">
        <v>3759</v>
      </c>
    </row>
    <row r="541" spans="1:15">
      <c r="A541" s="10" t="s">
        <v>4625</v>
      </c>
      <c r="B541" s="34">
        <v>299710</v>
      </c>
      <c r="C541" s="10" t="s">
        <v>690</v>
      </c>
      <c r="D541" s="11">
        <v>1</v>
      </c>
      <c r="E541" s="11" t="s">
        <v>4626</v>
      </c>
      <c r="F541" s="11" t="s">
        <v>3780</v>
      </c>
      <c r="G541" s="129">
        <v>44242</v>
      </c>
      <c r="H541" s="161" t="s">
        <v>4627</v>
      </c>
      <c r="I541" s="729"/>
      <c r="J541" s="729"/>
      <c r="K541" s="636"/>
      <c r="L541" s="522">
        <f t="shared" si="8"/>
        <v>0</v>
      </c>
      <c r="M541" s="142"/>
      <c r="N541" s="22"/>
      <c r="O541" s="22" t="s">
        <v>3759</v>
      </c>
    </row>
    <row r="542" spans="1:15">
      <c r="A542" s="10" t="s">
        <v>4632</v>
      </c>
      <c r="B542" s="34" t="s">
        <v>4633</v>
      </c>
      <c r="C542" s="10" t="s">
        <v>4497</v>
      </c>
      <c r="D542" s="11">
        <v>1</v>
      </c>
      <c r="E542" s="11" t="s">
        <v>4634</v>
      </c>
      <c r="F542" s="11" t="s">
        <v>3763</v>
      </c>
      <c r="G542" s="129">
        <v>45314</v>
      </c>
      <c r="H542" s="161" t="s">
        <v>4635</v>
      </c>
      <c r="I542" s="729"/>
      <c r="J542" s="729"/>
      <c r="K542" s="634"/>
      <c r="L542" s="522">
        <f t="shared" si="8"/>
        <v>0</v>
      </c>
      <c r="M542" s="141"/>
      <c r="N542" s="22"/>
      <c r="O542" s="22" t="s">
        <v>3759</v>
      </c>
    </row>
    <row r="543" spans="1:15">
      <c r="A543" s="10" t="s">
        <v>4636</v>
      </c>
      <c r="B543" s="34">
        <v>2348</v>
      </c>
      <c r="C543" s="10" t="s">
        <v>4637</v>
      </c>
      <c r="D543" s="11">
        <v>1</v>
      </c>
      <c r="E543" s="11" t="s">
        <v>3797</v>
      </c>
      <c r="F543" s="11" t="s">
        <v>3785</v>
      </c>
      <c r="G543" s="129">
        <v>45502</v>
      </c>
      <c r="H543" s="161" t="s">
        <v>3799</v>
      </c>
      <c r="I543" s="729"/>
      <c r="J543" s="729"/>
      <c r="K543" s="634"/>
      <c r="L543" s="522">
        <f t="shared" si="8"/>
        <v>0</v>
      </c>
      <c r="M543" s="141"/>
      <c r="N543" s="22"/>
      <c r="O543" s="22" t="s">
        <v>3759</v>
      </c>
    </row>
    <row r="544" spans="1:15" hidden="1">
      <c r="A544" s="316" t="s">
        <v>4945</v>
      </c>
      <c r="B544" s="554" t="s">
        <v>4946</v>
      </c>
      <c r="C544" s="329" t="s">
        <v>4947</v>
      </c>
      <c r="D544" s="555">
        <v>0</v>
      </c>
      <c r="E544" s="556" t="s">
        <v>3957</v>
      </c>
      <c r="F544" s="556"/>
      <c r="G544" s="556"/>
      <c r="H544" s="557"/>
      <c r="I544" s="728"/>
      <c r="J544" s="728"/>
      <c r="K544" s="494"/>
      <c r="L544" s="494">
        <f t="shared" si="8"/>
        <v>0</v>
      </c>
      <c r="M544" s="670"/>
      <c r="N544" s="107" t="s">
        <v>3758</v>
      </c>
      <c r="O544" s="108" t="s">
        <v>3759</v>
      </c>
    </row>
    <row r="545" spans="1:15" hidden="1">
      <c r="A545" s="316" t="s">
        <v>4948</v>
      </c>
      <c r="B545" s="110" t="s">
        <v>4949</v>
      </c>
      <c r="C545" s="44" t="s">
        <v>2264</v>
      </c>
      <c r="D545" s="111">
        <v>0</v>
      </c>
      <c r="E545" s="111" t="s">
        <v>4950</v>
      </c>
      <c r="F545" s="111"/>
      <c r="G545" s="111"/>
      <c r="H545" s="170"/>
      <c r="I545" s="728"/>
      <c r="J545" s="728"/>
      <c r="K545" s="136"/>
      <c r="L545" s="136">
        <f t="shared" si="8"/>
        <v>0</v>
      </c>
      <c r="M545" s="525"/>
      <c r="N545" s="112" t="s">
        <v>3758</v>
      </c>
      <c r="O545" s="113" t="s">
        <v>3759</v>
      </c>
    </row>
    <row r="546" spans="1:15">
      <c r="A546" s="10" t="s">
        <v>4636</v>
      </c>
      <c r="B546" s="34" t="s">
        <v>4638</v>
      </c>
      <c r="C546" s="10" t="s">
        <v>4637</v>
      </c>
      <c r="D546" s="11">
        <v>1</v>
      </c>
      <c r="E546" s="11" t="s">
        <v>3797</v>
      </c>
      <c r="F546" s="11" t="s">
        <v>3785</v>
      </c>
      <c r="G546" s="129">
        <v>45502</v>
      </c>
      <c r="H546" s="161" t="s">
        <v>3799</v>
      </c>
      <c r="I546" s="729"/>
      <c r="J546" s="729"/>
      <c r="K546" s="634"/>
      <c r="L546" s="522">
        <f t="shared" si="8"/>
        <v>0</v>
      </c>
      <c r="M546" s="141"/>
      <c r="N546" s="22"/>
      <c r="O546" s="22" t="s">
        <v>3759</v>
      </c>
    </row>
    <row r="547" spans="1:15" hidden="1">
      <c r="A547" s="316" t="s">
        <v>4953</v>
      </c>
      <c r="B547" s="554" t="s">
        <v>4954</v>
      </c>
      <c r="C547" s="329" t="s">
        <v>4955</v>
      </c>
      <c r="D547" s="555">
        <v>0</v>
      </c>
      <c r="E547" s="556" t="s">
        <v>3944</v>
      </c>
      <c r="F547" s="556" t="s">
        <v>3763</v>
      </c>
      <c r="G547" s="565">
        <v>45064</v>
      </c>
      <c r="H547" s="557" t="s">
        <v>3934</v>
      </c>
      <c r="I547" s="728"/>
      <c r="J547" s="728"/>
      <c r="K547" s="494"/>
      <c r="L547" s="494">
        <f t="shared" si="8"/>
        <v>0</v>
      </c>
      <c r="M547" s="670"/>
      <c r="N547" s="107" t="s">
        <v>3758</v>
      </c>
      <c r="O547" s="108" t="s">
        <v>3759</v>
      </c>
    </row>
    <row r="548" spans="1:15" hidden="1">
      <c r="A548" s="316" t="s">
        <v>4953</v>
      </c>
      <c r="B548" s="8" t="s">
        <v>4956</v>
      </c>
      <c r="C548" s="10" t="s">
        <v>4955</v>
      </c>
      <c r="D548" s="111">
        <v>0</v>
      </c>
      <c r="E548" s="9" t="s">
        <v>3950</v>
      </c>
      <c r="F548" s="9"/>
      <c r="G548" s="9"/>
      <c r="H548" s="119"/>
      <c r="I548" s="728"/>
      <c r="J548" s="728"/>
      <c r="K548" s="138"/>
      <c r="L548" s="138">
        <f t="shared" si="8"/>
        <v>0</v>
      </c>
      <c r="M548" s="471"/>
      <c r="N548" s="22" t="s">
        <v>3758</v>
      </c>
      <c r="O548" s="106" t="s">
        <v>3759</v>
      </c>
    </row>
    <row r="549" spans="1:15" hidden="1">
      <c r="A549" s="316" t="s">
        <v>4953</v>
      </c>
      <c r="B549" s="13" t="s">
        <v>4957</v>
      </c>
      <c r="C549" s="10" t="s">
        <v>4958</v>
      </c>
      <c r="D549" s="111">
        <v>0</v>
      </c>
      <c r="E549" s="7" t="s">
        <v>3950</v>
      </c>
      <c r="F549" s="7" t="s">
        <v>3763</v>
      </c>
      <c r="G549" s="46">
        <v>45561</v>
      </c>
      <c r="H549" s="119" t="s">
        <v>3965</v>
      </c>
      <c r="I549" s="728"/>
      <c r="J549" s="728"/>
      <c r="K549" s="138"/>
      <c r="L549" s="138">
        <f t="shared" si="8"/>
        <v>0</v>
      </c>
      <c r="M549" s="471"/>
      <c r="N549" s="22" t="s">
        <v>3758</v>
      </c>
      <c r="O549" s="106" t="s">
        <v>3759</v>
      </c>
    </row>
    <row r="550" spans="1:15" hidden="1">
      <c r="A550" s="316" t="s">
        <v>4953</v>
      </c>
      <c r="B550" s="463" t="s">
        <v>4959</v>
      </c>
      <c r="C550" s="44" t="s">
        <v>4958</v>
      </c>
      <c r="D550" s="111">
        <v>0</v>
      </c>
      <c r="E550" s="45" t="s">
        <v>4223</v>
      </c>
      <c r="F550" s="45" t="s">
        <v>3763</v>
      </c>
      <c r="G550" s="114">
        <v>45601</v>
      </c>
      <c r="H550" s="170" t="s">
        <v>3965</v>
      </c>
      <c r="I550" s="728">
        <v>2505</v>
      </c>
      <c r="J550" s="728"/>
      <c r="K550" s="478"/>
      <c r="L550" s="478">
        <f t="shared" si="8"/>
        <v>2505</v>
      </c>
      <c r="M550" s="524"/>
      <c r="N550" s="112" t="s">
        <v>3758</v>
      </c>
      <c r="O550" s="113" t="s">
        <v>3759</v>
      </c>
    </row>
    <row r="551" spans="1:15">
      <c r="A551" s="10" t="s">
        <v>4514</v>
      </c>
      <c r="B551" s="34">
        <v>1471</v>
      </c>
      <c r="C551" s="10" t="s">
        <v>4657</v>
      </c>
      <c r="D551" s="11">
        <v>1</v>
      </c>
      <c r="E551" s="11" t="s">
        <v>4472</v>
      </c>
      <c r="F551" s="11" t="s">
        <v>3785</v>
      </c>
      <c r="G551" s="129">
        <v>45730</v>
      </c>
      <c r="H551" s="161" t="s">
        <v>3799</v>
      </c>
      <c r="I551" s="729"/>
      <c r="J551" s="729"/>
      <c r="K551" s="633"/>
      <c r="L551" s="522">
        <f t="shared" si="8"/>
        <v>0</v>
      </c>
      <c r="M551" s="471"/>
      <c r="N551" s="22"/>
      <c r="O551" s="22" t="s">
        <v>3759</v>
      </c>
    </row>
    <row r="552" spans="1:15" hidden="1">
      <c r="A552" s="316" t="s">
        <v>4926</v>
      </c>
      <c r="B552" s="554">
        <v>4136</v>
      </c>
      <c r="C552" s="329" t="s">
        <v>4927</v>
      </c>
      <c r="D552" s="555">
        <v>0</v>
      </c>
      <c r="E552" s="556" t="s">
        <v>3927</v>
      </c>
      <c r="F552" s="556" t="s">
        <v>3763</v>
      </c>
      <c r="G552" s="565">
        <v>44578</v>
      </c>
      <c r="H552" s="557" t="s">
        <v>4285</v>
      </c>
      <c r="I552" s="728">
        <v>2495</v>
      </c>
      <c r="J552" s="728"/>
      <c r="K552" s="505"/>
      <c r="L552" s="655">
        <f t="shared" si="8"/>
        <v>2495</v>
      </c>
      <c r="M552" s="512"/>
      <c r="N552" s="107" t="s">
        <v>3758</v>
      </c>
      <c r="O552" s="108" t="s">
        <v>3759</v>
      </c>
    </row>
    <row r="553" spans="1:15" hidden="1">
      <c r="A553" s="316" t="s">
        <v>4930</v>
      </c>
      <c r="B553" s="110">
        <v>6281</v>
      </c>
      <c r="C553" s="44" t="s">
        <v>4963</v>
      </c>
      <c r="D553" s="111">
        <v>0</v>
      </c>
      <c r="E553" s="111" t="s">
        <v>3919</v>
      </c>
      <c r="F553" s="111" t="s">
        <v>3763</v>
      </c>
      <c r="G553" s="114">
        <v>45436</v>
      </c>
      <c r="H553" s="170" t="s">
        <v>3934</v>
      </c>
      <c r="I553" s="728">
        <v>3295</v>
      </c>
      <c r="J553" s="728"/>
      <c r="K553" s="264"/>
      <c r="L553" s="658">
        <f t="shared" si="8"/>
        <v>3295</v>
      </c>
      <c r="M553" s="264"/>
      <c r="N553" s="112" t="s">
        <v>3758</v>
      </c>
      <c r="O553" s="113" t="s">
        <v>3759</v>
      </c>
    </row>
    <row r="554" spans="1:15">
      <c r="A554" s="10" t="s">
        <v>4658</v>
      </c>
      <c r="B554" s="34">
        <v>2155</v>
      </c>
      <c r="C554" s="10" t="s">
        <v>207</v>
      </c>
      <c r="D554" s="11">
        <v>1</v>
      </c>
      <c r="E554" s="11" t="s">
        <v>4067</v>
      </c>
      <c r="F554" s="11" t="s">
        <v>3763</v>
      </c>
      <c r="G554" s="129">
        <v>45176</v>
      </c>
      <c r="H554" s="161" t="s">
        <v>3768</v>
      </c>
      <c r="I554" s="729"/>
      <c r="J554" s="729"/>
      <c r="K554" s="634"/>
      <c r="L554" s="522">
        <f t="shared" si="8"/>
        <v>0</v>
      </c>
      <c r="M554" s="141"/>
      <c r="N554" s="22"/>
      <c r="O554" s="22" t="s">
        <v>3759</v>
      </c>
    </row>
    <row r="555" spans="1:15">
      <c r="A555" s="10" t="s">
        <v>4664</v>
      </c>
      <c r="B555" s="34">
        <v>1994</v>
      </c>
      <c r="C555" s="10" t="s">
        <v>4657</v>
      </c>
      <c r="D555" s="11">
        <v>1</v>
      </c>
      <c r="E555" s="11" t="s">
        <v>4665</v>
      </c>
      <c r="F555" s="11" t="s">
        <v>3785</v>
      </c>
      <c r="G555" s="129">
        <v>40955</v>
      </c>
      <c r="H555" s="161" t="s">
        <v>3799</v>
      </c>
      <c r="I555" s="729"/>
      <c r="J555" s="729"/>
      <c r="K555" s="636"/>
      <c r="L555" s="522">
        <f t="shared" si="8"/>
        <v>0</v>
      </c>
      <c r="M555" s="142"/>
      <c r="N555" s="22"/>
      <c r="O555" s="22" t="s">
        <v>3759</v>
      </c>
    </row>
    <row r="556" spans="1:15">
      <c r="A556" s="10" t="s">
        <v>5739</v>
      </c>
      <c r="B556" s="34">
        <v>2242</v>
      </c>
      <c r="C556" s="10" t="s">
        <v>5740</v>
      </c>
      <c r="D556" s="11">
        <v>1</v>
      </c>
      <c r="E556" s="10" t="s">
        <v>3774</v>
      </c>
      <c r="F556" s="10" t="s">
        <v>3785</v>
      </c>
      <c r="G556" s="129">
        <v>45804</v>
      </c>
      <c r="H556" s="161" t="s">
        <v>3969</v>
      </c>
      <c r="I556" s="729"/>
      <c r="J556" s="729"/>
      <c r="K556" s="633"/>
      <c r="L556" s="522">
        <f t="shared" si="8"/>
        <v>0</v>
      </c>
      <c r="M556" s="471"/>
      <c r="N556" s="22"/>
      <c r="O556" s="22" t="s">
        <v>3759</v>
      </c>
    </row>
    <row r="557" spans="1:15">
      <c r="A557" s="10" t="s">
        <v>4549</v>
      </c>
      <c r="B557" s="323">
        <v>2088</v>
      </c>
      <c r="C557" s="323" t="s">
        <v>207</v>
      </c>
      <c r="D557" s="11">
        <v>1</v>
      </c>
      <c r="E557" s="11" t="s">
        <v>4448</v>
      </c>
      <c r="F557" s="11" t="s">
        <v>3785</v>
      </c>
      <c r="G557" s="129">
        <v>45929</v>
      </c>
      <c r="H557" s="161" t="s">
        <v>3799</v>
      </c>
      <c r="I557" s="729"/>
      <c r="J557" s="729"/>
      <c r="K557" s="633"/>
      <c r="L557" s="522">
        <f t="shared" si="8"/>
        <v>0</v>
      </c>
      <c r="M557" s="471"/>
      <c r="N557" s="22"/>
      <c r="O557" s="22" t="s">
        <v>3759</v>
      </c>
    </row>
    <row r="558" spans="1:15" hidden="1">
      <c r="A558" s="316" t="s">
        <v>4948</v>
      </c>
      <c r="B558" s="558" t="s">
        <v>4972</v>
      </c>
      <c r="C558" s="260" t="s">
        <v>2931</v>
      </c>
      <c r="D558" s="555">
        <v>0</v>
      </c>
      <c r="E558" s="555" t="s">
        <v>4973</v>
      </c>
      <c r="F558" s="555" t="s">
        <v>3780</v>
      </c>
      <c r="G558" s="559">
        <v>45343</v>
      </c>
      <c r="H558" s="475" t="s">
        <v>3834</v>
      </c>
      <c r="I558" s="728">
        <v>250</v>
      </c>
      <c r="J558" s="728"/>
      <c r="K558" s="485"/>
      <c r="L558" s="652">
        <f t="shared" si="8"/>
        <v>250</v>
      </c>
      <c r="M558" s="485"/>
      <c r="N558" s="121" t="s">
        <v>3758</v>
      </c>
      <c r="O558" s="585" t="s">
        <v>3759</v>
      </c>
    </row>
    <row r="559" spans="1:15">
      <c r="A559" s="10" t="s">
        <v>4670</v>
      </c>
      <c r="B559" s="34" t="s">
        <v>4671</v>
      </c>
      <c r="C559" s="10" t="s">
        <v>4672</v>
      </c>
      <c r="D559" s="11">
        <v>1</v>
      </c>
      <c r="E559" s="11" t="s">
        <v>4673</v>
      </c>
      <c r="F559" s="11" t="s">
        <v>3785</v>
      </c>
      <c r="G559" s="129">
        <v>45162</v>
      </c>
      <c r="H559" s="161" t="s">
        <v>3768</v>
      </c>
      <c r="I559" s="729"/>
      <c r="J559" s="729"/>
      <c r="K559" s="636">
        <v>4050</v>
      </c>
      <c r="L559" s="522">
        <f t="shared" si="8"/>
        <v>4050</v>
      </c>
      <c r="M559" s="142">
        <v>14000</v>
      </c>
      <c r="N559" s="22"/>
      <c r="O559" s="22" t="s">
        <v>3759</v>
      </c>
    </row>
    <row r="560" spans="1:15">
      <c r="A560" s="10" t="s">
        <v>4695</v>
      </c>
      <c r="B560" s="34">
        <v>1354</v>
      </c>
      <c r="C560" s="10" t="s">
        <v>207</v>
      </c>
      <c r="D560" s="11">
        <v>1</v>
      </c>
      <c r="E560" s="11" t="s">
        <v>3815</v>
      </c>
      <c r="F560" s="11" t="s">
        <v>3785</v>
      </c>
      <c r="G560" s="129">
        <v>45769</v>
      </c>
      <c r="H560" s="161" t="s">
        <v>7993</v>
      </c>
      <c r="I560" s="729"/>
      <c r="J560" s="729"/>
      <c r="K560" s="633"/>
      <c r="L560" s="522">
        <f t="shared" si="8"/>
        <v>0</v>
      </c>
      <c r="M560" s="471"/>
      <c r="N560" s="22"/>
      <c r="O560" s="22" t="s">
        <v>3759</v>
      </c>
    </row>
    <row r="561" spans="1:15">
      <c r="A561" s="10" t="s">
        <v>4707</v>
      </c>
      <c r="B561" s="34" t="s">
        <v>4708</v>
      </c>
      <c r="C561" s="10" t="s">
        <v>4709</v>
      </c>
      <c r="D561" s="11">
        <v>1</v>
      </c>
      <c r="E561" s="11" t="s">
        <v>4710</v>
      </c>
      <c r="F561" s="11" t="s">
        <v>3785</v>
      </c>
      <c r="G561" s="129">
        <v>40946</v>
      </c>
      <c r="H561" s="161" t="s">
        <v>3799</v>
      </c>
      <c r="I561" s="729"/>
      <c r="J561" s="729"/>
      <c r="K561" s="636"/>
      <c r="L561" s="522">
        <f t="shared" si="8"/>
        <v>0</v>
      </c>
      <c r="M561" s="142"/>
      <c r="N561" s="12"/>
      <c r="O561" s="12" t="s">
        <v>3759</v>
      </c>
    </row>
    <row r="562" spans="1:15" hidden="1">
      <c r="A562" s="316" t="s">
        <v>4978</v>
      </c>
      <c r="B562" s="558" t="s">
        <v>4979</v>
      </c>
      <c r="C562" s="260" t="s">
        <v>4980</v>
      </c>
      <c r="D562" s="555">
        <v>0</v>
      </c>
      <c r="E562" s="555" t="s">
        <v>4223</v>
      </c>
      <c r="F562" s="555"/>
      <c r="G562" s="555"/>
      <c r="H562" s="475"/>
      <c r="I562" s="728"/>
      <c r="J562" s="728"/>
      <c r="K562" s="497"/>
      <c r="L562" s="497">
        <f t="shared" si="8"/>
        <v>0</v>
      </c>
      <c r="M562" s="526"/>
      <c r="N562" s="121" t="s">
        <v>3758</v>
      </c>
      <c r="O562" s="122" t="s">
        <v>3759</v>
      </c>
    </row>
    <row r="563" spans="1:15">
      <c r="A563" s="10" t="s">
        <v>4707</v>
      </c>
      <c r="B563" s="34" t="s">
        <v>4711</v>
      </c>
      <c r="C563" s="10" t="s">
        <v>4709</v>
      </c>
      <c r="D563" s="11">
        <v>1</v>
      </c>
      <c r="E563" s="11" t="s">
        <v>4712</v>
      </c>
      <c r="F563" s="11" t="s">
        <v>3785</v>
      </c>
      <c r="G563" s="129">
        <v>43980</v>
      </c>
      <c r="H563" s="161" t="s">
        <v>4713</v>
      </c>
      <c r="I563" s="729"/>
      <c r="J563" s="729"/>
      <c r="K563" s="636"/>
      <c r="L563" s="522">
        <f t="shared" si="8"/>
        <v>0</v>
      </c>
      <c r="M563" s="142"/>
      <c r="N563" s="12"/>
      <c r="O563" s="12" t="s">
        <v>3759</v>
      </c>
    </row>
    <row r="564" spans="1:15">
      <c r="A564" s="10" t="s">
        <v>4714</v>
      </c>
      <c r="B564" s="131">
        <v>4416</v>
      </c>
      <c r="C564" s="96" t="s">
        <v>4715</v>
      </c>
      <c r="D564" s="15">
        <v>1</v>
      </c>
      <c r="E564" s="15" t="s">
        <v>4716</v>
      </c>
      <c r="F564" s="15" t="s">
        <v>3785</v>
      </c>
      <c r="G564" s="290">
        <v>45723</v>
      </c>
      <c r="H564" s="161" t="s">
        <v>7993</v>
      </c>
      <c r="I564" s="729"/>
      <c r="J564" s="729"/>
      <c r="K564" s="644"/>
      <c r="L564" s="522">
        <f t="shared" si="8"/>
        <v>0</v>
      </c>
      <c r="M564" s="474">
        <v>13500</v>
      </c>
      <c r="N564" s="31"/>
      <c r="O564" s="31" t="s">
        <v>3759</v>
      </c>
    </row>
    <row r="565" spans="1:15">
      <c r="A565" s="10" t="s">
        <v>4714</v>
      </c>
      <c r="B565" s="34">
        <v>4404</v>
      </c>
      <c r="C565" s="10" t="s">
        <v>4719</v>
      </c>
      <c r="D565" s="11">
        <v>1</v>
      </c>
      <c r="E565" s="11" t="s">
        <v>3818</v>
      </c>
      <c r="F565" s="11" t="s">
        <v>3785</v>
      </c>
      <c r="G565" s="129">
        <v>45741</v>
      </c>
      <c r="H565" s="161" t="s">
        <v>3799</v>
      </c>
      <c r="I565" s="729"/>
      <c r="J565" s="729"/>
      <c r="K565" s="633"/>
      <c r="L565" s="522">
        <f t="shared" si="8"/>
        <v>0</v>
      </c>
      <c r="M565" s="474">
        <v>13500</v>
      </c>
      <c r="N565" s="22"/>
      <c r="O565" s="22" t="s">
        <v>3759</v>
      </c>
    </row>
    <row r="566" spans="1:15">
      <c r="A566" s="10" t="s">
        <v>4721</v>
      </c>
      <c r="B566" s="34">
        <v>376</v>
      </c>
      <c r="C566" s="10" t="s">
        <v>4722</v>
      </c>
      <c r="D566" s="11">
        <v>1</v>
      </c>
      <c r="E566" s="11" t="s">
        <v>4723</v>
      </c>
      <c r="F566" s="11" t="s">
        <v>3785</v>
      </c>
      <c r="G566" s="129">
        <v>45187</v>
      </c>
      <c r="H566" s="161" t="s">
        <v>3768</v>
      </c>
      <c r="I566" s="729"/>
      <c r="J566" s="729"/>
      <c r="K566" s="636"/>
      <c r="L566" s="522">
        <f t="shared" si="8"/>
        <v>0</v>
      </c>
      <c r="M566" s="142"/>
      <c r="N566" s="22"/>
      <c r="O566" s="22" t="s">
        <v>3759</v>
      </c>
    </row>
    <row r="567" spans="1:15" hidden="1">
      <c r="A567" s="316" t="s">
        <v>4824</v>
      </c>
      <c r="B567" s="554">
        <v>1309</v>
      </c>
      <c r="C567" s="329" t="s">
        <v>4990</v>
      </c>
      <c r="D567" s="555">
        <v>0</v>
      </c>
      <c r="E567" s="556">
        <v>0</v>
      </c>
      <c r="F567" s="556" t="s">
        <v>3798</v>
      </c>
      <c r="G567" s="565">
        <v>44776</v>
      </c>
      <c r="H567" s="557" t="s">
        <v>4747</v>
      </c>
      <c r="I567" s="728">
        <v>1995</v>
      </c>
      <c r="J567" s="728"/>
      <c r="K567" s="500"/>
      <c r="L567" s="90">
        <f t="shared" si="8"/>
        <v>1995</v>
      </c>
      <c r="M567" s="500"/>
      <c r="N567" s="107" t="s">
        <v>3758</v>
      </c>
      <c r="O567" s="108" t="s">
        <v>3759</v>
      </c>
    </row>
    <row r="568" spans="1:15" hidden="1">
      <c r="A568" s="316" t="s">
        <v>4991</v>
      </c>
      <c r="B568" s="110" t="s">
        <v>4992</v>
      </c>
      <c r="C568" s="44" t="s">
        <v>4993</v>
      </c>
      <c r="D568" s="111">
        <v>0</v>
      </c>
      <c r="E568" s="111" t="s">
        <v>4994</v>
      </c>
      <c r="F568" s="111"/>
      <c r="G568" s="111"/>
      <c r="H568" s="170"/>
      <c r="I568" s="728"/>
      <c r="J568" s="728"/>
      <c r="K568" s="478"/>
      <c r="L568" s="478">
        <f t="shared" si="8"/>
        <v>0</v>
      </c>
      <c r="M568" s="524"/>
      <c r="N568" s="112" t="s">
        <v>3758</v>
      </c>
      <c r="O568" s="113" t="s">
        <v>3759</v>
      </c>
    </row>
    <row r="569" spans="1:15">
      <c r="A569" s="10" t="s">
        <v>4552</v>
      </c>
      <c r="B569" s="34">
        <v>900</v>
      </c>
      <c r="C569" s="10" t="s">
        <v>207</v>
      </c>
      <c r="D569" s="11">
        <v>1</v>
      </c>
      <c r="E569" s="11" t="s">
        <v>4725</v>
      </c>
      <c r="F569" s="11" t="s">
        <v>3763</v>
      </c>
      <c r="G569" s="129">
        <v>45313</v>
      </c>
      <c r="H569" s="161" t="s">
        <v>3768</v>
      </c>
      <c r="I569" s="729"/>
      <c r="J569" s="729"/>
      <c r="K569" s="634"/>
      <c r="L569" s="522">
        <f t="shared" si="8"/>
        <v>0</v>
      </c>
      <c r="M569" s="141">
        <v>13000</v>
      </c>
      <c r="N569" s="22"/>
      <c r="O569" s="22" t="s">
        <v>3759</v>
      </c>
    </row>
    <row r="570" spans="1:15">
      <c r="A570" s="10" t="s">
        <v>4575</v>
      </c>
      <c r="B570" s="34">
        <v>2047</v>
      </c>
      <c r="C570" s="10" t="s">
        <v>5671</v>
      </c>
      <c r="D570" s="11">
        <v>1</v>
      </c>
      <c r="E570" s="10" t="s">
        <v>3908</v>
      </c>
      <c r="F570" s="10" t="s">
        <v>3785</v>
      </c>
      <c r="G570" s="129">
        <v>45786</v>
      </c>
      <c r="H570" s="161" t="s">
        <v>3799</v>
      </c>
      <c r="I570" s="729"/>
      <c r="J570" s="729"/>
      <c r="K570" s="633"/>
      <c r="L570" s="522">
        <f t="shared" si="8"/>
        <v>0</v>
      </c>
      <c r="M570" s="471"/>
      <c r="N570" s="22"/>
      <c r="O570" s="12" t="s">
        <v>3759</v>
      </c>
    </row>
    <row r="571" spans="1:15">
      <c r="A571" s="10" t="s">
        <v>4735</v>
      </c>
      <c r="B571" s="34">
        <v>555</v>
      </c>
      <c r="C571" s="10" t="s">
        <v>4736</v>
      </c>
      <c r="D571" s="11">
        <v>1</v>
      </c>
      <c r="E571" s="11" t="s">
        <v>4737</v>
      </c>
      <c r="F571" s="11" t="s">
        <v>3785</v>
      </c>
      <c r="G571" s="129">
        <v>44669</v>
      </c>
      <c r="H571" s="161" t="s">
        <v>3768</v>
      </c>
      <c r="I571" s="729"/>
      <c r="J571" s="729"/>
      <c r="K571" s="636"/>
      <c r="L571" s="522">
        <f t="shared" si="8"/>
        <v>0</v>
      </c>
      <c r="M571" s="142"/>
      <c r="N571" s="22"/>
      <c r="O571" s="22" t="s">
        <v>3759</v>
      </c>
    </row>
    <row r="572" spans="1:15">
      <c r="A572" s="10" t="s">
        <v>4740</v>
      </c>
      <c r="B572" s="449">
        <v>9354208</v>
      </c>
      <c r="C572" s="10" t="s">
        <v>690</v>
      </c>
      <c r="D572" s="11">
        <v>1</v>
      </c>
      <c r="E572" s="11" t="s">
        <v>4741</v>
      </c>
      <c r="F572" s="11" t="s">
        <v>3763</v>
      </c>
      <c r="G572" s="129">
        <v>44781</v>
      </c>
      <c r="H572" s="161" t="s">
        <v>3768</v>
      </c>
      <c r="I572" s="729"/>
      <c r="J572" s="729"/>
      <c r="K572" s="636"/>
      <c r="L572" s="522">
        <f t="shared" si="8"/>
        <v>0</v>
      </c>
      <c r="M572" s="142"/>
      <c r="N572" s="22"/>
      <c r="O572" s="22" t="s">
        <v>3759</v>
      </c>
    </row>
    <row r="573" spans="1:15" hidden="1">
      <c r="A573" s="316" t="s">
        <v>5000</v>
      </c>
      <c r="B573" s="554">
        <v>1498</v>
      </c>
      <c r="C573" s="329" t="s">
        <v>4998</v>
      </c>
      <c r="D573" s="555">
        <v>0</v>
      </c>
      <c r="E573" s="555" t="s">
        <v>4371</v>
      </c>
      <c r="F573" s="556" t="s">
        <v>3763</v>
      </c>
      <c r="G573" s="565">
        <v>44803</v>
      </c>
      <c r="H573" s="557" t="s">
        <v>4238</v>
      </c>
      <c r="I573" s="728">
        <v>960</v>
      </c>
      <c r="J573" s="728"/>
      <c r="K573" s="496"/>
      <c r="L573" s="657">
        <f t="shared" si="8"/>
        <v>960</v>
      </c>
      <c r="M573" s="503"/>
      <c r="N573" s="107" t="s">
        <v>3758</v>
      </c>
      <c r="O573" s="108" t="s">
        <v>3759</v>
      </c>
    </row>
    <row r="574" spans="1:15" hidden="1">
      <c r="A574" s="316" t="s">
        <v>4849</v>
      </c>
      <c r="B574" s="8" t="s">
        <v>4850</v>
      </c>
      <c r="C574" s="10" t="s">
        <v>4668</v>
      </c>
      <c r="D574" s="111">
        <v>0</v>
      </c>
      <c r="E574" s="111" t="s">
        <v>4884</v>
      </c>
      <c r="F574" s="9" t="s">
        <v>3785</v>
      </c>
      <c r="G574" s="46">
        <v>45597</v>
      </c>
      <c r="H574" s="119" t="s">
        <v>4543</v>
      </c>
      <c r="I574" s="728">
        <v>8935</v>
      </c>
      <c r="J574" s="728"/>
      <c r="K574" s="160"/>
      <c r="L574" s="160">
        <f t="shared" si="8"/>
        <v>8935</v>
      </c>
      <c r="M574" s="471"/>
      <c r="N574" s="22" t="s">
        <v>3758</v>
      </c>
      <c r="O574" s="106" t="s">
        <v>3759</v>
      </c>
    </row>
    <row r="575" spans="1:15" hidden="1">
      <c r="A575" s="316" t="s">
        <v>4849</v>
      </c>
      <c r="B575" s="110">
        <v>5627</v>
      </c>
      <c r="C575" s="44" t="s">
        <v>5001</v>
      </c>
      <c r="D575" s="111">
        <v>0</v>
      </c>
      <c r="E575" s="111" t="s">
        <v>4468</v>
      </c>
      <c r="F575" s="111" t="s">
        <v>3785</v>
      </c>
      <c r="G575" s="114">
        <v>45680</v>
      </c>
      <c r="H575" s="170" t="s">
        <v>3819</v>
      </c>
      <c r="I575" s="728">
        <v>6530</v>
      </c>
      <c r="J575" s="728"/>
      <c r="K575" s="480"/>
      <c r="L575" s="480">
        <f t="shared" si="8"/>
        <v>6530</v>
      </c>
      <c r="M575" s="524"/>
      <c r="N575" s="112" t="s">
        <v>3758</v>
      </c>
      <c r="O575" s="113" t="s">
        <v>3759</v>
      </c>
    </row>
    <row r="576" spans="1:15">
      <c r="A576" s="10" t="s">
        <v>4740</v>
      </c>
      <c r="B576" s="449">
        <v>9354195</v>
      </c>
      <c r="C576" s="10" t="s">
        <v>690</v>
      </c>
      <c r="D576" s="11">
        <v>1</v>
      </c>
      <c r="E576" s="11" t="s">
        <v>4748</v>
      </c>
      <c r="F576" s="11" t="s">
        <v>3763</v>
      </c>
      <c r="G576" s="129">
        <v>44779</v>
      </c>
      <c r="H576" s="161" t="s">
        <v>3768</v>
      </c>
      <c r="I576" s="729"/>
      <c r="J576" s="729"/>
      <c r="K576" s="636"/>
      <c r="L576" s="522">
        <f t="shared" si="8"/>
        <v>0</v>
      </c>
      <c r="M576" s="142"/>
      <c r="N576" s="22"/>
      <c r="O576" s="22" t="s">
        <v>3759</v>
      </c>
    </row>
    <row r="577" spans="1:15">
      <c r="A577" s="10" t="s">
        <v>4566</v>
      </c>
      <c r="B577" s="449">
        <v>9394392</v>
      </c>
      <c r="C577" s="10" t="s">
        <v>4567</v>
      </c>
      <c r="D577" s="11">
        <v>1</v>
      </c>
      <c r="E577" s="11" t="s">
        <v>4763</v>
      </c>
      <c r="F577" s="11" t="s">
        <v>3785</v>
      </c>
      <c r="G577" s="129">
        <v>45167</v>
      </c>
      <c r="H577" s="161" t="s">
        <v>3768</v>
      </c>
      <c r="I577" s="729"/>
      <c r="J577" s="729"/>
      <c r="K577" s="636"/>
      <c r="L577" s="522">
        <f t="shared" si="8"/>
        <v>0</v>
      </c>
      <c r="M577" s="142"/>
      <c r="N577" s="22"/>
      <c r="O577" s="22" t="s">
        <v>3759</v>
      </c>
    </row>
    <row r="578" spans="1:15">
      <c r="A578" s="10" t="s">
        <v>4566</v>
      </c>
      <c r="B578" s="449" t="s">
        <v>4764</v>
      </c>
      <c r="C578" s="10" t="s">
        <v>4567</v>
      </c>
      <c r="D578" s="11">
        <v>1</v>
      </c>
      <c r="E578" s="11" t="s">
        <v>4765</v>
      </c>
      <c r="F578" s="11" t="s">
        <v>3785</v>
      </c>
      <c r="G578" s="129">
        <v>44475</v>
      </c>
      <c r="H578" s="161" t="s">
        <v>3768</v>
      </c>
      <c r="I578" s="729"/>
      <c r="J578" s="729"/>
      <c r="K578" s="636"/>
      <c r="L578" s="522">
        <f t="shared" si="8"/>
        <v>0</v>
      </c>
      <c r="M578" s="142"/>
      <c r="N578" s="22"/>
      <c r="O578" s="22" t="s">
        <v>3759</v>
      </c>
    </row>
    <row r="579" spans="1:15" hidden="1">
      <c r="A579" s="316" t="s">
        <v>5010</v>
      </c>
      <c r="B579" s="558" t="s">
        <v>5011</v>
      </c>
      <c r="C579" s="260" t="s">
        <v>3817</v>
      </c>
      <c r="D579" s="555">
        <v>0</v>
      </c>
      <c r="E579" s="555" t="s">
        <v>5012</v>
      </c>
      <c r="F579" s="555" t="s">
        <v>3785</v>
      </c>
      <c r="G579" s="559">
        <v>45204</v>
      </c>
      <c r="H579" s="475" t="s">
        <v>3768</v>
      </c>
      <c r="I579" s="728">
        <v>600</v>
      </c>
      <c r="J579" s="728"/>
      <c r="K579" s="212"/>
      <c r="L579" s="608">
        <f t="shared" si="8"/>
        <v>600</v>
      </c>
      <c r="M579" s="482"/>
      <c r="N579" s="221" t="s">
        <v>5013</v>
      </c>
      <c r="O579" s="122" t="s">
        <v>3759</v>
      </c>
    </row>
    <row r="580" spans="1:15">
      <c r="A580" s="10" t="s">
        <v>4566</v>
      </c>
      <c r="B580" s="449">
        <v>9273461</v>
      </c>
      <c r="C580" s="10" t="s">
        <v>4567</v>
      </c>
      <c r="D580" s="11">
        <v>1</v>
      </c>
      <c r="E580" s="11" t="s">
        <v>4766</v>
      </c>
      <c r="F580" s="11" t="s">
        <v>3785</v>
      </c>
      <c r="G580" s="129">
        <v>45167</v>
      </c>
      <c r="H580" s="161" t="s">
        <v>3768</v>
      </c>
      <c r="I580" s="729"/>
      <c r="J580" s="729"/>
      <c r="K580" s="636"/>
      <c r="L580" s="522">
        <f t="shared" ref="L580:L643" si="9">IF(OR(I580="", K580=""), I580 + K580, I580 + K580)</f>
        <v>0</v>
      </c>
      <c r="M580" s="142"/>
      <c r="N580" s="22"/>
      <c r="O580" s="22" t="s">
        <v>3759</v>
      </c>
    </row>
    <row r="581" spans="1:15">
      <c r="A581" s="10" t="s">
        <v>4774</v>
      </c>
      <c r="B581" s="34">
        <v>838260047</v>
      </c>
      <c r="C581" s="10" t="s">
        <v>4103</v>
      </c>
      <c r="D581" s="11">
        <v>1</v>
      </c>
      <c r="E581" s="11" t="s">
        <v>4775</v>
      </c>
      <c r="F581" s="11" t="s">
        <v>3763</v>
      </c>
      <c r="G581" s="129">
        <v>45371</v>
      </c>
      <c r="H581" s="161" t="s">
        <v>3768</v>
      </c>
      <c r="I581" s="729"/>
      <c r="J581" s="729"/>
      <c r="K581" s="634"/>
      <c r="L581" s="522">
        <f t="shared" si="9"/>
        <v>0</v>
      </c>
      <c r="M581" s="141"/>
      <c r="N581" s="22"/>
      <c r="O581" s="22" t="s">
        <v>3759</v>
      </c>
    </row>
    <row r="582" spans="1:15">
      <c r="A582" s="10" t="s">
        <v>4776</v>
      </c>
      <c r="B582" s="34">
        <v>6489</v>
      </c>
      <c r="C582" s="10" t="s">
        <v>4103</v>
      </c>
      <c r="D582" s="11">
        <v>1</v>
      </c>
      <c r="E582" s="11" t="s">
        <v>4777</v>
      </c>
      <c r="F582" s="11" t="s">
        <v>3763</v>
      </c>
      <c r="G582" s="129">
        <v>45146</v>
      </c>
      <c r="H582" s="161" t="s">
        <v>3768</v>
      </c>
      <c r="I582" s="729"/>
      <c r="J582" s="729"/>
      <c r="K582" s="636"/>
      <c r="L582" s="522">
        <f t="shared" si="9"/>
        <v>0</v>
      </c>
      <c r="M582" s="142"/>
      <c r="N582" s="22"/>
      <c r="O582" s="22" t="s">
        <v>3759</v>
      </c>
    </row>
    <row r="583" spans="1:15">
      <c r="A583" s="10" t="s">
        <v>4778</v>
      </c>
      <c r="B583" s="34">
        <v>8761170</v>
      </c>
      <c r="C583" s="10" t="s">
        <v>4103</v>
      </c>
      <c r="D583" s="11">
        <v>1</v>
      </c>
      <c r="E583" s="11" t="s">
        <v>4779</v>
      </c>
      <c r="F583" s="11" t="s">
        <v>3763</v>
      </c>
      <c r="G583" s="129">
        <v>45371</v>
      </c>
      <c r="H583" s="161" t="s">
        <v>3768</v>
      </c>
      <c r="I583" s="729"/>
      <c r="J583" s="729"/>
      <c r="K583" s="634"/>
      <c r="L583" s="522">
        <f t="shared" si="9"/>
        <v>0</v>
      </c>
      <c r="M583" s="141"/>
      <c r="N583" s="22"/>
      <c r="O583" s="22" t="s">
        <v>3759</v>
      </c>
    </row>
    <row r="584" spans="1:15" hidden="1">
      <c r="A584" s="316" t="s">
        <v>5023</v>
      </c>
      <c r="B584" s="554" t="s">
        <v>5024</v>
      </c>
      <c r="C584" s="329" t="s">
        <v>5025</v>
      </c>
      <c r="D584" s="555">
        <v>0</v>
      </c>
      <c r="E584" s="556" t="s">
        <v>5026</v>
      </c>
      <c r="F584" s="556" t="s">
        <v>3785</v>
      </c>
      <c r="G584" s="565">
        <v>45252</v>
      </c>
      <c r="H584" s="557" t="s">
        <v>3768</v>
      </c>
      <c r="I584" s="728">
        <v>3792.5</v>
      </c>
      <c r="J584" s="728"/>
      <c r="K584" s="503"/>
      <c r="L584" s="657">
        <f t="shared" si="9"/>
        <v>3792.5</v>
      </c>
      <c r="M584" s="503"/>
      <c r="N584" s="107" t="s">
        <v>3758</v>
      </c>
      <c r="O584" s="108" t="s">
        <v>3759</v>
      </c>
    </row>
    <row r="585" spans="1:15" hidden="1">
      <c r="A585" s="316" t="s">
        <v>5027</v>
      </c>
      <c r="B585" s="110">
        <v>249020</v>
      </c>
      <c r="C585" s="44" t="s">
        <v>5028</v>
      </c>
      <c r="D585" s="111">
        <v>0</v>
      </c>
      <c r="E585" s="111" t="s">
        <v>5029</v>
      </c>
      <c r="F585" s="111"/>
      <c r="G585" s="111"/>
      <c r="H585" s="170"/>
      <c r="I585" s="728"/>
      <c r="J585" s="728"/>
      <c r="K585" s="478"/>
      <c r="L585" s="478">
        <f t="shared" si="9"/>
        <v>0</v>
      </c>
      <c r="M585" s="524"/>
      <c r="N585" s="112" t="s">
        <v>3758</v>
      </c>
      <c r="O585" s="113" t="s">
        <v>3759</v>
      </c>
    </row>
    <row r="586" spans="1:15" ht="15" customHeight="1">
      <c r="A586" s="10" t="s">
        <v>4785</v>
      </c>
      <c r="B586" s="33">
        <v>1120</v>
      </c>
      <c r="C586" s="33" t="s">
        <v>4784</v>
      </c>
      <c r="D586" s="11">
        <v>1</v>
      </c>
      <c r="E586" s="11" t="s">
        <v>4786</v>
      </c>
      <c r="F586" s="11" t="s">
        <v>3785</v>
      </c>
      <c r="G586" s="129">
        <v>45772</v>
      </c>
      <c r="H586" s="161" t="s">
        <v>4787</v>
      </c>
      <c r="I586" s="729"/>
      <c r="J586" s="729"/>
      <c r="K586" s="633"/>
      <c r="L586" s="522">
        <f t="shared" si="9"/>
        <v>0</v>
      </c>
      <c r="M586" s="471"/>
      <c r="N586" s="22"/>
      <c r="O586" s="22" t="s">
        <v>3759</v>
      </c>
    </row>
    <row r="587" spans="1:15" ht="15" customHeight="1">
      <c r="A587" s="10" t="s">
        <v>4788</v>
      </c>
      <c r="B587" s="115" t="s">
        <v>4789</v>
      </c>
      <c r="C587" s="10" t="s">
        <v>207</v>
      </c>
      <c r="D587" s="11">
        <v>1</v>
      </c>
      <c r="E587" s="10" t="s">
        <v>4790</v>
      </c>
      <c r="F587" s="11" t="s">
        <v>3763</v>
      </c>
      <c r="G587" s="129">
        <v>45245</v>
      </c>
      <c r="H587" s="161" t="s">
        <v>3768</v>
      </c>
      <c r="I587" s="729"/>
      <c r="J587" s="729"/>
      <c r="K587" s="633"/>
      <c r="L587" s="522">
        <f t="shared" si="9"/>
        <v>0</v>
      </c>
      <c r="M587" s="471">
        <v>4500</v>
      </c>
      <c r="N587" s="22"/>
      <c r="O587" s="22" t="s">
        <v>3759</v>
      </c>
    </row>
    <row r="588" spans="1:15" ht="15" hidden="1" customHeight="1">
      <c r="A588" s="316" t="s">
        <v>5034</v>
      </c>
      <c r="B588" s="558" t="s">
        <v>5035</v>
      </c>
      <c r="C588" s="260" t="s">
        <v>5036</v>
      </c>
      <c r="D588" s="555">
        <v>0</v>
      </c>
      <c r="E588" s="559" t="s">
        <v>5037</v>
      </c>
      <c r="F588" s="559" t="s">
        <v>3763</v>
      </c>
      <c r="G588" s="559">
        <v>44750</v>
      </c>
      <c r="H588" s="586" t="s">
        <v>5038</v>
      </c>
      <c r="I588" s="728">
        <v>2500</v>
      </c>
      <c r="J588" s="728"/>
      <c r="K588" s="212"/>
      <c r="L588" s="608">
        <f t="shared" si="9"/>
        <v>2500</v>
      </c>
      <c r="M588" s="482"/>
      <c r="N588" s="121" t="s">
        <v>3758</v>
      </c>
      <c r="O588" s="585" t="s">
        <v>3759</v>
      </c>
    </row>
    <row r="589" spans="1:15">
      <c r="A589" s="316" t="s">
        <v>4600</v>
      </c>
      <c r="B589" s="316" t="s">
        <v>5744</v>
      </c>
      <c r="C589" s="316" t="s">
        <v>4629</v>
      </c>
      <c r="D589" s="316">
        <v>1</v>
      </c>
      <c r="E589" s="316" t="s">
        <v>8158</v>
      </c>
      <c r="F589" s="316" t="s">
        <v>3785</v>
      </c>
      <c r="G589" s="316">
        <v>45826</v>
      </c>
      <c r="H589" s="316" t="s">
        <v>5745</v>
      </c>
      <c r="I589" s="316"/>
      <c r="J589" s="316"/>
      <c r="K589" s="316"/>
      <c r="L589" s="522">
        <f t="shared" si="9"/>
        <v>0</v>
      </c>
      <c r="M589" s="318"/>
      <c r="N589" s="407" t="s">
        <v>7995</v>
      </c>
      <c r="O589" s="22" t="s">
        <v>3759</v>
      </c>
    </row>
    <row r="590" spans="1:15">
      <c r="A590" s="316" t="s">
        <v>4605</v>
      </c>
      <c r="B590" s="316">
        <v>7332</v>
      </c>
      <c r="C590" s="316" t="s">
        <v>4791</v>
      </c>
      <c r="D590" s="316">
        <v>1</v>
      </c>
      <c r="E590" s="316" t="s">
        <v>8176</v>
      </c>
      <c r="F590" s="316" t="s">
        <v>3785</v>
      </c>
      <c r="G590" s="316">
        <v>45734</v>
      </c>
      <c r="H590" s="316" t="s">
        <v>7993</v>
      </c>
      <c r="I590" s="316"/>
      <c r="J590" s="728"/>
      <c r="K590" s="316"/>
      <c r="L590" s="522">
        <f t="shared" si="9"/>
        <v>0</v>
      </c>
      <c r="M590" s="318">
        <v>23750</v>
      </c>
      <c r="N590" s="407" t="s">
        <v>7995</v>
      </c>
      <c r="O590" s="22" t="s">
        <v>3759</v>
      </c>
    </row>
    <row r="591" spans="1:15" hidden="1">
      <c r="A591" s="316" t="s">
        <v>5045</v>
      </c>
      <c r="B591" s="554" t="s">
        <v>5046</v>
      </c>
      <c r="C591" s="329" t="s">
        <v>5047</v>
      </c>
      <c r="D591" s="555">
        <v>0</v>
      </c>
      <c r="E591" s="556" t="s">
        <v>4118</v>
      </c>
      <c r="F591" s="556"/>
      <c r="G591" s="556"/>
      <c r="H591" s="557"/>
      <c r="I591" s="728"/>
      <c r="J591" s="728"/>
      <c r="K591" s="494"/>
      <c r="L591" s="494">
        <f t="shared" si="9"/>
        <v>0</v>
      </c>
      <c r="M591" s="670"/>
      <c r="N591" s="107" t="s">
        <v>3758</v>
      </c>
      <c r="O591" s="108" t="s">
        <v>3759</v>
      </c>
    </row>
    <row r="592" spans="1:15" hidden="1">
      <c r="A592" s="316" t="s">
        <v>5045</v>
      </c>
      <c r="B592" s="8">
        <v>1431</v>
      </c>
      <c r="C592" s="10" t="s">
        <v>5047</v>
      </c>
      <c r="D592" s="111">
        <v>0</v>
      </c>
      <c r="E592" s="9" t="s">
        <v>3886</v>
      </c>
      <c r="F592" s="9"/>
      <c r="G592" s="9"/>
      <c r="H592" s="119"/>
      <c r="I592" s="728"/>
      <c r="J592" s="728"/>
      <c r="K592" s="138"/>
      <c r="L592" s="138">
        <f t="shared" si="9"/>
        <v>0</v>
      </c>
      <c r="M592" s="471"/>
      <c r="N592" s="22" t="s">
        <v>3758</v>
      </c>
      <c r="O592" s="106" t="s">
        <v>3759</v>
      </c>
    </row>
    <row r="593" spans="1:15" hidden="1">
      <c r="A593" s="316" t="s">
        <v>5045</v>
      </c>
      <c r="B593" s="8" t="s">
        <v>5048</v>
      </c>
      <c r="C593" s="10" t="s">
        <v>5047</v>
      </c>
      <c r="D593" s="111">
        <v>0</v>
      </c>
      <c r="E593" s="9" t="s">
        <v>4652</v>
      </c>
      <c r="F593" s="9"/>
      <c r="G593" s="9"/>
      <c r="H593" s="119"/>
      <c r="I593" s="728"/>
      <c r="J593" s="728"/>
      <c r="K593" s="138"/>
      <c r="L593" s="138">
        <f t="shared" si="9"/>
        <v>0</v>
      </c>
      <c r="M593" s="471"/>
      <c r="N593" s="22" t="s">
        <v>3758</v>
      </c>
      <c r="O593" s="106" t="s">
        <v>3759</v>
      </c>
    </row>
    <row r="594" spans="1:15" hidden="1">
      <c r="A594" s="316" t="s">
        <v>5045</v>
      </c>
      <c r="B594" s="110" t="s">
        <v>5049</v>
      </c>
      <c r="C594" s="44" t="s">
        <v>5047</v>
      </c>
      <c r="D594" s="111">
        <v>0</v>
      </c>
      <c r="E594" s="111" t="s">
        <v>3784</v>
      </c>
      <c r="F594" s="111" t="s">
        <v>3763</v>
      </c>
      <c r="G594" s="114">
        <v>45757</v>
      </c>
      <c r="H594" s="170" t="s">
        <v>5050</v>
      </c>
      <c r="I594" s="728">
        <v>950</v>
      </c>
      <c r="J594" s="728"/>
      <c r="K594" s="478"/>
      <c r="L594" s="478">
        <f t="shared" si="9"/>
        <v>950</v>
      </c>
      <c r="M594" s="524"/>
      <c r="N594" s="112" t="s">
        <v>3758</v>
      </c>
      <c r="O594" s="113" t="s">
        <v>3759</v>
      </c>
    </row>
    <row r="595" spans="1:15">
      <c r="A595" s="316" t="s">
        <v>4605</v>
      </c>
      <c r="B595" s="316">
        <v>64980</v>
      </c>
      <c r="C595" s="316" t="s">
        <v>4791</v>
      </c>
      <c r="D595" s="316">
        <v>1</v>
      </c>
      <c r="E595" s="316" t="s">
        <v>8176</v>
      </c>
      <c r="F595" s="316" t="s">
        <v>3785</v>
      </c>
      <c r="G595" s="316">
        <v>45723</v>
      </c>
      <c r="H595" s="316" t="s">
        <v>7993</v>
      </c>
      <c r="I595" s="316"/>
      <c r="J595" s="316"/>
      <c r="K595" s="316"/>
      <c r="L595" s="522">
        <f t="shared" si="9"/>
        <v>0</v>
      </c>
      <c r="M595" s="318">
        <v>23750</v>
      </c>
      <c r="N595" s="407" t="s">
        <v>7995</v>
      </c>
      <c r="O595" s="22" t="s">
        <v>3759</v>
      </c>
    </row>
    <row r="596" spans="1:15" hidden="1">
      <c r="A596" s="316" t="s">
        <v>5054</v>
      </c>
      <c r="B596" s="554">
        <v>7560</v>
      </c>
      <c r="C596" s="329" t="s">
        <v>5055</v>
      </c>
      <c r="D596" s="555">
        <v>0</v>
      </c>
      <c r="E596" s="556" t="s">
        <v>5056</v>
      </c>
      <c r="F596" s="556" t="s">
        <v>3750</v>
      </c>
      <c r="G596" s="556"/>
      <c r="H596" s="557" t="s">
        <v>5057</v>
      </c>
      <c r="I596" s="728">
        <v>100</v>
      </c>
      <c r="J596" s="728"/>
      <c r="K596" s="507"/>
      <c r="L596" s="468">
        <f t="shared" si="9"/>
        <v>100</v>
      </c>
      <c r="M596" s="507"/>
      <c r="N596" s="107" t="s">
        <v>3758</v>
      </c>
      <c r="O596" s="587" t="s">
        <v>5058</v>
      </c>
    </row>
    <row r="597" spans="1:15" hidden="1">
      <c r="A597" s="316" t="s">
        <v>5059</v>
      </c>
      <c r="B597" s="110" t="s">
        <v>5060</v>
      </c>
      <c r="C597" s="44" t="s">
        <v>5061</v>
      </c>
      <c r="D597" s="111">
        <v>0</v>
      </c>
      <c r="E597" s="111" t="s">
        <v>5062</v>
      </c>
      <c r="F597" s="111"/>
      <c r="G597" s="111"/>
      <c r="H597" s="170"/>
      <c r="I597" s="728"/>
      <c r="J597" s="728"/>
      <c r="K597" s="478"/>
      <c r="L597" s="478">
        <f t="shared" si="9"/>
        <v>0</v>
      </c>
      <c r="M597" s="524"/>
      <c r="N597" s="112" t="s">
        <v>3758</v>
      </c>
      <c r="O597" s="113" t="s">
        <v>3759</v>
      </c>
    </row>
    <row r="598" spans="1:15">
      <c r="A598" s="10" t="s">
        <v>4605</v>
      </c>
      <c r="B598" s="115" t="s">
        <v>5755</v>
      </c>
      <c r="C598" s="10" t="s">
        <v>4791</v>
      </c>
      <c r="D598" s="11">
        <v>1</v>
      </c>
      <c r="E598" s="10" t="s">
        <v>3860</v>
      </c>
      <c r="F598" s="10" t="s">
        <v>3785</v>
      </c>
      <c r="G598" s="129">
        <v>45831</v>
      </c>
      <c r="H598" s="161" t="s">
        <v>7993</v>
      </c>
      <c r="I598" s="729"/>
      <c r="J598" s="729"/>
      <c r="K598" s="646"/>
      <c r="L598" s="522">
        <f t="shared" si="9"/>
        <v>0</v>
      </c>
      <c r="M598" s="470">
        <v>23750</v>
      </c>
      <c r="N598" s="22"/>
      <c r="O598" s="22" t="s">
        <v>3759</v>
      </c>
    </row>
    <row r="599" spans="1:15">
      <c r="A599" s="10" t="s">
        <v>4801</v>
      </c>
      <c r="B599" s="34">
        <v>49925</v>
      </c>
      <c r="C599" s="10" t="s">
        <v>4802</v>
      </c>
      <c r="D599" s="11">
        <v>1</v>
      </c>
      <c r="E599" s="11" t="s">
        <v>4803</v>
      </c>
      <c r="F599" s="11" t="s">
        <v>3763</v>
      </c>
      <c r="G599" s="129">
        <v>43908</v>
      </c>
      <c r="H599" s="161" t="s">
        <v>3930</v>
      </c>
      <c r="I599" s="729"/>
      <c r="J599" s="729"/>
      <c r="K599" s="636"/>
      <c r="L599" s="522">
        <f t="shared" si="9"/>
        <v>0</v>
      </c>
      <c r="M599" s="142"/>
      <c r="N599" s="12"/>
      <c r="O599" s="12" t="s">
        <v>3804</v>
      </c>
    </row>
    <row r="600" spans="1:15">
      <c r="A600" s="10" t="s">
        <v>4801</v>
      </c>
      <c r="B600" s="34">
        <v>49927</v>
      </c>
      <c r="C600" s="10" t="s">
        <v>4802</v>
      </c>
      <c r="D600" s="11">
        <v>1</v>
      </c>
      <c r="E600" s="11" t="s">
        <v>4806</v>
      </c>
      <c r="F600" s="11" t="s">
        <v>3763</v>
      </c>
      <c r="G600" s="129">
        <v>43908</v>
      </c>
      <c r="H600" s="161" t="s">
        <v>3930</v>
      </c>
      <c r="I600" s="729"/>
      <c r="J600" s="729"/>
      <c r="K600" s="636"/>
      <c r="L600" s="522">
        <f t="shared" si="9"/>
        <v>0</v>
      </c>
      <c r="M600" s="142"/>
      <c r="N600" s="12"/>
      <c r="O600" s="12" t="s">
        <v>3804</v>
      </c>
    </row>
    <row r="601" spans="1:15" hidden="1">
      <c r="A601" s="316" t="s">
        <v>5068</v>
      </c>
      <c r="B601" s="574" t="s">
        <v>5069</v>
      </c>
      <c r="C601" s="329" t="s">
        <v>5070</v>
      </c>
      <c r="D601" s="555">
        <v>0</v>
      </c>
      <c r="E601" s="579" t="s">
        <v>3860</v>
      </c>
      <c r="F601" s="579" t="s">
        <v>3785</v>
      </c>
      <c r="G601" s="559">
        <v>45545</v>
      </c>
      <c r="H601" s="475" t="s">
        <v>3819</v>
      </c>
      <c r="I601" s="728">
        <v>12000</v>
      </c>
      <c r="J601" s="728"/>
      <c r="K601" s="506"/>
      <c r="L601" s="519">
        <f t="shared" si="9"/>
        <v>12000</v>
      </c>
      <c r="M601" s="736"/>
      <c r="N601" s="107" t="s">
        <v>3758</v>
      </c>
      <c r="O601" s="108" t="s">
        <v>3759</v>
      </c>
    </row>
    <row r="602" spans="1:15" hidden="1">
      <c r="A602" s="316" t="s">
        <v>5068</v>
      </c>
      <c r="B602" s="8">
        <v>15070</v>
      </c>
      <c r="C602" s="10" t="s">
        <v>5071</v>
      </c>
      <c r="D602" s="111">
        <v>0</v>
      </c>
      <c r="E602" s="111" t="s">
        <v>3860</v>
      </c>
      <c r="F602" s="111" t="s">
        <v>3785</v>
      </c>
      <c r="G602" s="114">
        <v>45518</v>
      </c>
      <c r="H602" s="170" t="s">
        <v>3819</v>
      </c>
      <c r="I602" s="728"/>
      <c r="J602" s="728"/>
      <c r="K602" s="138"/>
      <c r="L602" s="138">
        <f t="shared" si="9"/>
        <v>0</v>
      </c>
      <c r="M602" s="471"/>
      <c r="N602" s="22" t="s">
        <v>3758</v>
      </c>
      <c r="O602" s="106" t="s">
        <v>3759</v>
      </c>
    </row>
    <row r="603" spans="1:15" hidden="1">
      <c r="A603" s="316" t="s">
        <v>5068</v>
      </c>
      <c r="B603" s="110">
        <v>69048</v>
      </c>
      <c r="C603" s="44" t="s">
        <v>5070</v>
      </c>
      <c r="D603" s="111">
        <v>0</v>
      </c>
      <c r="E603" s="45" t="s">
        <v>3860</v>
      </c>
      <c r="F603" s="45" t="s">
        <v>3785</v>
      </c>
      <c r="G603" s="114">
        <v>45545</v>
      </c>
      <c r="H603" s="170" t="s">
        <v>3819</v>
      </c>
      <c r="I603" s="728">
        <v>12000</v>
      </c>
      <c r="J603" s="728"/>
      <c r="K603" s="488"/>
      <c r="L603" s="515">
        <f t="shared" si="9"/>
        <v>12000</v>
      </c>
      <c r="M603" s="734"/>
      <c r="N603" s="112" t="s">
        <v>3758</v>
      </c>
      <c r="O603" s="113" t="s">
        <v>3759</v>
      </c>
    </row>
    <row r="604" spans="1:15">
      <c r="A604" s="10" t="s">
        <v>4801</v>
      </c>
      <c r="B604" s="34">
        <v>49258</v>
      </c>
      <c r="C604" s="10" t="s">
        <v>4802</v>
      </c>
      <c r="D604" s="11">
        <v>1</v>
      </c>
      <c r="E604" s="11" t="s">
        <v>4806</v>
      </c>
      <c r="F604" s="11" t="s">
        <v>3763</v>
      </c>
      <c r="G604" s="129">
        <v>43908</v>
      </c>
      <c r="H604" s="161" t="s">
        <v>3930</v>
      </c>
      <c r="I604" s="729"/>
      <c r="J604" s="729"/>
      <c r="K604" s="636"/>
      <c r="L604" s="522">
        <f t="shared" si="9"/>
        <v>0</v>
      </c>
      <c r="M604" s="142"/>
      <c r="N604" s="12"/>
      <c r="O604" s="12" t="s">
        <v>3804</v>
      </c>
    </row>
    <row r="605" spans="1:15">
      <c r="A605" s="10" t="s">
        <v>4801</v>
      </c>
      <c r="B605" s="34">
        <v>27617</v>
      </c>
      <c r="C605" s="10" t="s">
        <v>4802</v>
      </c>
      <c r="D605" s="11">
        <v>1</v>
      </c>
      <c r="E605" s="11" t="s">
        <v>4803</v>
      </c>
      <c r="F605" s="11" t="s">
        <v>3763</v>
      </c>
      <c r="G605" s="129">
        <v>43908</v>
      </c>
      <c r="H605" s="161" t="s">
        <v>3930</v>
      </c>
      <c r="I605" s="729"/>
      <c r="J605" s="729"/>
      <c r="K605" s="636"/>
      <c r="L605" s="522">
        <f t="shared" si="9"/>
        <v>0</v>
      </c>
      <c r="M605" s="142"/>
      <c r="N605" s="12"/>
      <c r="O605" s="12" t="s">
        <v>3804</v>
      </c>
    </row>
    <row r="606" spans="1:15">
      <c r="A606" s="10" t="s">
        <v>5803</v>
      </c>
      <c r="B606" s="34">
        <v>213274</v>
      </c>
      <c r="C606" s="10" t="s">
        <v>4662</v>
      </c>
      <c r="D606" s="11">
        <v>1</v>
      </c>
      <c r="E606" s="11" t="s">
        <v>4896</v>
      </c>
      <c r="F606" s="11" t="s">
        <v>3763</v>
      </c>
      <c r="G606" s="129">
        <v>45913</v>
      </c>
      <c r="H606" s="161" t="s">
        <v>3930</v>
      </c>
      <c r="I606" s="729"/>
      <c r="J606" s="729"/>
      <c r="K606" s="633"/>
      <c r="L606" s="522">
        <f t="shared" si="9"/>
        <v>0</v>
      </c>
      <c r="M606" s="471"/>
      <c r="N606" s="22"/>
      <c r="O606" s="22" t="s">
        <v>3759</v>
      </c>
    </row>
    <row r="607" spans="1:15" hidden="1">
      <c r="A607" s="316" t="s">
        <v>5074</v>
      </c>
      <c r="B607" s="554" t="s">
        <v>5075</v>
      </c>
      <c r="C607" s="329" t="s">
        <v>5076</v>
      </c>
      <c r="D607" s="555">
        <v>0</v>
      </c>
      <c r="E607" s="555" t="s">
        <v>3831</v>
      </c>
      <c r="F607" s="555"/>
      <c r="G607" s="555"/>
      <c r="H607" s="475"/>
      <c r="I607" s="728"/>
      <c r="J607" s="728"/>
      <c r="K607" s="497"/>
      <c r="L607" s="497">
        <f t="shared" si="9"/>
        <v>0</v>
      </c>
      <c r="M607" s="526"/>
      <c r="N607" s="107" t="s">
        <v>3758</v>
      </c>
      <c r="O607" s="108" t="s">
        <v>3759</v>
      </c>
    </row>
    <row r="608" spans="1:15" hidden="1">
      <c r="A608" s="316" t="s">
        <v>5074</v>
      </c>
      <c r="B608" s="8" t="s">
        <v>5077</v>
      </c>
      <c r="C608" s="10" t="s">
        <v>5078</v>
      </c>
      <c r="D608" s="111">
        <v>0</v>
      </c>
      <c r="E608" s="170" t="s">
        <v>5079</v>
      </c>
      <c r="F608" s="111" t="s">
        <v>3785</v>
      </c>
      <c r="G608" s="114">
        <v>45526</v>
      </c>
      <c r="H608" s="170" t="s">
        <v>3768</v>
      </c>
      <c r="I608" s="728"/>
      <c r="J608" s="728"/>
      <c r="K608" s="138"/>
      <c r="L608" s="138">
        <f t="shared" si="9"/>
        <v>0</v>
      </c>
      <c r="M608" s="471"/>
      <c r="N608" s="22" t="s">
        <v>3758</v>
      </c>
      <c r="O608" s="106" t="s">
        <v>3759</v>
      </c>
    </row>
    <row r="609" spans="1:15" hidden="1">
      <c r="A609" s="316" t="s">
        <v>5080</v>
      </c>
      <c r="B609" s="8" t="s">
        <v>5081</v>
      </c>
      <c r="C609" s="10" t="s">
        <v>5082</v>
      </c>
      <c r="D609" s="111">
        <v>0</v>
      </c>
      <c r="E609" s="111" t="s">
        <v>5083</v>
      </c>
      <c r="F609" s="111" t="s">
        <v>3785</v>
      </c>
      <c r="G609" s="114">
        <v>45407</v>
      </c>
      <c r="H609" s="170" t="s">
        <v>3768</v>
      </c>
      <c r="I609" s="728">
        <v>1050</v>
      </c>
      <c r="J609" s="728"/>
      <c r="K609" s="141"/>
      <c r="L609" s="2">
        <f t="shared" si="9"/>
        <v>1050</v>
      </c>
      <c r="M609" s="141"/>
      <c r="N609" s="22" t="s">
        <v>3758</v>
      </c>
      <c r="O609" s="106" t="s">
        <v>3759</v>
      </c>
    </row>
    <row r="610" spans="1:15" hidden="1">
      <c r="A610" s="316" t="s">
        <v>5084</v>
      </c>
      <c r="B610" s="8" t="s">
        <v>5085</v>
      </c>
      <c r="C610" s="10" t="s">
        <v>5086</v>
      </c>
      <c r="D610" s="111">
        <v>0</v>
      </c>
      <c r="E610" s="111" t="s">
        <v>3881</v>
      </c>
      <c r="F610" s="111"/>
      <c r="G610" s="111"/>
      <c r="H610" s="170"/>
      <c r="I610" s="728"/>
      <c r="J610" s="728"/>
      <c r="K610" s="136"/>
      <c r="L610" s="136">
        <f t="shared" si="9"/>
        <v>0</v>
      </c>
      <c r="M610" s="525"/>
      <c r="N610" s="22" t="s">
        <v>3758</v>
      </c>
      <c r="O610" s="106" t="s">
        <v>3759</v>
      </c>
    </row>
    <row r="611" spans="1:15" hidden="1">
      <c r="A611" s="316" t="s">
        <v>5084</v>
      </c>
      <c r="B611" s="8" t="s">
        <v>5087</v>
      </c>
      <c r="C611" s="10" t="s">
        <v>5088</v>
      </c>
      <c r="D611" s="111">
        <v>0</v>
      </c>
      <c r="E611" s="111" t="s">
        <v>5089</v>
      </c>
      <c r="F611" s="111"/>
      <c r="G611" s="111"/>
      <c r="H611" s="170"/>
      <c r="I611" s="728"/>
      <c r="J611" s="728"/>
      <c r="K611" s="138"/>
      <c r="L611" s="138">
        <f t="shared" si="9"/>
        <v>0</v>
      </c>
      <c r="M611" s="471"/>
      <c r="N611" s="22" t="s">
        <v>3758</v>
      </c>
      <c r="O611" s="106" t="s">
        <v>3759</v>
      </c>
    </row>
    <row r="612" spans="1:15" hidden="1">
      <c r="A612" s="316" t="s">
        <v>5045</v>
      </c>
      <c r="B612" s="110">
        <v>1802</v>
      </c>
      <c r="C612" s="44" t="s">
        <v>5047</v>
      </c>
      <c r="D612" s="111">
        <v>0</v>
      </c>
      <c r="E612" s="111" t="s">
        <v>4191</v>
      </c>
      <c r="F612" s="111" t="s">
        <v>3785</v>
      </c>
      <c r="G612" s="114">
        <v>45484</v>
      </c>
      <c r="H612" s="170" t="s">
        <v>3799</v>
      </c>
      <c r="I612" s="728">
        <v>1925</v>
      </c>
      <c r="J612" s="728"/>
      <c r="K612" s="479"/>
      <c r="L612" s="5">
        <f t="shared" si="9"/>
        <v>1925</v>
      </c>
      <c r="M612" s="479"/>
      <c r="N612" s="112" t="s">
        <v>5090</v>
      </c>
      <c r="O612" s="113" t="s">
        <v>3759</v>
      </c>
    </row>
    <row r="613" spans="1:15">
      <c r="A613" s="10" t="s">
        <v>5803</v>
      </c>
      <c r="B613" s="34">
        <v>213275</v>
      </c>
      <c r="C613" s="10" t="s">
        <v>4662</v>
      </c>
      <c r="D613" s="11">
        <v>1</v>
      </c>
      <c r="E613" s="11" t="s">
        <v>4896</v>
      </c>
      <c r="F613" s="11" t="s">
        <v>3763</v>
      </c>
      <c r="G613" s="129">
        <v>45913</v>
      </c>
      <c r="H613" s="161" t="s">
        <v>3930</v>
      </c>
      <c r="I613" s="729"/>
      <c r="J613" s="729"/>
      <c r="K613" s="633"/>
      <c r="L613" s="522">
        <f t="shared" si="9"/>
        <v>0</v>
      </c>
      <c r="M613" s="471"/>
      <c r="N613" s="22"/>
      <c r="O613" s="22" t="s">
        <v>3759</v>
      </c>
    </row>
    <row r="614" spans="1:15">
      <c r="A614" s="10" t="s">
        <v>5789</v>
      </c>
      <c r="B614" s="34">
        <v>33115</v>
      </c>
      <c r="C614" s="10" t="s">
        <v>4662</v>
      </c>
      <c r="D614" s="11">
        <v>1</v>
      </c>
      <c r="E614" s="10" t="s">
        <v>5113</v>
      </c>
      <c r="F614" s="10" t="s">
        <v>3780</v>
      </c>
      <c r="G614" s="129">
        <v>38992</v>
      </c>
      <c r="H614" s="161" t="s">
        <v>5790</v>
      </c>
      <c r="I614" s="729"/>
      <c r="J614" s="729"/>
      <c r="K614" s="633"/>
      <c r="L614" s="522">
        <f t="shared" si="9"/>
        <v>0</v>
      </c>
      <c r="M614" s="471"/>
      <c r="N614" s="22"/>
      <c r="O614" s="22" t="s">
        <v>3759</v>
      </c>
    </row>
    <row r="615" spans="1:15" hidden="1">
      <c r="A615" s="316" t="s">
        <v>5094</v>
      </c>
      <c r="B615" s="558">
        <v>3949</v>
      </c>
      <c r="C615" s="260" t="s">
        <v>5095</v>
      </c>
      <c r="D615" s="555">
        <v>0</v>
      </c>
      <c r="E615" s="555" t="s">
        <v>3968</v>
      </c>
      <c r="F615" s="555"/>
      <c r="G615" s="555"/>
      <c r="H615" s="475"/>
      <c r="I615" s="728"/>
      <c r="J615" s="728"/>
      <c r="K615" s="497"/>
      <c r="L615" s="497">
        <f t="shared" si="9"/>
        <v>0</v>
      </c>
      <c r="M615" s="526"/>
      <c r="N615" s="121" t="s">
        <v>3758</v>
      </c>
      <c r="O615" s="122" t="s">
        <v>3759</v>
      </c>
    </row>
    <row r="616" spans="1:15">
      <c r="A616" s="10" t="s">
        <v>5772</v>
      </c>
      <c r="B616" s="34">
        <v>203941</v>
      </c>
      <c r="C616" s="10" t="s">
        <v>5773</v>
      </c>
      <c r="D616" s="11">
        <v>1</v>
      </c>
      <c r="E616" s="11" t="s">
        <v>4864</v>
      </c>
      <c r="F616" s="11" t="s">
        <v>3763</v>
      </c>
      <c r="G616" s="129">
        <v>45866</v>
      </c>
      <c r="H616" s="161" t="s">
        <v>3930</v>
      </c>
      <c r="I616" s="729"/>
      <c r="J616" s="729"/>
      <c r="K616" s="633"/>
      <c r="L616" s="522">
        <f t="shared" si="9"/>
        <v>0</v>
      </c>
      <c r="M616" s="471"/>
      <c r="N616" s="22"/>
      <c r="O616" s="22" t="s">
        <v>3759</v>
      </c>
    </row>
    <row r="617" spans="1:15">
      <c r="A617" s="10" t="s">
        <v>5772</v>
      </c>
      <c r="B617" s="34">
        <v>202282</v>
      </c>
      <c r="C617" s="10" t="s">
        <v>4662</v>
      </c>
      <c r="D617" s="11">
        <v>1</v>
      </c>
      <c r="E617" s="10" t="s">
        <v>4624</v>
      </c>
      <c r="F617" s="10" t="s">
        <v>3763</v>
      </c>
      <c r="G617" s="129">
        <v>45881</v>
      </c>
      <c r="H617" s="161" t="s">
        <v>3930</v>
      </c>
      <c r="I617" s="729"/>
      <c r="J617" s="729"/>
      <c r="K617" s="633"/>
      <c r="L617" s="522">
        <f t="shared" si="9"/>
        <v>0</v>
      </c>
      <c r="M617" s="471"/>
      <c r="N617" s="22"/>
      <c r="O617" s="22" t="s">
        <v>3759</v>
      </c>
    </row>
    <row r="618" spans="1:15" hidden="1">
      <c r="A618" s="316" t="s">
        <v>5068</v>
      </c>
      <c r="B618" s="554">
        <v>10053</v>
      </c>
      <c r="C618" s="329" t="s">
        <v>5070</v>
      </c>
      <c r="D618" s="555">
        <v>0</v>
      </c>
      <c r="E618" s="555" t="s">
        <v>3815</v>
      </c>
      <c r="F618" s="555" t="s">
        <v>3785</v>
      </c>
      <c r="G618" s="559">
        <v>45609</v>
      </c>
      <c r="H618" s="475" t="s">
        <v>3819</v>
      </c>
      <c r="I618" s="728">
        <v>9000</v>
      </c>
      <c r="J618" s="728"/>
      <c r="K618" s="504"/>
      <c r="L618" s="504">
        <f t="shared" si="9"/>
        <v>9000</v>
      </c>
      <c r="M618" s="527"/>
      <c r="N618" s="107" t="s">
        <v>3758</v>
      </c>
      <c r="O618" s="108" t="s">
        <v>3759</v>
      </c>
    </row>
    <row r="619" spans="1:15" hidden="1">
      <c r="A619" s="316" t="s">
        <v>5100</v>
      </c>
      <c r="B619" s="8">
        <v>1745</v>
      </c>
      <c r="C619" s="10" t="s">
        <v>4558</v>
      </c>
      <c r="D619" s="111">
        <v>0</v>
      </c>
      <c r="E619" s="111" t="s">
        <v>4078</v>
      </c>
      <c r="F619" s="111"/>
      <c r="G619" s="111"/>
      <c r="H619" s="170"/>
      <c r="I619" s="728"/>
      <c r="J619" s="728"/>
      <c r="K619" s="138"/>
      <c r="L619" s="138">
        <f t="shared" si="9"/>
        <v>0</v>
      </c>
      <c r="M619" s="471"/>
      <c r="N619" s="22" t="s">
        <v>3758</v>
      </c>
      <c r="O619" s="106" t="s">
        <v>3759</v>
      </c>
    </row>
    <row r="620" spans="1:15" hidden="1">
      <c r="A620" s="316" t="s">
        <v>5101</v>
      </c>
      <c r="B620" s="8" t="s">
        <v>5102</v>
      </c>
      <c r="C620" s="10" t="s">
        <v>5103</v>
      </c>
      <c r="D620" s="111">
        <v>0</v>
      </c>
      <c r="E620" s="111" t="s">
        <v>5104</v>
      </c>
      <c r="F620" s="111"/>
      <c r="G620" s="111"/>
      <c r="H620" s="170"/>
      <c r="I620" s="728"/>
      <c r="J620" s="728"/>
      <c r="K620" s="138"/>
      <c r="L620" s="138">
        <f t="shared" si="9"/>
        <v>0</v>
      </c>
      <c r="M620" s="471"/>
      <c r="N620" s="22" t="s">
        <v>3758</v>
      </c>
      <c r="O620" s="106" t="s">
        <v>3759</v>
      </c>
    </row>
    <row r="621" spans="1:15" s="1" customFormat="1" hidden="1">
      <c r="A621" s="316" t="s">
        <v>5105</v>
      </c>
      <c r="B621" s="13" t="s">
        <v>5106</v>
      </c>
      <c r="C621" s="10" t="s">
        <v>5107</v>
      </c>
      <c r="D621" s="111">
        <v>0</v>
      </c>
      <c r="E621" s="111" t="s">
        <v>4101</v>
      </c>
      <c r="F621" s="111" t="s">
        <v>3785</v>
      </c>
      <c r="G621" s="114">
        <v>45534</v>
      </c>
      <c r="H621" s="170" t="s">
        <v>3834</v>
      </c>
      <c r="I621" s="728">
        <v>3347</v>
      </c>
      <c r="J621" s="728"/>
      <c r="K621" s="146"/>
      <c r="L621" s="517">
        <f t="shared" si="9"/>
        <v>3347</v>
      </c>
      <c r="M621" s="739"/>
      <c r="N621" s="22" t="s">
        <v>3758</v>
      </c>
      <c r="O621" s="106" t="s">
        <v>3759</v>
      </c>
    </row>
    <row r="622" spans="1:15" hidden="1">
      <c r="A622" s="316" t="s">
        <v>5108</v>
      </c>
      <c r="B622" s="8">
        <v>5368</v>
      </c>
      <c r="C622" s="10" t="s">
        <v>5103</v>
      </c>
      <c r="D622" s="111">
        <v>0</v>
      </c>
      <c r="E622" s="111" t="s">
        <v>5109</v>
      </c>
      <c r="F622" s="111"/>
      <c r="G622" s="111"/>
      <c r="H622" s="170"/>
      <c r="I622" s="728"/>
      <c r="J622" s="728"/>
      <c r="K622" s="136"/>
      <c r="L622" s="136">
        <f t="shared" si="9"/>
        <v>0</v>
      </c>
      <c r="M622" s="525"/>
      <c r="N622" s="22" t="s">
        <v>3758</v>
      </c>
      <c r="O622" s="106" t="s">
        <v>3759</v>
      </c>
    </row>
    <row r="623" spans="1:15" hidden="1">
      <c r="A623" s="316" t="s">
        <v>5110</v>
      </c>
      <c r="B623" s="110">
        <v>920319</v>
      </c>
      <c r="C623" s="44" t="s">
        <v>3854</v>
      </c>
      <c r="D623" s="111">
        <v>0</v>
      </c>
      <c r="E623" s="111" t="s">
        <v>4864</v>
      </c>
      <c r="F623" s="111"/>
      <c r="G623" s="111"/>
      <c r="H623" s="170"/>
      <c r="I623" s="728"/>
      <c r="J623" s="728"/>
      <c r="K623" s="478"/>
      <c r="L623" s="478">
        <f t="shared" si="9"/>
        <v>0</v>
      </c>
      <c r="M623" s="524"/>
      <c r="N623" s="112" t="s">
        <v>3758</v>
      </c>
      <c r="O623" s="113" t="s">
        <v>3759</v>
      </c>
    </row>
    <row r="624" spans="1:15">
      <c r="A624" s="10" t="s">
        <v>5774</v>
      </c>
      <c r="B624" s="34">
        <v>204842</v>
      </c>
      <c r="C624" s="10" t="s">
        <v>5773</v>
      </c>
      <c r="D624" s="11">
        <v>1</v>
      </c>
      <c r="E624" s="11" t="s">
        <v>4864</v>
      </c>
      <c r="F624" s="11" t="s">
        <v>3763</v>
      </c>
      <c r="G624" s="129">
        <v>45863</v>
      </c>
      <c r="H624" s="161" t="s">
        <v>3930</v>
      </c>
      <c r="I624" s="729"/>
      <c r="J624" s="729"/>
      <c r="K624" s="633"/>
      <c r="L624" s="522">
        <f t="shared" si="9"/>
        <v>0</v>
      </c>
      <c r="M624" s="471"/>
      <c r="N624" s="22"/>
      <c r="O624" s="22" t="s">
        <v>3759</v>
      </c>
    </row>
    <row r="625" spans="1:15" hidden="1">
      <c r="A625" s="316" t="s">
        <v>5110</v>
      </c>
      <c r="B625" s="554">
        <v>910558</v>
      </c>
      <c r="C625" s="329" t="s">
        <v>3854</v>
      </c>
      <c r="D625" s="555">
        <v>0</v>
      </c>
      <c r="E625" s="555" t="s">
        <v>5113</v>
      </c>
      <c r="F625" s="555" t="s">
        <v>3763</v>
      </c>
      <c r="G625" s="559">
        <v>44726</v>
      </c>
      <c r="H625" s="475" t="s">
        <v>3768</v>
      </c>
      <c r="I625" s="728">
        <v>1250</v>
      </c>
      <c r="J625" s="728"/>
      <c r="K625" s="484"/>
      <c r="L625" s="653">
        <f t="shared" si="9"/>
        <v>1250</v>
      </c>
      <c r="M625" s="486"/>
      <c r="N625" s="107" t="s">
        <v>3758</v>
      </c>
      <c r="O625" s="108" t="s">
        <v>3759</v>
      </c>
    </row>
    <row r="626" spans="1:15" hidden="1">
      <c r="A626" s="316" t="s">
        <v>5110</v>
      </c>
      <c r="B626" s="8">
        <v>920337</v>
      </c>
      <c r="C626" s="10" t="s">
        <v>3854</v>
      </c>
      <c r="D626" s="111">
        <v>0</v>
      </c>
      <c r="E626" s="111" t="s">
        <v>5114</v>
      </c>
      <c r="F626" s="111" t="s">
        <v>3763</v>
      </c>
      <c r="G626" s="114">
        <v>44484</v>
      </c>
      <c r="H626" s="170" t="s">
        <v>3768</v>
      </c>
      <c r="I626" s="728">
        <v>1250</v>
      </c>
      <c r="J626" s="728"/>
      <c r="K626" s="216"/>
      <c r="L626" s="656">
        <f t="shared" si="9"/>
        <v>1250</v>
      </c>
      <c r="M626" s="513"/>
      <c r="N626" s="22" t="s">
        <v>3758</v>
      </c>
      <c r="O626" s="106" t="s">
        <v>3759</v>
      </c>
    </row>
    <row r="627" spans="1:15" hidden="1">
      <c r="A627" s="316" t="s">
        <v>4953</v>
      </c>
      <c r="B627" s="8" t="s">
        <v>5115</v>
      </c>
      <c r="C627" s="10" t="s">
        <v>5116</v>
      </c>
      <c r="D627" s="111">
        <v>0</v>
      </c>
      <c r="E627" s="111" t="s">
        <v>4223</v>
      </c>
      <c r="F627" s="111" t="s">
        <v>3763</v>
      </c>
      <c r="G627" s="114">
        <v>45688</v>
      </c>
      <c r="H627" s="170" t="s">
        <v>3965</v>
      </c>
      <c r="I627" s="728">
        <v>1156.92</v>
      </c>
      <c r="J627" s="728"/>
      <c r="K627" s="160"/>
      <c r="L627" s="160">
        <f t="shared" si="9"/>
        <v>1156.92</v>
      </c>
      <c r="M627" s="471"/>
      <c r="N627" s="22" t="s">
        <v>3758</v>
      </c>
      <c r="O627" s="106" t="s">
        <v>3759</v>
      </c>
    </row>
    <row r="628" spans="1:15" hidden="1">
      <c r="A628" s="316" t="s">
        <v>5117</v>
      </c>
      <c r="B628" s="8" t="s">
        <v>5118</v>
      </c>
      <c r="C628" s="10" t="s">
        <v>4645</v>
      </c>
      <c r="D628" s="111">
        <v>0</v>
      </c>
      <c r="E628" s="111" t="s">
        <v>4186</v>
      </c>
      <c r="F628" s="111"/>
      <c r="G628" s="111"/>
      <c r="H628" s="170"/>
      <c r="I628" s="728"/>
      <c r="J628" s="728"/>
      <c r="K628" s="138"/>
      <c r="L628" s="138">
        <f t="shared" si="9"/>
        <v>0</v>
      </c>
      <c r="M628" s="471"/>
      <c r="N628" s="22" t="s">
        <v>3758</v>
      </c>
      <c r="O628" s="106" t="s">
        <v>3759</v>
      </c>
    </row>
    <row r="629" spans="1:15" hidden="1">
      <c r="A629" s="316" t="s">
        <v>5117</v>
      </c>
      <c r="B629" s="110" t="s">
        <v>5119</v>
      </c>
      <c r="C629" s="44" t="s">
        <v>4645</v>
      </c>
      <c r="D629" s="111">
        <v>0</v>
      </c>
      <c r="E629" s="111" t="s">
        <v>5120</v>
      </c>
      <c r="F629" s="111"/>
      <c r="G629" s="111"/>
      <c r="H629" s="170"/>
      <c r="I629" s="728"/>
      <c r="J629" s="728"/>
      <c r="K629" s="478"/>
      <c r="L629" s="478">
        <f t="shared" si="9"/>
        <v>0</v>
      </c>
      <c r="M629" s="524"/>
      <c r="N629" s="112" t="s">
        <v>3758</v>
      </c>
      <c r="O629" s="113" t="s">
        <v>3759</v>
      </c>
    </row>
    <row r="630" spans="1:15">
      <c r="A630" s="10" t="s">
        <v>5774</v>
      </c>
      <c r="B630" s="34">
        <v>204840</v>
      </c>
      <c r="C630" s="10" t="s">
        <v>5773</v>
      </c>
      <c r="D630" s="11">
        <v>1</v>
      </c>
      <c r="E630" s="11" t="s">
        <v>4864</v>
      </c>
      <c r="F630" s="11" t="s">
        <v>3763</v>
      </c>
      <c r="G630" s="129">
        <v>45863</v>
      </c>
      <c r="H630" s="161" t="s">
        <v>3930</v>
      </c>
      <c r="I630" s="729"/>
      <c r="J630" s="729"/>
      <c r="K630" s="633"/>
      <c r="L630" s="522">
        <f t="shared" si="9"/>
        <v>0</v>
      </c>
      <c r="M630" s="471"/>
      <c r="N630" s="22"/>
      <c r="O630" s="22" t="s">
        <v>3759</v>
      </c>
    </row>
    <row r="631" spans="1:15">
      <c r="A631" s="10" t="s">
        <v>4811</v>
      </c>
      <c r="B631" s="34">
        <v>249047</v>
      </c>
      <c r="C631" s="10" t="s">
        <v>4812</v>
      </c>
      <c r="D631" s="11">
        <v>1</v>
      </c>
      <c r="E631" s="11" t="s">
        <v>4186</v>
      </c>
      <c r="F631" s="11" t="s">
        <v>3750</v>
      </c>
      <c r="G631" s="129">
        <v>40997</v>
      </c>
      <c r="H631" s="161" t="s">
        <v>3904</v>
      </c>
      <c r="I631" s="729"/>
      <c r="J631" s="729"/>
      <c r="K631" s="636"/>
      <c r="L631" s="522">
        <f t="shared" si="9"/>
        <v>0</v>
      </c>
      <c r="M631" s="142"/>
      <c r="N631" s="12"/>
      <c r="O631" s="12" t="s">
        <v>3759</v>
      </c>
    </row>
    <row r="632" spans="1:15" hidden="1">
      <c r="A632" s="316" t="s">
        <v>5127</v>
      </c>
      <c r="B632" s="554">
        <v>910914</v>
      </c>
      <c r="C632" s="329" t="s">
        <v>4607</v>
      </c>
      <c r="D632" s="555">
        <v>0</v>
      </c>
      <c r="E632" s="576" t="s">
        <v>5128</v>
      </c>
      <c r="F632" s="576" t="s">
        <v>3785</v>
      </c>
      <c r="G632" s="565">
        <v>45545</v>
      </c>
      <c r="H632" s="557" t="s">
        <v>3819</v>
      </c>
      <c r="I632" s="728">
        <v>7000</v>
      </c>
      <c r="J632" s="728"/>
      <c r="K632" s="506"/>
      <c r="L632" s="519">
        <f t="shared" si="9"/>
        <v>7000</v>
      </c>
      <c r="M632" s="736"/>
      <c r="N632" s="107" t="s">
        <v>3758</v>
      </c>
      <c r="O632" s="108" t="s">
        <v>3759</v>
      </c>
    </row>
    <row r="633" spans="1:15" hidden="1">
      <c r="A633" s="316" t="s">
        <v>5129</v>
      </c>
      <c r="B633" s="8">
        <v>9910026</v>
      </c>
      <c r="C633" s="10" t="s">
        <v>5130</v>
      </c>
      <c r="D633" s="111">
        <v>0</v>
      </c>
      <c r="E633" s="46" t="s">
        <v>3771</v>
      </c>
      <c r="F633" s="46"/>
      <c r="G633" s="46"/>
      <c r="H633" s="171"/>
      <c r="I633" s="728"/>
      <c r="J633" s="728"/>
      <c r="K633" s="138"/>
      <c r="L633" s="138">
        <f t="shared" si="9"/>
        <v>0</v>
      </c>
      <c r="M633" s="471"/>
      <c r="N633" s="12" t="s">
        <v>3758</v>
      </c>
      <c r="O633" s="106" t="s">
        <v>3759</v>
      </c>
    </row>
    <row r="634" spans="1:15" hidden="1">
      <c r="A634" s="316" t="s">
        <v>5131</v>
      </c>
      <c r="B634" s="8">
        <v>3537</v>
      </c>
      <c r="C634" s="10" t="s">
        <v>5132</v>
      </c>
      <c r="D634" s="111">
        <v>0</v>
      </c>
      <c r="E634" s="9" t="s">
        <v>3919</v>
      </c>
      <c r="F634" s="9"/>
      <c r="G634" s="9"/>
      <c r="H634" s="119"/>
      <c r="I634" s="728"/>
      <c r="J634" s="728"/>
      <c r="K634" s="138"/>
      <c r="L634" s="138">
        <f t="shared" si="9"/>
        <v>0</v>
      </c>
      <c r="M634" s="471"/>
      <c r="N634" s="22" t="s">
        <v>3758</v>
      </c>
      <c r="O634" s="106" t="s">
        <v>3759</v>
      </c>
    </row>
    <row r="635" spans="1:15" hidden="1">
      <c r="A635" s="316" t="s">
        <v>5131</v>
      </c>
      <c r="B635" s="8">
        <v>7177</v>
      </c>
      <c r="C635" s="10" t="s">
        <v>5132</v>
      </c>
      <c r="D635" s="111">
        <v>0</v>
      </c>
      <c r="E635" s="9" t="s">
        <v>3944</v>
      </c>
      <c r="F635" s="9"/>
      <c r="G635" s="9"/>
      <c r="H635" s="119"/>
      <c r="I635" s="728"/>
      <c r="J635" s="728"/>
      <c r="K635" s="137"/>
      <c r="L635" s="137">
        <f t="shared" si="9"/>
        <v>0</v>
      </c>
      <c r="M635" s="487"/>
      <c r="N635" s="22" t="s">
        <v>3758</v>
      </c>
      <c r="O635" s="106" t="s">
        <v>3759</v>
      </c>
    </row>
    <row r="636" spans="1:15" hidden="1">
      <c r="A636" s="316" t="s">
        <v>5131</v>
      </c>
      <c r="B636" s="8">
        <v>3682</v>
      </c>
      <c r="C636" s="10" t="s">
        <v>5133</v>
      </c>
      <c r="D636" s="111">
        <v>0</v>
      </c>
      <c r="E636" s="9" t="s">
        <v>3950</v>
      </c>
      <c r="F636" s="9"/>
      <c r="G636" s="9"/>
      <c r="H636" s="119"/>
      <c r="I636" s="728"/>
      <c r="J636" s="728"/>
      <c r="K636" s="138"/>
      <c r="L636" s="138">
        <f t="shared" si="9"/>
        <v>0</v>
      </c>
      <c r="M636" s="471"/>
      <c r="N636" s="22" t="s">
        <v>3758</v>
      </c>
      <c r="O636" s="106" t="s">
        <v>3759</v>
      </c>
    </row>
    <row r="637" spans="1:15" hidden="1">
      <c r="A637" s="316" t="s">
        <v>5131</v>
      </c>
      <c r="B637" s="8">
        <v>6047</v>
      </c>
      <c r="C637" s="10" t="s">
        <v>5134</v>
      </c>
      <c r="D637" s="111">
        <v>0</v>
      </c>
      <c r="E637" s="9" t="s">
        <v>3919</v>
      </c>
      <c r="F637" s="9" t="s">
        <v>3763</v>
      </c>
      <c r="G637" s="46">
        <v>45441</v>
      </c>
      <c r="H637" s="119" t="s">
        <v>3934</v>
      </c>
      <c r="I637" s="728">
        <v>1245</v>
      </c>
      <c r="J637" s="728"/>
      <c r="K637" s="141"/>
      <c r="L637" s="2">
        <f t="shared" si="9"/>
        <v>1245</v>
      </c>
      <c r="M637" s="141"/>
      <c r="N637" s="22" t="s">
        <v>3758</v>
      </c>
      <c r="O637" s="106" t="s">
        <v>3759</v>
      </c>
    </row>
    <row r="638" spans="1:15" hidden="1">
      <c r="A638" s="316" t="s">
        <v>5131</v>
      </c>
      <c r="B638" s="110">
        <v>8751</v>
      </c>
      <c r="C638" s="44" t="s">
        <v>5133</v>
      </c>
      <c r="D638" s="111">
        <v>0</v>
      </c>
      <c r="E638" s="114" t="s">
        <v>3950</v>
      </c>
      <c r="F638" s="114" t="s">
        <v>3763</v>
      </c>
      <c r="G638" s="114">
        <v>45462</v>
      </c>
      <c r="H638" s="537" t="s">
        <v>5135</v>
      </c>
      <c r="I638" s="728">
        <v>1575</v>
      </c>
      <c r="J638" s="728"/>
      <c r="K638" s="264"/>
      <c r="L638" s="658">
        <f t="shared" si="9"/>
        <v>1575</v>
      </c>
      <c r="M638" s="264"/>
      <c r="N638" s="112" t="s">
        <v>3758</v>
      </c>
      <c r="O638" s="113" t="s">
        <v>3759</v>
      </c>
    </row>
    <row r="639" spans="1:15">
      <c r="A639" s="10" t="s">
        <v>5780</v>
      </c>
      <c r="B639" s="34" t="s">
        <v>5781</v>
      </c>
      <c r="C639" s="10" t="s">
        <v>5533</v>
      </c>
      <c r="D639" s="11">
        <v>1</v>
      </c>
      <c r="E639" s="10" t="s">
        <v>4989</v>
      </c>
      <c r="F639" s="10" t="s">
        <v>3785</v>
      </c>
      <c r="G639" s="129">
        <v>45884</v>
      </c>
      <c r="H639" s="161" t="s">
        <v>7993</v>
      </c>
      <c r="I639" s="729"/>
      <c r="J639" s="729"/>
      <c r="K639" s="633"/>
      <c r="L639" s="522">
        <f t="shared" si="9"/>
        <v>0</v>
      </c>
      <c r="M639" s="471"/>
      <c r="N639" s="22"/>
      <c r="O639" s="22" t="s">
        <v>3759</v>
      </c>
    </row>
    <row r="640" spans="1:15" hidden="1">
      <c r="A640" s="316" t="s">
        <v>5094</v>
      </c>
      <c r="B640" s="554">
        <v>3123</v>
      </c>
      <c r="C640" s="329" t="s">
        <v>5137</v>
      </c>
      <c r="D640" s="555">
        <v>0</v>
      </c>
      <c r="E640" s="556" t="s">
        <v>3927</v>
      </c>
      <c r="F640" s="556" t="s">
        <v>3763</v>
      </c>
      <c r="G640" s="565">
        <v>45498</v>
      </c>
      <c r="H640" s="557" t="s">
        <v>3930</v>
      </c>
      <c r="I640" s="728">
        <v>1835</v>
      </c>
      <c r="J640" s="728"/>
      <c r="K640" s="500"/>
      <c r="L640" s="90">
        <f t="shared" si="9"/>
        <v>1835</v>
      </c>
      <c r="M640" s="500"/>
      <c r="N640" s="107" t="s">
        <v>3758</v>
      </c>
      <c r="O640" s="108" t="s">
        <v>3759</v>
      </c>
    </row>
    <row r="641" spans="1:15" hidden="1">
      <c r="A641" s="316" t="s">
        <v>5138</v>
      </c>
      <c r="B641" s="8" t="s">
        <v>5139</v>
      </c>
      <c r="C641" s="10" t="s">
        <v>5070</v>
      </c>
      <c r="D641" s="111">
        <v>0</v>
      </c>
      <c r="E641" s="9" t="s">
        <v>5079</v>
      </c>
      <c r="F641" s="9" t="s">
        <v>3785</v>
      </c>
      <c r="G641" s="46">
        <v>45443</v>
      </c>
      <c r="H641" s="119" t="s">
        <v>3768</v>
      </c>
      <c r="I641" s="728">
        <v>27800</v>
      </c>
      <c r="J641" s="728"/>
      <c r="K641" s="213"/>
      <c r="L641" s="19">
        <f t="shared" si="9"/>
        <v>27800</v>
      </c>
      <c r="M641" s="213"/>
      <c r="N641" s="22" t="s">
        <v>3758</v>
      </c>
      <c r="O641" s="106" t="s">
        <v>3759</v>
      </c>
    </row>
    <row r="642" spans="1:15" hidden="1">
      <c r="A642" s="316" t="s">
        <v>5140</v>
      </c>
      <c r="B642" s="8">
        <v>31931</v>
      </c>
      <c r="C642" s="10" t="s">
        <v>5141</v>
      </c>
      <c r="D642" s="111">
        <v>0</v>
      </c>
      <c r="E642" s="9" t="s">
        <v>3882</v>
      </c>
      <c r="F642" s="9"/>
      <c r="G642" s="9"/>
      <c r="H642" s="119"/>
      <c r="I642" s="728"/>
      <c r="J642" s="728"/>
      <c r="K642" s="138"/>
      <c r="L642" s="138">
        <f t="shared" si="9"/>
        <v>0</v>
      </c>
      <c r="M642" s="471"/>
      <c r="N642" s="22" t="s">
        <v>3758</v>
      </c>
      <c r="O642" s="106" t="s">
        <v>3759</v>
      </c>
    </row>
    <row r="643" spans="1:15" hidden="1">
      <c r="A643" s="316" t="s">
        <v>5142</v>
      </c>
      <c r="B643" s="8" t="s">
        <v>5143</v>
      </c>
      <c r="C643" s="10" t="s">
        <v>5144</v>
      </c>
      <c r="D643" s="111">
        <v>0</v>
      </c>
      <c r="E643" s="46" t="s">
        <v>3831</v>
      </c>
      <c r="F643" s="46"/>
      <c r="G643" s="46"/>
      <c r="H643" s="171"/>
      <c r="I643" s="728"/>
      <c r="J643" s="728"/>
      <c r="K643" s="137"/>
      <c r="L643" s="137">
        <f t="shared" si="9"/>
        <v>0</v>
      </c>
      <c r="M643" s="487"/>
      <c r="N643" s="22" t="s">
        <v>3758</v>
      </c>
      <c r="O643" s="106" t="s">
        <v>3759</v>
      </c>
    </row>
    <row r="644" spans="1:15" hidden="1">
      <c r="A644" s="316" t="s">
        <v>5142</v>
      </c>
      <c r="B644" s="8" t="s">
        <v>5145</v>
      </c>
      <c r="C644" s="10" t="s">
        <v>5144</v>
      </c>
      <c r="D644" s="111">
        <v>0</v>
      </c>
      <c r="E644" s="46" t="s">
        <v>3831</v>
      </c>
      <c r="F644" s="46"/>
      <c r="G644" s="46"/>
      <c r="H644" s="171"/>
      <c r="I644" s="728"/>
      <c r="J644" s="728"/>
      <c r="K644" s="138"/>
      <c r="L644" s="138">
        <f t="shared" ref="L644:L707" si="10">IF(OR(I644="", K644=""), I644 + K644, I644 + K644)</f>
        <v>0</v>
      </c>
      <c r="M644" s="471"/>
      <c r="N644" s="22" t="s">
        <v>3758</v>
      </c>
      <c r="O644" s="106" t="s">
        <v>3759</v>
      </c>
    </row>
    <row r="645" spans="1:15" hidden="1">
      <c r="A645" s="316" t="s">
        <v>5142</v>
      </c>
      <c r="B645" s="8" t="s">
        <v>5146</v>
      </c>
      <c r="C645" s="10" t="s">
        <v>5144</v>
      </c>
      <c r="D645" s="111">
        <v>0</v>
      </c>
      <c r="E645" s="46" t="s">
        <v>3831</v>
      </c>
      <c r="F645" s="46" t="s">
        <v>3785</v>
      </c>
      <c r="G645" s="46">
        <v>45442</v>
      </c>
      <c r="H645" s="171" t="s">
        <v>3819</v>
      </c>
      <c r="I645" s="728">
        <v>5200</v>
      </c>
      <c r="J645" s="728"/>
      <c r="K645" s="141"/>
      <c r="L645" s="2">
        <f t="shared" si="10"/>
        <v>5200</v>
      </c>
      <c r="M645" s="141"/>
      <c r="N645" s="22" t="s">
        <v>3758</v>
      </c>
      <c r="O645" s="106" t="s">
        <v>3759</v>
      </c>
    </row>
    <row r="646" spans="1:15" hidden="1">
      <c r="A646" s="316" t="s">
        <v>5138</v>
      </c>
      <c r="B646" s="8" t="s">
        <v>5147</v>
      </c>
      <c r="C646" s="10" t="s">
        <v>5070</v>
      </c>
      <c r="D646" s="111">
        <v>0</v>
      </c>
      <c r="E646" s="9" t="s">
        <v>5079</v>
      </c>
      <c r="F646" s="9" t="s">
        <v>3785</v>
      </c>
      <c r="G646" s="46">
        <v>45518</v>
      </c>
      <c r="H646" s="119" t="s">
        <v>3819</v>
      </c>
      <c r="I646" s="728">
        <v>11600</v>
      </c>
      <c r="J646" s="728"/>
      <c r="K646" s="214"/>
      <c r="L646" s="521">
        <f t="shared" si="10"/>
        <v>11600</v>
      </c>
      <c r="M646" s="731"/>
      <c r="N646" s="22" t="s">
        <v>3758</v>
      </c>
      <c r="O646" s="106" t="s">
        <v>3759</v>
      </c>
    </row>
    <row r="647" spans="1:15" hidden="1">
      <c r="A647" s="316" t="s">
        <v>5101</v>
      </c>
      <c r="B647" s="8" t="s">
        <v>5148</v>
      </c>
      <c r="C647" s="10" t="s">
        <v>5103</v>
      </c>
      <c r="D647" s="111">
        <v>0</v>
      </c>
      <c r="E647" s="9" t="s">
        <v>4703</v>
      </c>
      <c r="F647" s="9" t="s">
        <v>3785</v>
      </c>
      <c r="G647" s="46">
        <v>45413</v>
      </c>
      <c r="H647" s="119" t="s">
        <v>3799</v>
      </c>
      <c r="I647" s="728">
        <v>1300</v>
      </c>
      <c r="J647" s="728"/>
      <c r="K647" s="213"/>
      <c r="L647" s="19">
        <f t="shared" si="10"/>
        <v>1300</v>
      </c>
      <c r="M647" s="213"/>
      <c r="N647" s="22" t="s">
        <v>3940</v>
      </c>
      <c r="O647" s="106" t="s">
        <v>3759</v>
      </c>
    </row>
    <row r="648" spans="1:15" hidden="1">
      <c r="A648" s="316" t="s">
        <v>5110</v>
      </c>
      <c r="B648" s="8">
        <v>911175</v>
      </c>
      <c r="C648" s="10" t="s">
        <v>3854</v>
      </c>
      <c r="D648" s="111">
        <v>0</v>
      </c>
      <c r="E648" s="9" t="s">
        <v>4786</v>
      </c>
      <c r="F648" s="9" t="s">
        <v>3763</v>
      </c>
      <c r="G648" s="46">
        <v>44713</v>
      </c>
      <c r="H648" s="119" t="s">
        <v>3768</v>
      </c>
      <c r="I648" s="728">
        <v>1850</v>
      </c>
      <c r="J648" s="728"/>
      <c r="K648" s="140"/>
      <c r="L648" s="96">
        <f t="shared" si="10"/>
        <v>1850</v>
      </c>
      <c r="M648" s="142"/>
      <c r="N648" s="22" t="s">
        <v>3758</v>
      </c>
      <c r="O648" s="106" t="s">
        <v>3759</v>
      </c>
    </row>
    <row r="649" spans="1:15" hidden="1">
      <c r="A649" s="316" t="s">
        <v>5149</v>
      </c>
      <c r="B649" s="110" t="s">
        <v>5150</v>
      </c>
      <c r="C649" s="44" t="s">
        <v>5151</v>
      </c>
      <c r="D649" s="111">
        <v>0</v>
      </c>
      <c r="E649" s="114" t="s">
        <v>3968</v>
      </c>
      <c r="F649" s="114"/>
      <c r="G649" s="114"/>
      <c r="H649" s="537"/>
      <c r="I649" s="728"/>
      <c r="J649" s="728"/>
      <c r="K649" s="478"/>
      <c r="L649" s="478">
        <f t="shared" si="10"/>
        <v>0</v>
      </c>
      <c r="M649" s="524"/>
      <c r="N649" s="112" t="s">
        <v>3758</v>
      </c>
      <c r="O649" s="113" t="s">
        <v>3759</v>
      </c>
    </row>
    <row r="650" spans="1:15">
      <c r="A650" s="10" t="s">
        <v>5678</v>
      </c>
      <c r="B650" s="34" t="s">
        <v>3748</v>
      </c>
      <c r="C650" s="10" t="s">
        <v>5679</v>
      </c>
      <c r="D650" s="11">
        <v>2</v>
      </c>
      <c r="E650" s="11" t="s">
        <v>4503</v>
      </c>
      <c r="F650" s="11" t="s">
        <v>3780</v>
      </c>
      <c r="G650" s="129">
        <v>45777</v>
      </c>
      <c r="H650" s="161" t="s">
        <v>4747</v>
      </c>
      <c r="I650" s="729"/>
      <c r="J650" s="729"/>
      <c r="K650" s="633"/>
      <c r="L650" s="522">
        <f t="shared" si="10"/>
        <v>0</v>
      </c>
      <c r="M650" s="471"/>
      <c r="N650" s="22"/>
      <c r="O650" s="12" t="s">
        <v>3759</v>
      </c>
    </row>
    <row r="651" spans="1:15">
      <c r="A651" s="10" t="s">
        <v>4647</v>
      </c>
      <c r="B651" s="34">
        <v>1253</v>
      </c>
      <c r="C651" s="10" t="s">
        <v>5760</v>
      </c>
      <c r="D651" s="11">
        <v>1</v>
      </c>
      <c r="E651" s="10" t="s">
        <v>4559</v>
      </c>
      <c r="F651" s="11" t="s">
        <v>3763</v>
      </c>
      <c r="G651" s="129">
        <v>45854</v>
      </c>
      <c r="H651" s="161" t="s">
        <v>4025</v>
      </c>
      <c r="I651" s="729"/>
      <c r="J651" s="729"/>
      <c r="K651" s="633"/>
      <c r="L651" s="522">
        <f t="shared" si="10"/>
        <v>0</v>
      </c>
      <c r="M651" s="471"/>
      <c r="N651" s="22"/>
      <c r="O651" s="22" t="s">
        <v>3759</v>
      </c>
    </row>
    <row r="652" spans="1:15" hidden="1">
      <c r="A652" s="316" t="s">
        <v>5157</v>
      </c>
      <c r="B652" s="554">
        <v>9807059</v>
      </c>
      <c r="C652" s="329" t="s">
        <v>4607</v>
      </c>
      <c r="D652" s="555">
        <v>0</v>
      </c>
      <c r="E652" s="556" t="s">
        <v>3831</v>
      </c>
      <c r="F652" s="556" t="s">
        <v>3785</v>
      </c>
      <c r="G652" s="565">
        <v>45559</v>
      </c>
      <c r="H652" s="557" t="s">
        <v>3819</v>
      </c>
      <c r="I652" s="728">
        <v>7000</v>
      </c>
      <c r="J652" s="728"/>
      <c r="K652" s="502"/>
      <c r="L652" s="516">
        <f t="shared" si="10"/>
        <v>7000</v>
      </c>
      <c r="M652" s="741"/>
      <c r="N652" s="107" t="s">
        <v>3758</v>
      </c>
      <c r="O652" s="108" t="s">
        <v>3759</v>
      </c>
    </row>
    <row r="653" spans="1:15" hidden="1">
      <c r="A653" s="316" t="s">
        <v>5158</v>
      </c>
      <c r="B653" s="8">
        <v>491</v>
      </c>
      <c r="C653" s="10" t="s">
        <v>5159</v>
      </c>
      <c r="D653" s="111">
        <v>0</v>
      </c>
      <c r="E653" s="9" t="s">
        <v>3860</v>
      </c>
      <c r="F653" s="9"/>
      <c r="G653" s="9"/>
      <c r="H653" s="119"/>
      <c r="I653" s="728"/>
      <c r="J653" s="728"/>
      <c r="K653" s="137"/>
      <c r="L653" s="137">
        <f t="shared" si="10"/>
        <v>0</v>
      </c>
      <c r="M653" s="487"/>
      <c r="N653" s="22" t="s">
        <v>3758</v>
      </c>
      <c r="O653" s="106" t="s">
        <v>3759</v>
      </c>
    </row>
    <row r="654" spans="1:15" hidden="1">
      <c r="A654" s="316" t="s">
        <v>5158</v>
      </c>
      <c r="B654" s="110">
        <v>1713</v>
      </c>
      <c r="C654" s="44" t="s">
        <v>5159</v>
      </c>
      <c r="D654" s="111">
        <v>0</v>
      </c>
      <c r="E654" s="548" t="s">
        <v>2754</v>
      </c>
      <c r="F654" s="111" t="s">
        <v>3763</v>
      </c>
      <c r="G654" s="111" t="s">
        <v>5160</v>
      </c>
      <c r="H654" s="170" t="s">
        <v>3965</v>
      </c>
      <c r="I654" s="728">
        <v>1507.5</v>
      </c>
      <c r="J654" s="728"/>
      <c r="K654" s="493"/>
      <c r="L654" s="651">
        <f t="shared" si="10"/>
        <v>1507.5</v>
      </c>
      <c r="M654" s="730"/>
      <c r="N654" s="535" t="s">
        <v>3758</v>
      </c>
      <c r="O654" s="113" t="s">
        <v>3759</v>
      </c>
    </row>
    <row r="655" spans="1:15">
      <c r="A655" s="10" t="s">
        <v>4813</v>
      </c>
      <c r="B655" s="34" t="s">
        <v>4814</v>
      </c>
      <c r="C655" s="10" t="s">
        <v>4815</v>
      </c>
      <c r="D655" s="11">
        <v>1</v>
      </c>
      <c r="E655" s="11" t="s">
        <v>3808</v>
      </c>
      <c r="F655" s="11" t="s">
        <v>3780</v>
      </c>
      <c r="G655" s="129">
        <v>43962</v>
      </c>
      <c r="H655" s="161" t="s">
        <v>3768</v>
      </c>
      <c r="I655" s="729"/>
      <c r="J655" s="729"/>
      <c r="K655" s="636"/>
      <c r="L655" s="522">
        <f t="shared" si="10"/>
        <v>0</v>
      </c>
      <c r="M655" s="142"/>
      <c r="N655" s="22"/>
      <c r="O655" s="22" t="s">
        <v>3759</v>
      </c>
    </row>
    <row r="656" spans="1:15">
      <c r="A656" s="10" t="s">
        <v>5680</v>
      </c>
      <c r="B656" s="34">
        <v>33314</v>
      </c>
      <c r="C656" s="10" t="s">
        <v>4675</v>
      </c>
      <c r="D656" s="11">
        <v>1</v>
      </c>
      <c r="E656" s="11" t="s">
        <v>4680</v>
      </c>
      <c r="F656" s="10" t="s">
        <v>3763</v>
      </c>
      <c r="G656" s="129">
        <v>45768</v>
      </c>
      <c r="H656" s="161" t="s">
        <v>4677</v>
      </c>
      <c r="I656" s="729"/>
      <c r="J656" s="729"/>
      <c r="K656" s="633"/>
      <c r="L656" s="522">
        <f t="shared" si="10"/>
        <v>0</v>
      </c>
      <c r="M656" s="471"/>
      <c r="N656" s="22"/>
      <c r="O656" s="12" t="s">
        <v>3759</v>
      </c>
    </row>
    <row r="657" spans="1:15" hidden="1">
      <c r="A657" s="316" t="s">
        <v>5167</v>
      </c>
      <c r="B657" s="554">
        <v>32445</v>
      </c>
      <c r="C657" s="329" t="s">
        <v>2178</v>
      </c>
      <c r="D657" s="555">
        <v>0</v>
      </c>
      <c r="E657" s="556" t="s">
        <v>4649</v>
      </c>
      <c r="F657" s="556"/>
      <c r="G657" s="556"/>
      <c r="H657" s="557"/>
      <c r="I657" s="728"/>
      <c r="J657" s="728"/>
      <c r="K657" s="498"/>
      <c r="L657" s="498">
        <f t="shared" si="10"/>
        <v>0</v>
      </c>
      <c r="M657" s="527"/>
      <c r="N657" s="40" t="s">
        <v>3758</v>
      </c>
      <c r="O657" s="108" t="s">
        <v>3759</v>
      </c>
    </row>
    <row r="658" spans="1:15" hidden="1">
      <c r="A658" s="316" t="s">
        <v>5167</v>
      </c>
      <c r="B658" s="110">
        <v>32446</v>
      </c>
      <c r="C658" s="44" t="s">
        <v>2178</v>
      </c>
      <c r="D658" s="111">
        <v>0</v>
      </c>
      <c r="E658" s="111" t="s">
        <v>4649</v>
      </c>
      <c r="F658" s="111"/>
      <c r="G658" s="111"/>
      <c r="H658" s="170"/>
      <c r="I658" s="728"/>
      <c r="J658" s="728"/>
      <c r="K658" s="136"/>
      <c r="L658" s="136">
        <f t="shared" si="10"/>
        <v>0</v>
      </c>
      <c r="M658" s="525"/>
      <c r="N658" s="144" t="s">
        <v>3758</v>
      </c>
      <c r="O658" s="113" t="s">
        <v>3759</v>
      </c>
    </row>
    <row r="659" spans="1:15">
      <c r="A659" s="10" t="s">
        <v>5680</v>
      </c>
      <c r="B659" s="34">
        <v>33308</v>
      </c>
      <c r="C659" s="10" t="s">
        <v>4675</v>
      </c>
      <c r="D659" s="11">
        <v>1</v>
      </c>
      <c r="E659" s="11" t="s">
        <v>4680</v>
      </c>
      <c r="F659" s="10" t="s">
        <v>3763</v>
      </c>
      <c r="G659" s="129">
        <v>45768</v>
      </c>
      <c r="H659" s="161" t="s">
        <v>4677</v>
      </c>
      <c r="I659" s="729"/>
      <c r="J659" s="729"/>
      <c r="K659" s="633"/>
      <c r="L659" s="522">
        <f t="shared" si="10"/>
        <v>0</v>
      </c>
      <c r="M659" s="471"/>
      <c r="N659" s="22"/>
      <c r="O659" s="12" t="s">
        <v>3759</v>
      </c>
    </row>
    <row r="660" spans="1:15">
      <c r="A660" s="10" t="s">
        <v>5680</v>
      </c>
      <c r="B660" s="34">
        <v>23945</v>
      </c>
      <c r="C660" s="10" t="s">
        <v>4675</v>
      </c>
      <c r="D660" s="11">
        <v>1</v>
      </c>
      <c r="E660" s="11" t="s">
        <v>5681</v>
      </c>
      <c r="F660" s="10" t="s">
        <v>3763</v>
      </c>
      <c r="G660" s="129">
        <v>45768</v>
      </c>
      <c r="H660" s="161" t="s">
        <v>4677</v>
      </c>
      <c r="I660" s="729"/>
      <c r="J660" s="729"/>
      <c r="K660" s="633"/>
      <c r="L660" s="522">
        <f t="shared" si="10"/>
        <v>0</v>
      </c>
      <c r="M660" s="471"/>
      <c r="N660" s="22"/>
      <c r="O660" s="12" t="s">
        <v>3759</v>
      </c>
    </row>
    <row r="661" spans="1:15" hidden="1">
      <c r="A661" s="316" t="s">
        <v>5174</v>
      </c>
      <c r="B661" s="558">
        <v>237</v>
      </c>
      <c r="C661" s="260" t="s">
        <v>5175</v>
      </c>
      <c r="D661" s="555">
        <v>0</v>
      </c>
      <c r="E661" s="555" t="s">
        <v>5037</v>
      </c>
      <c r="F661" s="555"/>
      <c r="G661" s="555"/>
      <c r="H661" s="475"/>
      <c r="I661" s="728"/>
      <c r="J661" s="728"/>
      <c r="K661" s="169"/>
      <c r="L661" s="169">
        <f t="shared" si="10"/>
        <v>0</v>
      </c>
      <c r="M661" s="668"/>
      <c r="N661" s="121" t="s">
        <v>3758</v>
      </c>
      <c r="O661" s="122" t="s">
        <v>3759</v>
      </c>
    </row>
    <row r="662" spans="1:15">
      <c r="A662" s="10" t="s">
        <v>5680</v>
      </c>
      <c r="B662" s="34">
        <v>23938</v>
      </c>
      <c r="C662" s="10" t="s">
        <v>4675</v>
      </c>
      <c r="D662" s="11">
        <v>1</v>
      </c>
      <c r="E662" s="11" t="s">
        <v>5681</v>
      </c>
      <c r="F662" s="10" t="s">
        <v>3763</v>
      </c>
      <c r="G662" s="129">
        <v>45768</v>
      </c>
      <c r="H662" s="161" t="s">
        <v>4677</v>
      </c>
      <c r="I662" s="729"/>
      <c r="J662" s="729"/>
      <c r="K662" s="633"/>
      <c r="L662" s="522">
        <f t="shared" si="10"/>
        <v>0</v>
      </c>
      <c r="M662" s="471"/>
      <c r="N662" s="22"/>
      <c r="O662" s="12" t="s">
        <v>3759</v>
      </c>
    </row>
    <row r="663" spans="1:15">
      <c r="A663" s="10" t="s">
        <v>5680</v>
      </c>
      <c r="B663" s="34">
        <v>18044</v>
      </c>
      <c r="C663" s="10" t="s">
        <v>4675</v>
      </c>
      <c r="D663" s="11">
        <v>1</v>
      </c>
      <c r="E663" s="11" t="s">
        <v>5682</v>
      </c>
      <c r="F663" s="10" t="s">
        <v>3763</v>
      </c>
      <c r="G663" s="129">
        <v>45768</v>
      </c>
      <c r="H663" s="161" t="s">
        <v>4677</v>
      </c>
      <c r="I663" s="729"/>
      <c r="J663" s="729"/>
      <c r="K663" s="633"/>
      <c r="L663" s="522">
        <f t="shared" si="10"/>
        <v>0</v>
      </c>
      <c r="M663" s="471"/>
      <c r="N663" s="22"/>
      <c r="O663" s="12" t="s">
        <v>3759</v>
      </c>
    </row>
    <row r="664" spans="1:15">
      <c r="A664" s="10" t="s">
        <v>5680</v>
      </c>
      <c r="B664" s="34">
        <v>18040</v>
      </c>
      <c r="C664" s="10" t="s">
        <v>4675</v>
      </c>
      <c r="D664" s="11">
        <v>1</v>
      </c>
      <c r="E664" s="11" t="s">
        <v>5682</v>
      </c>
      <c r="F664" s="10" t="s">
        <v>3763</v>
      </c>
      <c r="G664" s="129">
        <v>45768</v>
      </c>
      <c r="H664" s="161" t="s">
        <v>4677</v>
      </c>
      <c r="I664" s="729"/>
      <c r="J664" s="729"/>
      <c r="K664" s="633"/>
      <c r="L664" s="522">
        <f t="shared" si="10"/>
        <v>0</v>
      </c>
      <c r="M664" s="471"/>
      <c r="N664" s="22"/>
      <c r="O664" s="12" t="s">
        <v>3759</v>
      </c>
    </row>
    <row r="665" spans="1:15">
      <c r="A665" s="316" t="s">
        <v>4816</v>
      </c>
      <c r="B665" s="316" t="s">
        <v>4817</v>
      </c>
      <c r="C665" s="316" t="s">
        <v>4818</v>
      </c>
      <c r="D665" s="316">
        <v>1</v>
      </c>
      <c r="E665" s="316" t="s">
        <v>8156</v>
      </c>
      <c r="F665" s="316" t="s">
        <v>3785</v>
      </c>
      <c r="G665" s="316">
        <v>45558</v>
      </c>
      <c r="H665" s="316" t="s">
        <v>4110</v>
      </c>
      <c r="I665" s="316"/>
      <c r="J665" s="316"/>
      <c r="K665" s="316"/>
      <c r="L665" s="522">
        <f t="shared" si="10"/>
        <v>0</v>
      </c>
      <c r="M665" s="318"/>
      <c r="N665" s="407" t="s">
        <v>8154</v>
      </c>
      <c r="O665" s="22" t="s">
        <v>3759</v>
      </c>
    </row>
    <row r="666" spans="1:15">
      <c r="A666" s="10" t="s">
        <v>4819</v>
      </c>
      <c r="B666" s="34" t="s">
        <v>4820</v>
      </c>
      <c r="C666" s="10" t="s">
        <v>4698</v>
      </c>
      <c r="D666" s="11">
        <v>1</v>
      </c>
      <c r="E666" s="11" t="s">
        <v>4821</v>
      </c>
      <c r="F666" s="11" t="s">
        <v>3785</v>
      </c>
      <c r="G666" s="129">
        <v>44614</v>
      </c>
      <c r="H666" s="161" t="s">
        <v>3768</v>
      </c>
      <c r="I666" s="729"/>
      <c r="J666" s="729"/>
      <c r="K666" s="636"/>
      <c r="L666" s="522">
        <f t="shared" si="10"/>
        <v>0</v>
      </c>
      <c r="M666" s="142"/>
      <c r="N666" s="22"/>
      <c r="O666" s="22" t="s">
        <v>3759</v>
      </c>
    </row>
    <row r="667" spans="1:15">
      <c r="A667" s="10" t="s">
        <v>4696</v>
      </c>
      <c r="B667" s="34" t="s">
        <v>4822</v>
      </c>
      <c r="C667" s="10" t="s">
        <v>4823</v>
      </c>
      <c r="D667" s="11">
        <v>1</v>
      </c>
      <c r="E667" s="11" t="s">
        <v>4465</v>
      </c>
      <c r="F667" s="11" t="s">
        <v>3785</v>
      </c>
      <c r="G667" s="129">
        <v>45735</v>
      </c>
      <c r="H667" s="161" t="s">
        <v>3930</v>
      </c>
      <c r="I667" s="729"/>
      <c r="J667" s="729"/>
      <c r="K667" s="633"/>
      <c r="L667" s="522">
        <f t="shared" si="10"/>
        <v>0</v>
      </c>
      <c r="M667" s="471"/>
      <c r="N667" s="22"/>
      <c r="O667" s="22" t="s">
        <v>3759</v>
      </c>
    </row>
    <row r="668" spans="1:15" hidden="1">
      <c r="A668" s="316" t="s">
        <v>5158</v>
      </c>
      <c r="B668" s="554">
        <v>1713</v>
      </c>
      <c r="C668" s="329" t="s">
        <v>5182</v>
      </c>
      <c r="D668" s="555">
        <v>0</v>
      </c>
      <c r="E668" s="556" t="s">
        <v>5183</v>
      </c>
      <c r="F668" s="556" t="s">
        <v>3763</v>
      </c>
      <c r="G668" s="565">
        <v>45618</v>
      </c>
      <c r="H668" s="557" t="s">
        <v>3965</v>
      </c>
      <c r="I668" s="728">
        <v>1307.5</v>
      </c>
      <c r="J668" s="728"/>
      <c r="K668" s="499"/>
      <c r="L668" s="499">
        <f t="shared" si="10"/>
        <v>1307.5</v>
      </c>
      <c r="M668" s="670"/>
      <c r="N668" s="107" t="s">
        <v>3758</v>
      </c>
      <c r="O668" s="108" t="s">
        <v>3759</v>
      </c>
    </row>
    <row r="669" spans="1:15" hidden="1">
      <c r="A669" s="316" t="s">
        <v>5184</v>
      </c>
      <c r="B669" s="8">
        <v>23244</v>
      </c>
      <c r="C669" s="10" t="s">
        <v>4247</v>
      </c>
      <c r="D669" s="111">
        <v>0</v>
      </c>
      <c r="E669" s="9" t="s">
        <v>4503</v>
      </c>
      <c r="F669" s="9"/>
      <c r="G669" s="9"/>
      <c r="H669" s="119"/>
      <c r="I669" s="728"/>
      <c r="J669" s="728"/>
      <c r="K669" s="138"/>
      <c r="L669" s="138">
        <f t="shared" si="10"/>
        <v>0</v>
      </c>
      <c r="M669" s="471"/>
      <c r="N669" s="12" t="s">
        <v>3961</v>
      </c>
      <c r="O669" s="106" t="s">
        <v>3759</v>
      </c>
    </row>
    <row r="670" spans="1:15" hidden="1">
      <c r="A670" s="316" t="s">
        <v>5184</v>
      </c>
      <c r="B670" s="8">
        <v>23230</v>
      </c>
      <c r="C670" s="10" t="s">
        <v>4247</v>
      </c>
      <c r="D670" s="111">
        <v>0</v>
      </c>
      <c r="E670" s="9" t="s">
        <v>5185</v>
      </c>
      <c r="F670" s="9"/>
      <c r="G670" s="9"/>
      <c r="H670" s="119"/>
      <c r="I670" s="728"/>
      <c r="J670" s="728"/>
      <c r="K670" s="138"/>
      <c r="L670" s="138">
        <f t="shared" si="10"/>
        <v>0</v>
      </c>
      <c r="M670" s="471"/>
      <c r="N670" s="12" t="s">
        <v>3758</v>
      </c>
      <c r="O670" s="106" t="s">
        <v>3759</v>
      </c>
    </row>
    <row r="671" spans="1:15" hidden="1">
      <c r="A671" s="316" t="s">
        <v>5184</v>
      </c>
      <c r="B671" s="8" t="s">
        <v>5186</v>
      </c>
      <c r="C671" s="10" t="s">
        <v>4247</v>
      </c>
      <c r="D671" s="111">
        <v>0</v>
      </c>
      <c r="E671" s="9" t="s">
        <v>5187</v>
      </c>
      <c r="F671" s="9"/>
      <c r="G671" s="9"/>
      <c r="H671" s="119"/>
      <c r="I671" s="728"/>
      <c r="J671" s="728"/>
      <c r="K671" s="138"/>
      <c r="L671" s="138">
        <f t="shared" si="10"/>
        <v>0</v>
      </c>
      <c r="M671" s="471"/>
      <c r="N671" s="22" t="s">
        <v>3758</v>
      </c>
      <c r="O671" s="106" t="s">
        <v>3759</v>
      </c>
    </row>
    <row r="672" spans="1:15" hidden="1">
      <c r="A672" s="316" t="s">
        <v>5184</v>
      </c>
      <c r="B672" s="8">
        <v>10737</v>
      </c>
      <c r="C672" s="10" t="s">
        <v>4247</v>
      </c>
      <c r="D672" s="111">
        <v>0</v>
      </c>
      <c r="E672" s="9" t="s">
        <v>5188</v>
      </c>
      <c r="F672" s="9"/>
      <c r="G672" s="9"/>
      <c r="H672" s="119"/>
      <c r="I672" s="728"/>
      <c r="J672" s="728"/>
      <c r="K672" s="138"/>
      <c r="L672" s="138">
        <f t="shared" si="10"/>
        <v>0</v>
      </c>
      <c r="M672" s="471"/>
      <c r="N672" s="22" t="s">
        <v>3758</v>
      </c>
      <c r="O672" s="106" t="s">
        <v>3759</v>
      </c>
    </row>
    <row r="673" spans="1:15" hidden="1">
      <c r="A673" s="316" t="s">
        <v>5184</v>
      </c>
      <c r="B673" s="110">
        <v>30383</v>
      </c>
      <c r="C673" s="44" t="s">
        <v>4247</v>
      </c>
      <c r="D673" s="111">
        <v>0</v>
      </c>
      <c r="E673" s="111" t="s">
        <v>5188</v>
      </c>
      <c r="F673" s="111" t="s">
        <v>3763</v>
      </c>
      <c r="G673" s="111"/>
      <c r="H673" s="170"/>
      <c r="I673" s="728"/>
      <c r="J673" s="728"/>
      <c r="K673" s="478"/>
      <c r="L673" s="478">
        <f t="shared" si="10"/>
        <v>0</v>
      </c>
      <c r="M673" s="524"/>
      <c r="N673" s="112" t="s">
        <v>3758</v>
      </c>
      <c r="O673" s="113" t="s">
        <v>3759</v>
      </c>
    </row>
    <row r="674" spans="1:15" ht="14.25" customHeight="1">
      <c r="A674" s="10" t="s">
        <v>4829</v>
      </c>
      <c r="B674" s="34" t="s">
        <v>4830</v>
      </c>
      <c r="C674" s="10" t="s">
        <v>4831</v>
      </c>
      <c r="D674" s="11">
        <v>1</v>
      </c>
      <c r="E674" s="11" t="s">
        <v>4832</v>
      </c>
      <c r="F674" s="11" t="s">
        <v>3763</v>
      </c>
      <c r="G674" s="129">
        <v>45187</v>
      </c>
      <c r="H674" s="161" t="s">
        <v>3768</v>
      </c>
      <c r="I674" s="729"/>
      <c r="J674" s="729"/>
      <c r="K674" s="636"/>
      <c r="L674" s="522">
        <f t="shared" si="10"/>
        <v>0</v>
      </c>
      <c r="M674" s="142"/>
      <c r="N674" s="22"/>
      <c r="O674" s="22" t="s">
        <v>3759</v>
      </c>
    </row>
    <row r="675" spans="1:15" ht="18" hidden="1" customHeight="1">
      <c r="A675" s="316" t="s">
        <v>5192</v>
      </c>
      <c r="B675" s="554" t="s">
        <v>5193</v>
      </c>
      <c r="C675" s="329" t="s">
        <v>4144</v>
      </c>
      <c r="D675" s="555">
        <v>0</v>
      </c>
      <c r="E675" s="556" t="s">
        <v>3948</v>
      </c>
      <c r="F675" s="556" t="s">
        <v>4310</v>
      </c>
      <c r="G675" s="565">
        <v>45582</v>
      </c>
      <c r="H675" s="557" t="s">
        <v>3834</v>
      </c>
      <c r="I675" s="728">
        <v>3450</v>
      </c>
      <c r="J675" s="728"/>
      <c r="K675" s="498"/>
      <c r="L675" s="498">
        <f t="shared" si="10"/>
        <v>3450</v>
      </c>
      <c r="M675" s="527"/>
      <c r="N675" s="107" t="s">
        <v>3758</v>
      </c>
      <c r="O675" s="108" t="s">
        <v>3759</v>
      </c>
    </row>
    <row r="676" spans="1:15" hidden="1">
      <c r="A676" s="316" t="s">
        <v>5184</v>
      </c>
      <c r="B676" s="8">
        <v>23376</v>
      </c>
      <c r="C676" s="10" t="s">
        <v>4247</v>
      </c>
      <c r="D676" s="111">
        <v>0</v>
      </c>
      <c r="E676" s="9" t="s">
        <v>5188</v>
      </c>
      <c r="F676" s="9" t="s">
        <v>3763</v>
      </c>
      <c r="G676" s="46">
        <v>45467</v>
      </c>
      <c r="H676" s="119" t="s">
        <v>4543</v>
      </c>
      <c r="I676" s="728">
        <v>950</v>
      </c>
      <c r="J676" s="728"/>
      <c r="K676" s="141"/>
      <c r="L676" s="2">
        <f t="shared" si="10"/>
        <v>950</v>
      </c>
      <c r="M676" s="141"/>
      <c r="N676" s="22" t="s">
        <v>3758</v>
      </c>
      <c r="O676" s="106" t="s">
        <v>3759</v>
      </c>
    </row>
    <row r="677" spans="1:15" hidden="1">
      <c r="A677" s="316" t="s">
        <v>5184</v>
      </c>
      <c r="B677" s="8">
        <v>23261</v>
      </c>
      <c r="C677" s="10" t="s">
        <v>4247</v>
      </c>
      <c r="D677" s="111">
        <v>0</v>
      </c>
      <c r="E677" s="9" t="s">
        <v>5188</v>
      </c>
      <c r="F677" s="9" t="s">
        <v>3763</v>
      </c>
      <c r="G677" s="46">
        <v>45467</v>
      </c>
      <c r="H677" s="119" t="s">
        <v>4543</v>
      </c>
      <c r="I677" s="728"/>
      <c r="J677" s="728"/>
      <c r="K677" s="138"/>
      <c r="L677" s="138">
        <f t="shared" si="10"/>
        <v>0</v>
      </c>
      <c r="M677" s="471"/>
      <c r="N677" s="22" t="s">
        <v>3758</v>
      </c>
      <c r="O677" s="106" t="s">
        <v>3759</v>
      </c>
    </row>
    <row r="678" spans="1:15" hidden="1">
      <c r="A678" s="316" t="s">
        <v>5194</v>
      </c>
      <c r="B678" s="8" t="s">
        <v>5195</v>
      </c>
      <c r="C678" s="10" t="s">
        <v>5196</v>
      </c>
      <c r="D678" s="111">
        <v>0</v>
      </c>
      <c r="E678" s="9" t="s">
        <v>5128</v>
      </c>
      <c r="F678" s="9" t="s">
        <v>3798</v>
      </c>
      <c r="G678" s="46">
        <v>43868</v>
      </c>
      <c r="H678" s="119" t="s">
        <v>4713</v>
      </c>
      <c r="I678" s="728"/>
      <c r="J678" s="728"/>
      <c r="K678" s="137"/>
      <c r="L678" s="137">
        <f t="shared" si="10"/>
        <v>0</v>
      </c>
      <c r="M678" s="487"/>
      <c r="N678" s="22" t="s">
        <v>3758</v>
      </c>
      <c r="O678" s="106" t="s">
        <v>3759</v>
      </c>
    </row>
    <row r="679" spans="1:15" hidden="1">
      <c r="A679" s="316" t="s">
        <v>5184</v>
      </c>
      <c r="B679" s="8">
        <v>23372</v>
      </c>
      <c r="C679" s="10" t="s">
        <v>4247</v>
      </c>
      <c r="D679" s="111">
        <v>0</v>
      </c>
      <c r="E679" s="9" t="s">
        <v>5188</v>
      </c>
      <c r="F679" s="9" t="s">
        <v>3763</v>
      </c>
      <c r="G679" s="46">
        <v>45467</v>
      </c>
      <c r="H679" s="119" t="s">
        <v>4543</v>
      </c>
      <c r="I679" s="728">
        <v>950</v>
      </c>
      <c r="J679" s="728"/>
      <c r="K679" s="141"/>
      <c r="L679" s="2">
        <f t="shared" si="10"/>
        <v>950</v>
      </c>
      <c r="M679" s="141"/>
      <c r="N679" s="22" t="s">
        <v>3758</v>
      </c>
      <c r="O679" s="106" t="s">
        <v>3759</v>
      </c>
    </row>
    <row r="680" spans="1:15" hidden="1">
      <c r="A680" s="316" t="s">
        <v>5184</v>
      </c>
      <c r="B680" s="110">
        <v>24180</v>
      </c>
      <c r="C680" s="44" t="s">
        <v>4247</v>
      </c>
      <c r="D680" s="111">
        <v>0</v>
      </c>
      <c r="E680" s="111" t="s">
        <v>5188</v>
      </c>
      <c r="F680" s="111" t="s">
        <v>3763</v>
      </c>
      <c r="G680" s="114">
        <v>45467</v>
      </c>
      <c r="H680" s="170" t="s">
        <v>4543</v>
      </c>
      <c r="I680" s="728">
        <v>1475</v>
      </c>
      <c r="J680" s="728"/>
      <c r="K680" s="479"/>
      <c r="L680" s="5">
        <f t="shared" si="10"/>
        <v>1475</v>
      </c>
      <c r="M680" s="479"/>
      <c r="N680" s="112" t="s">
        <v>3758</v>
      </c>
      <c r="O680" s="113" t="s">
        <v>3759</v>
      </c>
    </row>
    <row r="681" spans="1:15">
      <c r="A681" s="10" t="s">
        <v>4833</v>
      </c>
      <c r="B681" s="34" t="s">
        <v>4834</v>
      </c>
      <c r="C681" s="10" t="s">
        <v>1030</v>
      </c>
      <c r="D681" s="11">
        <v>1</v>
      </c>
      <c r="E681" s="11" t="s">
        <v>4602</v>
      </c>
      <c r="F681" s="11" t="s">
        <v>3763</v>
      </c>
      <c r="G681" s="129">
        <v>45768</v>
      </c>
      <c r="H681" s="161" t="s">
        <v>4835</v>
      </c>
      <c r="I681" s="729"/>
      <c r="J681" s="729"/>
      <c r="K681" s="633"/>
      <c r="L681" s="522">
        <f t="shared" si="10"/>
        <v>0</v>
      </c>
      <c r="M681" s="471"/>
      <c r="N681" s="22"/>
      <c r="O681" s="22" t="s">
        <v>3759</v>
      </c>
    </row>
    <row r="682" spans="1:15">
      <c r="A682" s="10" t="s">
        <v>4841</v>
      </c>
      <c r="B682" s="34" t="s">
        <v>4842</v>
      </c>
      <c r="C682" s="10" t="s">
        <v>4500</v>
      </c>
      <c r="D682" s="11">
        <v>1</v>
      </c>
      <c r="E682" s="11" t="s">
        <v>4843</v>
      </c>
      <c r="F682" s="11" t="s">
        <v>3798</v>
      </c>
      <c r="G682" s="129">
        <v>45452</v>
      </c>
      <c r="H682" s="161" t="s">
        <v>4009</v>
      </c>
      <c r="I682" s="729"/>
      <c r="J682" s="729"/>
      <c r="K682" s="634"/>
      <c r="L682" s="522">
        <f t="shared" si="10"/>
        <v>0</v>
      </c>
      <c r="M682" s="141"/>
      <c r="N682" s="22"/>
      <c r="O682" s="22" t="s">
        <v>3759</v>
      </c>
    </row>
    <row r="683" spans="1:15" hidden="1">
      <c r="A683" s="316" t="s">
        <v>5202</v>
      </c>
      <c r="B683" s="554">
        <v>1369</v>
      </c>
      <c r="C683" s="329" t="s">
        <v>5203</v>
      </c>
      <c r="D683" s="555">
        <v>0</v>
      </c>
      <c r="E683" s="556" t="s">
        <v>3855</v>
      </c>
      <c r="F683" s="556"/>
      <c r="G683" s="556"/>
      <c r="H683" s="557"/>
      <c r="I683" s="728"/>
      <c r="J683" s="728"/>
      <c r="K683" s="498"/>
      <c r="L683" s="498">
        <f t="shared" si="10"/>
        <v>0</v>
      </c>
      <c r="M683" s="527"/>
      <c r="N683" s="40" t="s">
        <v>3758</v>
      </c>
      <c r="O683" s="108" t="s">
        <v>3759</v>
      </c>
    </row>
    <row r="684" spans="1:15" hidden="1">
      <c r="A684" s="316" t="s">
        <v>5202</v>
      </c>
      <c r="B684" s="110">
        <v>359</v>
      </c>
      <c r="C684" s="44" t="s">
        <v>5203</v>
      </c>
      <c r="D684" s="111">
        <v>0</v>
      </c>
      <c r="E684" s="111" t="s">
        <v>4937</v>
      </c>
      <c r="F684" s="111"/>
      <c r="G684" s="111"/>
      <c r="H684" s="170"/>
      <c r="I684" s="728"/>
      <c r="J684" s="728"/>
      <c r="K684" s="478"/>
      <c r="L684" s="478">
        <f t="shared" si="10"/>
        <v>0</v>
      </c>
      <c r="M684" s="524"/>
      <c r="N684" s="112" t="s">
        <v>3758</v>
      </c>
      <c r="O684" s="113" t="s">
        <v>3759</v>
      </c>
    </row>
    <row r="685" spans="1:15">
      <c r="A685" s="10" t="s">
        <v>4700</v>
      </c>
      <c r="B685" s="34">
        <v>99193</v>
      </c>
      <c r="C685" s="10" t="s">
        <v>2264</v>
      </c>
      <c r="D685" s="11">
        <v>1</v>
      </c>
      <c r="E685" s="11" t="s">
        <v>4705</v>
      </c>
      <c r="F685" s="11" t="s">
        <v>3763</v>
      </c>
      <c r="G685" s="129">
        <v>45661</v>
      </c>
      <c r="H685" s="161" t="s">
        <v>4706</v>
      </c>
      <c r="I685" s="729"/>
      <c r="J685" s="729"/>
      <c r="K685" s="639"/>
      <c r="L685" s="522">
        <f t="shared" si="10"/>
        <v>0</v>
      </c>
      <c r="M685" s="471"/>
      <c r="N685" s="22"/>
      <c r="O685" s="22" t="s">
        <v>3759</v>
      </c>
    </row>
    <row r="686" spans="1:15" ht="18.75" hidden="1" customHeight="1">
      <c r="A686" s="316" t="s">
        <v>5207</v>
      </c>
      <c r="B686" s="558" t="s">
        <v>5208</v>
      </c>
      <c r="C686" s="260" t="s">
        <v>5209</v>
      </c>
      <c r="D686" s="555">
        <v>0</v>
      </c>
      <c r="E686" s="555" t="s">
        <v>4481</v>
      </c>
      <c r="F686" s="555"/>
      <c r="G686" s="555"/>
      <c r="H686" s="475"/>
      <c r="I686" s="728"/>
      <c r="J686" s="728"/>
      <c r="K686" s="497"/>
      <c r="L686" s="497">
        <f t="shared" si="10"/>
        <v>0</v>
      </c>
      <c r="M686" s="526"/>
      <c r="N686" s="581" t="s">
        <v>3758</v>
      </c>
      <c r="O686" s="122" t="s">
        <v>3759</v>
      </c>
    </row>
    <row r="687" spans="1:15">
      <c r="A687" s="10" t="s">
        <v>4700</v>
      </c>
      <c r="B687" s="34" t="s">
        <v>4852</v>
      </c>
      <c r="C687" s="10" t="s">
        <v>2264</v>
      </c>
      <c r="D687" s="11">
        <v>1</v>
      </c>
      <c r="E687" s="11" t="s">
        <v>4705</v>
      </c>
      <c r="F687" s="11" t="s">
        <v>3763</v>
      </c>
      <c r="G687" s="129">
        <v>45447</v>
      </c>
      <c r="H687" s="161" t="s">
        <v>4706</v>
      </c>
      <c r="I687" s="729"/>
      <c r="J687" s="729"/>
      <c r="K687" s="634"/>
      <c r="L687" s="522">
        <f t="shared" si="10"/>
        <v>0</v>
      </c>
      <c r="M687" s="141"/>
      <c r="N687" s="22"/>
      <c r="O687" s="22" t="s">
        <v>3759</v>
      </c>
    </row>
    <row r="688" spans="1:15" hidden="1">
      <c r="A688" s="316" t="s">
        <v>5214</v>
      </c>
      <c r="B688" s="558" t="s">
        <v>5215</v>
      </c>
      <c r="C688" s="260" t="s">
        <v>5216</v>
      </c>
      <c r="D688" s="555">
        <v>0</v>
      </c>
      <c r="E688" s="555" t="s">
        <v>5217</v>
      </c>
      <c r="F688" s="555"/>
      <c r="G688" s="555"/>
      <c r="H688" s="475"/>
      <c r="I688" s="728"/>
      <c r="J688" s="728"/>
      <c r="K688" s="169"/>
      <c r="L688" s="169">
        <f t="shared" si="10"/>
        <v>0</v>
      </c>
      <c r="M688" s="668"/>
      <c r="N688" s="121" t="s">
        <v>3758</v>
      </c>
      <c r="O688" s="122" t="s">
        <v>3759</v>
      </c>
    </row>
    <row r="689" spans="1:15">
      <c r="A689" s="10" t="s">
        <v>4700</v>
      </c>
      <c r="B689" s="34" t="s">
        <v>8050</v>
      </c>
      <c r="C689" s="10" t="s">
        <v>2264</v>
      </c>
      <c r="D689" s="11">
        <v>1</v>
      </c>
      <c r="E689" s="11" t="s">
        <v>4757</v>
      </c>
      <c r="F689" s="11" t="s">
        <v>3763</v>
      </c>
      <c r="G689" s="129">
        <v>45936</v>
      </c>
      <c r="H689" s="161" t="s">
        <v>4706</v>
      </c>
      <c r="I689" s="729"/>
      <c r="J689" s="729"/>
      <c r="K689" s="633"/>
      <c r="L689" s="522">
        <f t="shared" si="10"/>
        <v>0</v>
      </c>
      <c r="M689" s="471"/>
      <c r="N689" s="22"/>
      <c r="O689" s="22" t="s">
        <v>3759</v>
      </c>
    </row>
    <row r="690" spans="1:15" hidden="1">
      <c r="A690" s="316" t="s">
        <v>5219</v>
      </c>
      <c r="B690" s="554" t="s">
        <v>5220</v>
      </c>
      <c r="C690" s="329" t="s">
        <v>5216</v>
      </c>
      <c r="D690" s="555">
        <v>0</v>
      </c>
      <c r="E690" s="556" t="s">
        <v>3772</v>
      </c>
      <c r="F690" s="556"/>
      <c r="G690" s="556"/>
      <c r="H690" s="557"/>
      <c r="I690" s="728"/>
      <c r="J690" s="728"/>
      <c r="K690" s="498"/>
      <c r="L690" s="498">
        <f t="shared" si="10"/>
        <v>0</v>
      </c>
      <c r="M690" s="527"/>
      <c r="N690" s="107" t="s">
        <v>3758</v>
      </c>
      <c r="O690" s="108" t="s">
        <v>3759</v>
      </c>
    </row>
    <row r="691" spans="1:15" hidden="1">
      <c r="A691" s="316" t="s">
        <v>5219</v>
      </c>
      <c r="B691" s="110">
        <v>1079</v>
      </c>
      <c r="C691" s="44" t="s">
        <v>5216</v>
      </c>
      <c r="D691" s="111">
        <v>0</v>
      </c>
      <c r="E691" s="111" t="s">
        <v>5221</v>
      </c>
      <c r="F691" s="111"/>
      <c r="G691" s="111"/>
      <c r="H691" s="170"/>
      <c r="I691" s="728"/>
      <c r="J691" s="728"/>
      <c r="K691" s="136"/>
      <c r="L691" s="136">
        <f t="shared" si="10"/>
        <v>0</v>
      </c>
      <c r="M691" s="525"/>
      <c r="N691" s="112" t="s">
        <v>3758</v>
      </c>
      <c r="O691" s="113" t="s">
        <v>3759</v>
      </c>
    </row>
    <row r="692" spans="1:15">
      <c r="A692" s="10" t="s">
        <v>4858</v>
      </c>
      <c r="B692" s="34" t="s">
        <v>4859</v>
      </c>
      <c r="C692" s="10" t="s">
        <v>4860</v>
      </c>
      <c r="D692" s="11">
        <v>1</v>
      </c>
      <c r="E692" s="11" t="s">
        <v>4609</v>
      </c>
      <c r="F692" s="11" t="s">
        <v>3763</v>
      </c>
      <c r="G692" s="129">
        <v>45082</v>
      </c>
      <c r="H692" s="161" t="s">
        <v>3768</v>
      </c>
      <c r="I692" s="729"/>
      <c r="J692" s="729"/>
      <c r="K692" s="634"/>
      <c r="L692" s="522">
        <f t="shared" si="10"/>
        <v>0</v>
      </c>
      <c r="M692" s="141"/>
      <c r="N692" s="22"/>
      <c r="O692" s="22" t="s">
        <v>3759</v>
      </c>
    </row>
    <row r="693" spans="1:15">
      <c r="A693" s="10" t="s">
        <v>5782</v>
      </c>
      <c r="B693" s="115" t="s">
        <v>5783</v>
      </c>
      <c r="C693" s="10" t="s">
        <v>5784</v>
      </c>
      <c r="D693" s="11">
        <v>1</v>
      </c>
      <c r="E693" s="10" t="s">
        <v>5452</v>
      </c>
      <c r="F693" s="10" t="s">
        <v>3798</v>
      </c>
      <c r="G693" s="129">
        <v>41060</v>
      </c>
      <c r="H693" s="161" t="s">
        <v>5785</v>
      </c>
      <c r="I693" s="729"/>
      <c r="J693" s="729"/>
      <c r="K693" s="633"/>
      <c r="L693" s="522">
        <f t="shared" si="10"/>
        <v>0</v>
      </c>
      <c r="M693" s="471"/>
      <c r="N693" s="22"/>
      <c r="O693" s="22" t="s">
        <v>3759</v>
      </c>
    </row>
    <row r="694" spans="1:15">
      <c r="A694" s="10" t="s">
        <v>5795</v>
      </c>
      <c r="B694" s="323" t="s">
        <v>5796</v>
      </c>
      <c r="C694" s="323" t="s">
        <v>690</v>
      </c>
      <c r="D694" s="11">
        <v>1</v>
      </c>
      <c r="E694" s="10" t="s">
        <v>4542</v>
      </c>
      <c r="F694" s="10" t="s">
        <v>3785</v>
      </c>
      <c r="G694" s="129">
        <v>45881</v>
      </c>
      <c r="H694" s="161" t="s">
        <v>3799</v>
      </c>
      <c r="I694" s="729"/>
      <c r="J694" s="729"/>
      <c r="K694" s="633"/>
      <c r="L694" s="522">
        <f t="shared" si="10"/>
        <v>0</v>
      </c>
      <c r="M694" s="471"/>
      <c r="N694" s="22"/>
      <c r="O694" s="22" t="s">
        <v>3804</v>
      </c>
    </row>
    <row r="695" spans="1:15">
      <c r="A695" s="10" t="s">
        <v>4717</v>
      </c>
      <c r="B695" s="34">
        <v>349</v>
      </c>
      <c r="C695" s="17" t="s">
        <v>5669</v>
      </c>
      <c r="D695" s="11">
        <v>1</v>
      </c>
      <c r="E695" s="10" t="s">
        <v>3855</v>
      </c>
      <c r="F695" s="10" t="s">
        <v>3763</v>
      </c>
      <c r="G695" s="129">
        <v>45784</v>
      </c>
      <c r="H695" s="161" t="s">
        <v>5587</v>
      </c>
      <c r="I695" s="729"/>
      <c r="J695" s="729"/>
      <c r="K695" s="633"/>
      <c r="L695" s="522">
        <f t="shared" si="10"/>
        <v>0</v>
      </c>
      <c r="M695" s="471"/>
      <c r="N695" s="22"/>
      <c r="O695" s="12" t="s">
        <v>3759</v>
      </c>
    </row>
    <row r="696" spans="1:15" hidden="1">
      <c r="A696" s="316" t="s">
        <v>5184</v>
      </c>
      <c r="B696" s="558">
        <v>13045</v>
      </c>
      <c r="C696" s="260" t="s">
        <v>4247</v>
      </c>
      <c r="D696" s="555">
        <v>0</v>
      </c>
      <c r="E696" s="555" t="s">
        <v>5188</v>
      </c>
      <c r="F696" s="555" t="s">
        <v>3763</v>
      </c>
      <c r="G696" s="559">
        <v>45307</v>
      </c>
      <c r="H696" s="475" t="s">
        <v>5230</v>
      </c>
      <c r="I696" s="728">
        <v>5175</v>
      </c>
      <c r="J696" s="728"/>
      <c r="K696" s="245"/>
      <c r="L696" s="245">
        <f t="shared" si="10"/>
        <v>5175</v>
      </c>
      <c r="M696" s="668"/>
      <c r="N696" s="121" t="s">
        <v>3758</v>
      </c>
      <c r="O696" s="122" t="s">
        <v>3759</v>
      </c>
    </row>
    <row r="697" spans="1:15">
      <c r="A697" s="10" t="s">
        <v>4717</v>
      </c>
      <c r="B697" s="115" t="s">
        <v>5670</v>
      </c>
      <c r="C697" s="17" t="s">
        <v>5669</v>
      </c>
      <c r="D697" s="11">
        <v>1</v>
      </c>
      <c r="E697" s="10" t="s">
        <v>3855</v>
      </c>
      <c r="F697" s="10" t="s">
        <v>3763</v>
      </c>
      <c r="G697" s="129">
        <v>45784</v>
      </c>
      <c r="H697" s="161" t="s">
        <v>5587</v>
      </c>
      <c r="I697" s="729"/>
      <c r="J697" s="729"/>
      <c r="K697" s="633"/>
      <c r="L697" s="522">
        <f t="shared" si="10"/>
        <v>0</v>
      </c>
      <c r="M697" s="471"/>
      <c r="N697" s="22"/>
      <c r="O697" s="12" t="s">
        <v>3759</v>
      </c>
    </row>
    <row r="698" spans="1:15" hidden="1">
      <c r="A698" s="316" t="s">
        <v>5233</v>
      </c>
      <c r="B698" s="558" t="s">
        <v>3748</v>
      </c>
      <c r="C698" s="260" t="s">
        <v>5234</v>
      </c>
      <c r="D698" s="555">
        <v>0</v>
      </c>
      <c r="E698" s="555" t="s">
        <v>4692</v>
      </c>
      <c r="F698" s="555" t="s">
        <v>3750</v>
      </c>
      <c r="G698" s="555"/>
      <c r="H698" s="475" t="s">
        <v>5235</v>
      </c>
      <c r="I698" s="728"/>
      <c r="J698" s="728"/>
      <c r="K698" s="169"/>
      <c r="L698" s="169">
        <f t="shared" si="10"/>
        <v>0</v>
      </c>
      <c r="M698" s="668"/>
      <c r="N698" s="121" t="s">
        <v>3758</v>
      </c>
      <c r="O698" s="122" t="s">
        <v>3759</v>
      </c>
    </row>
    <row r="699" spans="1:15">
      <c r="A699" s="10" t="s">
        <v>4876</v>
      </c>
      <c r="B699" s="34">
        <v>4400</v>
      </c>
      <c r="C699" s="10" t="s">
        <v>4877</v>
      </c>
      <c r="D699" s="11">
        <v>1</v>
      </c>
      <c r="E699" s="11" t="s">
        <v>4878</v>
      </c>
      <c r="F699" s="11" t="s">
        <v>3785</v>
      </c>
      <c r="G699" s="129">
        <v>45734</v>
      </c>
      <c r="H699" s="161" t="s">
        <v>7993</v>
      </c>
      <c r="I699" s="729"/>
      <c r="J699" s="729"/>
      <c r="K699" s="635"/>
      <c r="L699" s="522">
        <f t="shared" si="10"/>
        <v>0</v>
      </c>
      <c r="M699" s="740">
        <v>4500</v>
      </c>
      <c r="N699" s="22"/>
      <c r="O699" s="22" t="s">
        <v>3759</v>
      </c>
    </row>
    <row r="700" spans="1:15">
      <c r="A700" s="10" t="s">
        <v>4749</v>
      </c>
      <c r="B700" s="33">
        <v>98910335</v>
      </c>
      <c r="C700" s="33" t="s">
        <v>5702</v>
      </c>
      <c r="D700" s="11">
        <v>1</v>
      </c>
      <c r="E700" s="11" t="s">
        <v>5420</v>
      </c>
      <c r="F700" s="11" t="s">
        <v>3763</v>
      </c>
      <c r="G700" s="129">
        <v>45753</v>
      </c>
      <c r="H700" s="161" t="s">
        <v>3930</v>
      </c>
      <c r="I700" s="729"/>
      <c r="J700" s="729"/>
      <c r="K700" s="633"/>
      <c r="L700" s="522">
        <f t="shared" si="10"/>
        <v>0</v>
      </c>
      <c r="M700" s="471">
        <v>3500</v>
      </c>
      <c r="N700" s="22"/>
      <c r="O700" s="22" t="s">
        <v>3759</v>
      </c>
    </row>
    <row r="701" spans="1:15">
      <c r="A701" s="10" t="s">
        <v>4724</v>
      </c>
      <c r="B701" s="34">
        <v>712</v>
      </c>
      <c r="C701" s="10" t="s">
        <v>3789</v>
      </c>
      <c r="D701" s="11">
        <v>1</v>
      </c>
      <c r="E701" s="11" t="s">
        <v>4879</v>
      </c>
      <c r="F701" s="11" t="s">
        <v>3763</v>
      </c>
      <c r="G701" s="129">
        <v>44860</v>
      </c>
      <c r="H701" s="161" t="s">
        <v>3768</v>
      </c>
      <c r="I701" s="729"/>
      <c r="J701" s="729"/>
      <c r="K701" s="636"/>
      <c r="L701" s="522">
        <f t="shared" si="10"/>
        <v>0</v>
      </c>
      <c r="M701" s="740">
        <v>4500</v>
      </c>
      <c r="N701" s="22"/>
      <c r="O701" s="22" t="s">
        <v>3759</v>
      </c>
    </row>
    <row r="702" spans="1:15" hidden="1">
      <c r="A702" s="316" t="s">
        <v>5245</v>
      </c>
      <c r="B702" s="558">
        <v>704</v>
      </c>
      <c r="C702" s="260" t="s">
        <v>5246</v>
      </c>
      <c r="D702" s="555">
        <v>0</v>
      </c>
      <c r="E702" s="555" t="s">
        <v>4913</v>
      </c>
      <c r="F702" s="555"/>
      <c r="G702" s="555"/>
      <c r="H702" s="475"/>
      <c r="I702" s="728"/>
      <c r="J702" s="728"/>
      <c r="K702" s="169"/>
      <c r="L702" s="169">
        <f t="shared" si="10"/>
        <v>0</v>
      </c>
      <c r="M702" s="668"/>
      <c r="N702" s="121" t="s">
        <v>3758</v>
      </c>
      <c r="O702" s="122" t="s">
        <v>3759</v>
      </c>
    </row>
    <row r="703" spans="1:15">
      <c r="A703" s="10" t="s">
        <v>4880</v>
      </c>
      <c r="B703" s="34" t="s">
        <v>4881</v>
      </c>
      <c r="C703" s="10" t="s">
        <v>207</v>
      </c>
      <c r="D703" s="11">
        <v>1</v>
      </c>
      <c r="E703" s="11" t="s">
        <v>4882</v>
      </c>
      <c r="F703" s="11" t="s">
        <v>3785</v>
      </c>
      <c r="G703" s="129">
        <v>45175</v>
      </c>
      <c r="H703" s="161" t="s">
        <v>3768</v>
      </c>
      <c r="I703" s="729"/>
      <c r="J703" s="729"/>
      <c r="K703" s="634"/>
      <c r="L703" s="522">
        <f t="shared" si="10"/>
        <v>0</v>
      </c>
      <c r="M703" s="141"/>
      <c r="N703" s="22"/>
      <c r="O703" s="22" t="s">
        <v>3759</v>
      </c>
    </row>
    <row r="704" spans="1:15">
      <c r="A704" s="10" t="s">
        <v>4888</v>
      </c>
      <c r="B704" s="34" t="s">
        <v>4889</v>
      </c>
      <c r="C704" s="10" t="s">
        <v>4890</v>
      </c>
      <c r="D704" s="11">
        <v>1</v>
      </c>
      <c r="E704" s="11" t="s">
        <v>4891</v>
      </c>
      <c r="F704" s="11" t="s">
        <v>3763</v>
      </c>
      <c r="G704" s="129">
        <v>45338</v>
      </c>
      <c r="H704" s="161" t="s">
        <v>4142</v>
      </c>
      <c r="I704" s="729"/>
      <c r="J704" s="729"/>
      <c r="K704" s="634"/>
      <c r="L704" s="522">
        <f t="shared" si="10"/>
        <v>0</v>
      </c>
      <c r="M704" s="141"/>
      <c r="N704" s="22"/>
      <c r="O704" s="22" t="s">
        <v>3759</v>
      </c>
    </row>
    <row r="705" spans="1:15">
      <c r="A705" s="10" t="s">
        <v>4742</v>
      </c>
      <c r="B705" s="34" t="s">
        <v>4892</v>
      </c>
      <c r="C705" s="10" t="s">
        <v>4739</v>
      </c>
      <c r="D705" s="11">
        <v>1</v>
      </c>
      <c r="E705" s="11" t="s">
        <v>4893</v>
      </c>
      <c r="F705" s="11" t="s">
        <v>3763</v>
      </c>
      <c r="G705" s="11" t="s">
        <v>4894</v>
      </c>
      <c r="H705" s="161" t="s">
        <v>3768</v>
      </c>
      <c r="I705" s="729"/>
      <c r="J705" s="729"/>
      <c r="K705" s="636"/>
      <c r="L705" s="522">
        <f t="shared" si="10"/>
        <v>0</v>
      </c>
      <c r="M705" s="142"/>
      <c r="N705" s="22"/>
      <c r="O705" s="22" t="s">
        <v>3759</v>
      </c>
    </row>
    <row r="706" spans="1:15">
      <c r="A706" s="10" t="s">
        <v>4899</v>
      </c>
      <c r="B706" s="34">
        <v>604</v>
      </c>
      <c r="C706" s="10" t="s">
        <v>4762</v>
      </c>
      <c r="D706" s="11">
        <v>2</v>
      </c>
      <c r="E706" s="11" t="s">
        <v>4900</v>
      </c>
      <c r="F706" s="11" t="s">
        <v>3763</v>
      </c>
      <c r="G706" s="129">
        <v>45288</v>
      </c>
      <c r="H706" s="161" t="s">
        <v>3930</v>
      </c>
      <c r="I706" s="729"/>
      <c r="J706" s="729"/>
      <c r="K706" s="634"/>
      <c r="L706" s="522">
        <f t="shared" si="10"/>
        <v>0</v>
      </c>
      <c r="M706" s="141"/>
      <c r="N706" s="22"/>
      <c r="O706" s="22" t="s">
        <v>3759</v>
      </c>
    </row>
    <row r="707" spans="1:15" hidden="1">
      <c r="A707" s="316" t="s">
        <v>5027</v>
      </c>
      <c r="B707" s="588">
        <v>259004</v>
      </c>
      <c r="C707" s="589" t="s">
        <v>3859</v>
      </c>
      <c r="D707" s="555">
        <v>0</v>
      </c>
      <c r="E707" s="590" t="s">
        <v>3771</v>
      </c>
      <c r="F707" s="590" t="s">
        <v>3785</v>
      </c>
      <c r="G707" s="591">
        <v>45469</v>
      </c>
      <c r="H707" s="592" t="s">
        <v>3819</v>
      </c>
      <c r="I707" s="728">
        <v>3200</v>
      </c>
      <c r="J707" s="728"/>
      <c r="K707" s="508"/>
      <c r="L707" s="650">
        <f t="shared" si="10"/>
        <v>3200</v>
      </c>
      <c r="M707" s="508"/>
      <c r="N707" s="593" t="s">
        <v>3909</v>
      </c>
      <c r="O707" s="108" t="s">
        <v>3759</v>
      </c>
    </row>
    <row r="708" spans="1:15" hidden="1">
      <c r="A708" s="316" t="s">
        <v>5258</v>
      </c>
      <c r="B708" s="8" t="s">
        <v>5259</v>
      </c>
      <c r="C708" s="10" t="s">
        <v>5260</v>
      </c>
      <c r="D708" s="111">
        <v>0</v>
      </c>
      <c r="E708" s="9" t="s">
        <v>3831</v>
      </c>
      <c r="F708" s="9"/>
      <c r="G708" s="9"/>
      <c r="H708" s="119"/>
      <c r="I708" s="728"/>
      <c r="J708" s="728"/>
      <c r="K708" s="138"/>
      <c r="L708" s="138">
        <f t="shared" ref="L708:L771" si="11">IF(OR(I708="", K708=""), I708 + K708, I708 + K708)</f>
        <v>0</v>
      </c>
      <c r="M708" s="471"/>
      <c r="N708" s="22" t="s">
        <v>3758</v>
      </c>
      <c r="O708" s="106" t="s">
        <v>3759</v>
      </c>
    </row>
    <row r="709" spans="1:15" hidden="1">
      <c r="A709" s="316" t="s">
        <v>5261</v>
      </c>
      <c r="B709" s="8" t="s">
        <v>5262</v>
      </c>
      <c r="C709" s="10" t="s">
        <v>5263</v>
      </c>
      <c r="D709" s="111">
        <v>0</v>
      </c>
      <c r="E709" s="9" t="s">
        <v>5264</v>
      </c>
      <c r="F709" s="9"/>
      <c r="G709" s="9"/>
      <c r="H709" s="119"/>
      <c r="I709" s="728"/>
      <c r="J709" s="728"/>
      <c r="K709" s="138"/>
      <c r="L709" s="138">
        <f t="shared" si="11"/>
        <v>0</v>
      </c>
      <c r="M709" s="471"/>
      <c r="N709" s="22" t="s">
        <v>3758</v>
      </c>
      <c r="O709" s="106" t="s">
        <v>3759</v>
      </c>
    </row>
    <row r="710" spans="1:15" hidden="1">
      <c r="A710" s="316" t="s">
        <v>5261</v>
      </c>
      <c r="B710" s="8" t="s">
        <v>5265</v>
      </c>
      <c r="C710" s="10" t="s">
        <v>5263</v>
      </c>
      <c r="D710" s="111">
        <v>0</v>
      </c>
      <c r="E710" s="9" t="s">
        <v>3831</v>
      </c>
      <c r="F710" s="9"/>
      <c r="G710" s="9"/>
      <c r="H710" s="119"/>
      <c r="I710" s="728"/>
      <c r="J710" s="728"/>
      <c r="K710" s="138"/>
      <c r="L710" s="138">
        <f t="shared" si="11"/>
        <v>0</v>
      </c>
      <c r="M710" s="471"/>
      <c r="N710" s="22" t="s">
        <v>3758</v>
      </c>
      <c r="O710" s="106" t="s">
        <v>3759</v>
      </c>
    </row>
    <row r="711" spans="1:15" hidden="1">
      <c r="A711" s="316" t="s">
        <v>5261</v>
      </c>
      <c r="B711" s="8" t="s">
        <v>5266</v>
      </c>
      <c r="C711" s="10" t="s">
        <v>5263</v>
      </c>
      <c r="D711" s="111">
        <v>0</v>
      </c>
      <c r="E711" s="9" t="s">
        <v>5267</v>
      </c>
      <c r="F711" s="9"/>
      <c r="G711" s="9"/>
      <c r="H711" s="119"/>
      <c r="I711" s="728"/>
      <c r="J711" s="728"/>
      <c r="K711" s="137"/>
      <c r="L711" s="137">
        <f t="shared" si="11"/>
        <v>0</v>
      </c>
      <c r="M711" s="487"/>
      <c r="N711" s="22" t="s">
        <v>3758</v>
      </c>
      <c r="O711" s="106" t="s">
        <v>3759</v>
      </c>
    </row>
    <row r="712" spans="1:15" hidden="1">
      <c r="A712" s="316" t="s">
        <v>5261</v>
      </c>
      <c r="B712" s="13" t="s">
        <v>5268</v>
      </c>
      <c r="C712" s="10" t="s">
        <v>5260</v>
      </c>
      <c r="D712" s="111">
        <v>0</v>
      </c>
      <c r="E712" s="215" t="s">
        <v>4229</v>
      </c>
      <c r="F712" s="7" t="s">
        <v>3785</v>
      </c>
      <c r="G712" s="46">
        <v>45545</v>
      </c>
      <c r="H712" s="119" t="s">
        <v>3819</v>
      </c>
      <c r="I712" s="728"/>
      <c r="J712" s="728"/>
      <c r="K712" s="218"/>
      <c r="L712" s="218">
        <f t="shared" si="11"/>
        <v>0</v>
      </c>
      <c r="M712" s="487"/>
      <c r="N712" s="22" t="s">
        <v>3758</v>
      </c>
      <c r="O712" s="106" t="s">
        <v>3759</v>
      </c>
    </row>
    <row r="713" spans="1:15" hidden="1">
      <c r="A713" s="316" t="s">
        <v>5261</v>
      </c>
      <c r="B713" s="13" t="s">
        <v>5269</v>
      </c>
      <c r="C713" s="10" t="s">
        <v>5260</v>
      </c>
      <c r="D713" s="111">
        <v>0</v>
      </c>
      <c r="E713" s="215" t="s">
        <v>4229</v>
      </c>
      <c r="F713" s="7" t="s">
        <v>3785</v>
      </c>
      <c r="G713" s="46">
        <v>45545</v>
      </c>
      <c r="H713" s="119" t="s">
        <v>3819</v>
      </c>
      <c r="I713" s="728"/>
      <c r="J713" s="728"/>
      <c r="K713" s="160"/>
      <c r="L713" s="160">
        <f t="shared" si="11"/>
        <v>0</v>
      </c>
      <c r="M713" s="471"/>
      <c r="N713" s="22" t="s">
        <v>3758</v>
      </c>
      <c r="O713" s="106" t="s">
        <v>3759</v>
      </c>
    </row>
    <row r="714" spans="1:15" hidden="1">
      <c r="A714" s="316" t="s">
        <v>5261</v>
      </c>
      <c r="B714" s="13" t="s">
        <v>5270</v>
      </c>
      <c r="C714" s="10" t="s">
        <v>5260</v>
      </c>
      <c r="D714" s="111">
        <v>0</v>
      </c>
      <c r="E714" s="215" t="s">
        <v>4229</v>
      </c>
      <c r="F714" s="7" t="s">
        <v>3785</v>
      </c>
      <c r="G714" s="46">
        <v>45539</v>
      </c>
      <c r="H714" s="119" t="s">
        <v>3819</v>
      </c>
      <c r="I714" s="728"/>
      <c r="J714" s="728"/>
      <c r="K714" s="160"/>
      <c r="L714" s="160">
        <f t="shared" si="11"/>
        <v>0</v>
      </c>
      <c r="M714" s="471"/>
      <c r="N714" s="22" t="s">
        <v>3758</v>
      </c>
      <c r="O714" s="106" t="s">
        <v>3759</v>
      </c>
    </row>
    <row r="715" spans="1:15" hidden="1">
      <c r="A715" s="316" t="s">
        <v>5271</v>
      </c>
      <c r="B715" s="110" t="s">
        <v>5272</v>
      </c>
      <c r="C715" s="44" t="s">
        <v>207</v>
      </c>
      <c r="D715" s="111">
        <v>0</v>
      </c>
      <c r="E715" s="111" t="s">
        <v>5273</v>
      </c>
      <c r="F715" s="111"/>
      <c r="G715" s="111"/>
      <c r="H715" s="170"/>
      <c r="I715" s="728"/>
      <c r="J715" s="728"/>
      <c r="K715" s="478"/>
      <c r="L715" s="478">
        <f t="shared" si="11"/>
        <v>0</v>
      </c>
      <c r="M715" s="524"/>
      <c r="N715" s="536" t="s">
        <v>3758</v>
      </c>
      <c r="O715" s="113" t="s">
        <v>3759</v>
      </c>
    </row>
    <row r="716" spans="1:15">
      <c r="A716" s="10" t="s">
        <v>4899</v>
      </c>
      <c r="B716" s="34">
        <v>530</v>
      </c>
      <c r="C716" s="10" t="s">
        <v>4762</v>
      </c>
      <c r="D716" s="11">
        <v>2</v>
      </c>
      <c r="E716" s="11" t="s">
        <v>4237</v>
      </c>
      <c r="F716" s="11" t="s">
        <v>3763</v>
      </c>
      <c r="G716" s="129">
        <v>44855</v>
      </c>
      <c r="H716" s="161" t="s">
        <v>3930</v>
      </c>
      <c r="I716" s="729"/>
      <c r="J716" s="729"/>
      <c r="K716" s="634"/>
      <c r="L716" s="522">
        <f t="shared" si="11"/>
        <v>0</v>
      </c>
      <c r="M716" s="141"/>
      <c r="N716" s="22"/>
      <c r="O716" s="22" t="s">
        <v>3759</v>
      </c>
    </row>
    <row r="717" spans="1:15" hidden="1">
      <c r="A717" s="316" t="s">
        <v>5274</v>
      </c>
      <c r="B717" s="558" t="s">
        <v>5275</v>
      </c>
      <c r="C717" s="260" t="s">
        <v>5276</v>
      </c>
      <c r="D717" s="555">
        <v>0</v>
      </c>
      <c r="E717" s="555" t="s">
        <v>4857</v>
      </c>
      <c r="F717" s="555"/>
      <c r="G717" s="555"/>
      <c r="H717" s="475"/>
      <c r="I717" s="728"/>
      <c r="J717" s="728"/>
      <c r="K717" s="169"/>
      <c r="L717" s="169">
        <f t="shared" si="11"/>
        <v>0</v>
      </c>
      <c r="M717" s="668"/>
      <c r="N717" s="121" t="s">
        <v>3758</v>
      </c>
      <c r="O717" s="122" t="s">
        <v>3759</v>
      </c>
    </row>
    <row r="718" spans="1:15" ht="19.5" customHeight="1">
      <c r="A718" s="10" t="s">
        <v>4908</v>
      </c>
      <c r="B718" s="34">
        <v>90102022</v>
      </c>
      <c r="C718" s="10" t="s">
        <v>4909</v>
      </c>
      <c r="D718" s="11">
        <v>1</v>
      </c>
      <c r="E718" s="11" t="s">
        <v>3968</v>
      </c>
      <c r="F718" s="11" t="s">
        <v>3763</v>
      </c>
      <c r="G718" s="129">
        <v>44519</v>
      </c>
      <c r="H718" s="161" t="s">
        <v>4910</v>
      </c>
      <c r="I718" s="729"/>
      <c r="J718" s="729"/>
      <c r="K718" s="636"/>
      <c r="L718" s="522">
        <f t="shared" si="11"/>
        <v>0</v>
      </c>
      <c r="M718" s="142">
        <v>8000</v>
      </c>
      <c r="N718" s="22"/>
      <c r="O718" s="22" t="s">
        <v>3759</v>
      </c>
    </row>
    <row r="719" spans="1:15">
      <c r="A719" s="10" t="s">
        <v>4911</v>
      </c>
      <c r="B719" s="34">
        <v>99124791</v>
      </c>
      <c r="C719" s="10" t="s">
        <v>4912</v>
      </c>
      <c r="D719" s="11">
        <v>1</v>
      </c>
      <c r="E719" s="11" t="s">
        <v>4913</v>
      </c>
      <c r="F719" s="11" t="s">
        <v>3763</v>
      </c>
      <c r="G719" s="129">
        <v>44112</v>
      </c>
      <c r="H719" s="161" t="s">
        <v>3777</v>
      </c>
      <c r="I719" s="729"/>
      <c r="J719" s="729"/>
      <c r="K719" s="636"/>
      <c r="L719" s="522">
        <f t="shared" si="11"/>
        <v>0</v>
      </c>
      <c r="M719" s="142"/>
      <c r="N719" s="22"/>
      <c r="O719" s="22" t="s">
        <v>3759</v>
      </c>
    </row>
    <row r="720" spans="1:15">
      <c r="A720" s="10" t="s">
        <v>4914</v>
      </c>
      <c r="B720" s="34">
        <v>88081422</v>
      </c>
      <c r="C720" s="10" t="s">
        <v>4915</v>
      </c>
      <c r="D720" s="11">
        <v>1</v>
      </c>
      <c r="E720" s="10" t="s">
        <v>4198</v>
      </c>
      <c r="F720" s="11" t="s">
        <v>4916</v>
      </c>
      <c r="G720" s="129">
        <v>45010</v>
      </c>
      <c r="H720" s="161" t="s">
        <v>3951</v>
      </c>
      <c r="I720" s="729"/>
      <c r="J720" s="729"/>
      <c r="K720" s="636"/>
      <c r="L720" s="522">
        <f t="shared" si="11"/>
        <v>0</v>
      </c>
      <c r="M720" s="142"/>
      <c r="N720" s="22"/>
      <c r="O720" s="22" t="s">
        <v>3759</v>
      </c>
    </row>
    <row r="721" spans="1:15" hidden="1">
      <c r="A721" s="316" t="s">
        <v>5274</v>
      </c>
      <c r="B721" s="558" t="s">
        <v>5285</v>
      </c>
      <c r="C721" s="260" t="s">
        <v>5276</v>
      </c>
      <c r="D721" s="555">
        <v>0</v>
      </c>
      <c r="E721" s="555" t="s">
        <v>5286</v>
      </c>
      <c r="F721" s="555" t="s">
        <v>3763</v>
      </c>
      <c r="G721" s="559">
        <v>45444</v>
      </c>
      <c r="H721" s="475" t="s">
        <v>3799</v>
      </c>
      <c r="I721" s="728">
        <v>2400</v>
      </c>
      <c r="J721" s="728"/>
      <c r="K721" s="220"/>
      <c r="L721" s="660">
        <f t="shared" si="11"/>
        <v>2400</v>
      </c>
      <c r="M721" s="220"/>
      <c r="N721" s="121" t="s">
        <v>3758</v>
      </c>
      <c r="O721" s="122" t="s">
        <v>3759</v>
      </c>
    </row>
    <row r="722" spans="1:15">
      <c r="A722" s="10" t="s">
        <v>4769</v>
      </c>
      <c r="B722" s="34">
        <v>89092804</v>
      </c>
      <c r="C722" s="10" t="s">
        <v>4918</v>
      </c>
      <c r="D722" s="11">
        <v>1</v>
      </c>
      <c r="E722" s="11" t="s">
        <v>3919</v>
      </c>
      <c r="F722" s="11" t="s">
        <v>3763</v>
      </c>
      <c r="G722" s="129">
        <v>45771</v>
      </c>
      <c r="H722" s="161" t="s">
        <v>3951</v>
      </c>
      <c r="I722" s="729"/>
      <c r="J722" s="729"/>
      <c r="K722" s="633"/>
      <c r="L722" s="522">
        <f t="shared" si="11"/>
        <v>0</v>
      </c>
      <c r="M722" s="471"/>
      <c r="N722" s="22"/>
      <c r="O722" s="22" t="s">
        <v>3759</v>
      </c>
    </row>
    <row r="723" spans="1:15" hidden="1">
      <c r="A723" s="316" t="s">
        <v>4773</v>
      </c>
      <c r="B723" s="34">
        <v>99053553</v>
      </c>
      <c r="C723" s="10" t="s">
        <v>3862</v>
      </c>
      <c r="D723" s="11">
        <v>0</v>
      </c>
      <c r="E723" s="11" t="s">
        <v>4198</v>
      </c>
      <c r="F723" s="11" t="s">
        <v>3763</v>
      </c>
      <c r="G723" s="129">
        <v>44811</v>
      </c>
      <c r="H723" s="161" t="s">
        <v>4910</v>
      </c>
      <c r="I723" s="728"/>
      <c r="J723" s="728"/>
      <c r="K723" s="636"/>
      <c r="L723" s="522">
        <f t="shared" si="11"/>
        <v>0</v>
      </c>
      <c r="M723" s="142"/>
      <c r="N723" s="22" t="s">
        <v>4041</v>
      </c>
      <c r="O723" s="22" t="s">
        <v>3759</v>
      </c>
    </row>
    <row r="724" spans="1:15">
      <c r="A724" s="10" t="s">
        <v>4920</v>
      </c>
      <c r="B724" s="33" t="s">
        <v>3748</v>
      </c>
      <c r="C724" s="33" t="s">
        <v>4921</v>
      </c>
      <c r="D724" s="11">
        <v>34</v>
      </c>
      <c r="E724" s="11" t="s">
        <v>4922</v>
      </c>
      <c r="F724" s="11" t="s">
        <v>3750</v>
      </c>
      <c r="G724" s="11"/>
      <c r="H724" s="161"/>
      <c r="I724" s="729"/>
      <c r="J724" s="729"/>
      <c r="K724" s="633"/>
      <c r="L724" s="522">
        <f t="shared" si="11"/>
        <v>0</v>
      </c>
      <c r="M724" s="471"/>
      <c r="N724" s="22"/>
      <c r="O724" s="22" t="s">
        <v>3759</v>
      </c>
    </row>
    <row r="725" spans="1:15">
      <c r="A725" s="10" t="s">
        <v>4923</v>
      </c>
      <c r="B725" s="33" t="s">
        <v>3748</v>
      </c>
      <c r="C725" s="33" t="s">
        <v>4921</v>
      </c>
      <c r="D725" s="11">
        <v>95</v>
      </c>
      <c r="E725" s="11" t="s">
        <v>4924</v>
      </c>
      <c r="F725" s="11" t="s">
        <v>3750</v>
      </c>
      <c r="G725" s="11"/>
      <c r="H725" s="161"/>
      <c r="I725" s="729"/>
      <c r="J725" s="729"/>
      <c r="K725" s="633"/>
      <c r="L725" s="522">
        <f t="shared" si="11"/>
        <v>0</v>
      </c>
      <c r="M725" s="471"/>
      <c r="N725" s="22"/>
      <c r="O725" s="22" t="s">
        <v>3759</v>
      </c>
    </row>
    <row r="726" spans="1:15">
      <c r="A726" s="10" t="s">
        <v>4792</v>
      </c>
      <c r="B726" s="34">
        <v>784</v>
      </c>
      <c r="C726" s="10" t="s">
        <v>4925</v>
      </c>
      <c r="D726" s="11">
        <v>1</v>
      </c>
      <c r="E726" s="11" t="s">
        <v>3933</v>
      </c>
      <c r="F726" s="11" t="s">
        <v>3763</v>
      </c>
      <c r="G726" s="129">
        <v>44784</v>
      </c>
      <c r="H726" s="161" t="s">
        <v>3934</v>
      </c>
      <c r="I726" s="729"/>
      <c r="J726" s="729"/>
      <c r="K726" s="636"/>
      <c r="L726" s="522">
        <f t="shared" si="11"/>
        <v>0</v>
      </c>
      <c r="M726" s="142"/>
      <c r="N726" s="22"/>
      <c r="O726" s="22" t="s">
        <v>3759</v>
      </c>
    </row>
    <row r="727" spans="1:15">
      <c r="A727" s="10" t="s">
        <v>4780</v>
      </c>
      <c r="B727" s="34">
        <v>188</v>
      </c>
      <c r="C727" s="10" t="s">
        <v>4928</v>
      </c>
      <c r="D727" s="11">
        <v>1</v>
      </c>
      <c r="E727" s="11" t="s">
        <v>4929</v>
      </c>
      <c r="F727" s="11" t="s">
        <v>3763</v>
      </c>
      <c r="G727" s="129">
        <v>45373</v>
      </c>
      <c r="H727" s="161" t="s">
        <v>3768</v>
      </c>
      <c r="I727" s="729"/>
      <c r="J727" s="729"/>
      <c r="K727" s="634"/>
      <c r="L727" s="522">
        <f t="shared" si="11"/>
        <v>0</v>
      </c>
      <c r="M727" s="141"/>
      <c r="N727" s="22"/>
      <c r="O727" s="22" t="s">
        <v>3759</v>
      </c>
    </row>
    <row r="728" spans="1:15">
      <c r="A728" s="10" t="s">
        <v>4932</v>
      </c>
      <c r="B728" s="34">
        <v>8214</v>
      </c>
      <c r="C728" s="10" t="s">
        <v>4672</v>
      </c>
      <c r="D728" s="11">
        <v>1</v>
      </c>
      <c r="E728" s="11" t="s">
        <v>4933</v>
      </c>
      <c r="F728" s="11" t="s">
        <v>3763</v>
      </c>
      <c r="G728" s="129">
        <v>45180</v>
      </c>
      <c r="H728" s="161" t="s">
        <v>3768</v>
      </c>
      <c r="I728" s="729"/>
      <c r="J728" s="729"/>
      <c r="K728" s="636"/>
      <c r="L728" s="522">
        <f t="shared" si="11"/>
        <v>0</v>
      </c>
      <c r="M728" s="142"/>
      <c r="N728" s="22"/>
      <c r="O728" s="22" t="s">
        <v>3759</v>
      </c>
    </row>
    <row r="729" spans="1:15" hidden="1">
      <c r="A729" s="316" t="s">
        <v>5302</v>
      </c>
      <c r="B729" s="558" t="s">
        <v>5303</v>
      </c>
      <c r="C729" s="260" t="s">
        <v>4267</v>
      </c>
      <c r="D729" s="555">
        <v>0</v>
      </c>
      <c r="E729" s="555" t="s">
        <v>3950</v>
      </c>
      <c r="F729" s="555" t="s">
        <v>3785</v>
      </c>
      <c r="G729" s="559">
        <v>45184</v>
      </c>
      <c r="H729" s="475" t="s">
        <v>5304</v>
      </c>
      <c r="I729" s="728">
        <v>9315</v>
      </c>
      <c r="J729" s="728"/>
      <c r="K729" s="212"/>
      <c r="L729" s="608">
        <f t="shared" si="11"/>
        <v>9315</v>
      </c>
      <c r="M729" s="482"/>
      <c r="N729" s="581" t="s">
        <v>3758</v>
      </c>
      <c r="O729" s="582" t="s">
        <v>3759</v>
      </c>
    </row>
    <row r="730" spans="1:15">
      <c r="A730" s="10" t="s">
        <v>4932</v>
      </c>
      <c r="B730" s="449" t="s">
        <v>4934</v>
      </c>
      <c r="C730" s="10" t="s">
        <v>207</v>
      </c>
      <c r="D730" s="11">
        <v>1</v>
      </c>
      <c r="E730" s="11" t="s">
        <v>4935</v>
      </c>
      <c r="F730" s="11" t="s">
        <v>3763</v>
      </c>
      <c r="G730" s="129">
        <v>45180</v>
      </c>
      <c r="H730" s="161" t="s">
        <v>3768</v>
      </c>
      <c r="I730" s="729"/>
      <c r="J730" s="729"/>
      <c r="K730" s="636"/>
      <c r="L730" s="522">
        <f t="shared" si="11"/>
        <v>0</v>
      </c>
      <c r="M730" s="142"/>
      <c r="N730" s="12"/>
      <c r="O730" s="12" t="s">
        <v>3759</v>
      </c>
    </row>
    <row r="731" spans="1:15" hidden="1">
      <c r="A731" s="316" t="s">
        <v>5274</v>
      </c>
      <c r="B731" s="554" t="s">
        <v>5307</v>
      </c>
      <c r="C731" s="329" t="s">
        <v>5308</v>
      </c>
      <c r="D731" s="555">
        <v>0</v>
      </c>
      <c r="E731" s="556" t="s">
        <v>4612</v>
      </c>
      <c r="F731" s="556" t="s">
        <v>3763</v>
      </c>
      <c r="G731" s="565">
        <v>45338</v>
      </c>
      <c r="H731" s="566" t="s">
        <v>3768</v>
      </c>
      <c r="I731" s="728">
        <v>6100</v>
      </c>
      <c r="J731" s="728"/>
      <c r="K731" s="507"/>
      <c r="L731" s="468">
        <f t="shared" si="11"/>
        <v>6100</v>
      </c>
      <c r="M731" s="507"/>
      <c r="N731" s="107" t="s">
        <v>3940</v>
      </c>
      <c r="O731" s="594" t="s">
        <v>3759</v>
      </c>
    </row>
    <row r="732" spans="1:15" hidden="1">
      <c r="A732" s="316" t="s">
        <v>5309</v>
      </c>
      <c r="B732" s="110">
        <v>657</v>
      </c>
      <c r="C732" s="44" t="s">
        <v>5310</v>
      </c>
      <c r="D732" s="111">
        <v>0</v>
      </c>
      <c r="E732" s="111" t="s">
        <v>4274</v>
      </c>
      <c r="F732" s="111"/>
      <c r="G732" s="111"/>
      <c r="H732" s="170"/>
      <c r="I732" s="728"/>
      <c r="J732" s="728"/>
      <c r="K732" s="478"/>
      <c r="L732" s="478">
        <f t="shared" si="11"/>
        <v>0</v>
      </c>
      <c r="M732" s="524"/>
      <c r="N732" s="112" t="s">
        <v>3758</v>
      </c>
      <c r="O732" s="113" t="s">
        <v>3759</v>
      </c>
    </row>
    <row r="733" spans="1:15">
      <c r="A733" s="10" t="s">
        <v>4938</v>
      </c>
      <c r="B733" s="34" t="s">
        <v>4939</v>
      </c>
      <c r="C733" s="10" t="s">
        <v>4940</v>
      </c>
      <c r="D733" s="11">
        <v>1</v>
      </c>
      <c r="E733" s="11" t="s">
        <v>4782</v>
      </c>
      <c r="F733" s="11" t="s">
        <v>3763</v>
      </c>
      <c r="G733" s="129">
        <v>45300</v>
      </c>
      <c r="H733" s="161" t="s">
        <v>3768</v>
      </c>
      <c r="I733" s="729"/>
      <c r="J733" s="729"/>
      <c r="K733" s="634"/>
      <c r="L733" s="522">
        <f t="shared" si="11"/>
        <v>0</v>
      </c>
      <c r="M733" s="141"/>
      <c r="N733" s="22"/>
      <c r="O733" s="22" t="s">
        <v>3759</v>
      </c>
    </row>
    <row r="734" spans="1:15">
      <c r="A734" s="10" t="s">
        <v>4941</v>
      </c>
      <c r="B734" s="34" t="s">
        <v>4942</v>
      </c>
      <c r="C734" s="10" t="s">
        <v>4943</v>
      </c>
      <c r="D734" s="11">
        <v>1</v>
      </c>
      <c r="E734" s="11" t="s">
        <v>4944</v>
      </c>
      <c r="F734" s="11" t="s">
        <v>3763</v>
      </c>
      <c r="G734" s="129">
        <v>44713</v>
      </c>
      <c r="H734" s="161" t="s">
        <v>3768</v>
      </c>
      <c r="I734" s="729"/>
      <c r="J734" s="729"/>
      <c r="K734" s="634"/>
      <c r="L734" s="522">
        <f t="shared" si="11"/>
        <v>0</v>
      </c>
      <c r="M734" s="141"/>
      <c r="N734" s="22"/>
      <c r="O734" s="22" t="s">
        <v>3759</v>
      </c>
    </row>
    <row r="735" spans="1:15">
      <c r="A735" s="10" t="s">
        <v>4951</v>
      </c>
      <c r="B735" s="34">
        <v>93449</v>
      </c>
      <c r="C735" s="10" t="s">
        <v>2178</v>
      </c>
      <c r="D735" s="11">
        <v>1</v>
      </c>
      <c r="E735" s="11" t="s">
        <v>4952</v>
      </c>
      <c r="F735" s="11" t="s">
        <v>3780</v>
      </c>
      <c r="G735" s="129">
        <v>43704</v>
      </c>
      <c r="H735" s="161" t="s">
        <v>4138</v>
      </c>
      <c r="I735" s="729"/>
      <c r="J735" s="729"/>
      <c r="K735" s="636"/>
      <c r="L735" s="522">
        <f t="shared" si="11"/>
        <v>0</v>
      </c>
      <c r="M735" s="142"/>
      <c r="N735" s="12"/>
      <c r="O735" s="12" t="s">
        <v>3759</v>
      </c>
    </row>
    <row r="736" spans="1:15">
      <c r="A736" s="10" t="s">
        <v>4796</v>
      </c>
      <c r="B736" s="34" t="s">
        <v>7609</v>
      </c>
      <c r="C736" s="10" t="s">
        <v>4798</v>
      </c>
      <c r="D736" s="11">
        <v>1</v>
      </c>
      <c r="E736" s="11" t="s">
        <v>3927</v>
      </c>
      <c r="F736" s="11" t="s">
        <v>3785</v>
      </c>
      <c r="G736" s="129">
        <v>45929</v>
      </c>
      <c r="H736" s="161" t="s">
        <v>3834</v>
      </c>
      <c r="I736" s="729"/>
      <c r="J736" s="729"/>
      <c r="K736" s="633"/>
      <c r="L736" s="522">
        <f t="shared" si="11"/>
        <v>0</v>
      </c>
      <c r="M736" s="471"/>
      <c r="N736" s="22"/>
      <c r="O736" s="22" t="s">
        <v>3759</v>
      </c>
    </row>
    <row r="737" spans="1:15" hidden="1">
      <c r="A737" s="316" t="s">
        <v>1782</v>
      </c>
      <c r="B737" s="558" t="s">
        <v>3748</v>
      </c>
      <c r="C737" s="260" t="s">
        <v>2187</v>
      </c>
      <c r="D737" s="555">
        <v>0</v>
      </c>
      <c r="E737" s="555" t="s">
        <v>3978</v>
      </c>
      <c r="F737" s="555"/>
      <c r="G737" s="555"/>
      <c r="H737" s="475"/>
      <c r="I737" s="728"/>
      <c r="J737" s="728"/>
      <c r="K737" s="169"/>
      <c r="L737" s="169">
        <f t="shared" si="11"/>
        <v>0</v>
      </c>
      <c r="M737" s="668"/>
      <c r="N737" s="121" t="s">
        <v>3758</v>
      </c>
      <c r="O737" s="122" t="s">
        <v>3759</v>
      </c>
    </row>
    <row r="738" spans="1:15">
      <c r="A738" s="10" t="s">
        <v>4960</v>
      </c>
      <c r="B738" s="34" t="s">
        <v>4961</v>
      </c>
      <c r="C738" s="10" t="s">
        <v>4962</v>
      </c>
      <c r="D738" s="11">
        <v>1</v>
      </c>
      <c r="E738" s="10" t="s">
        <v>3964</v>
      </c>
      <c r="F738" s="11" t="s">
        <v>3763</v>
      </c>
      <c r="G738" s="129">
        <v>44714</v>
      </c>
      <c r="H738" s="161" t="s">
        <v>3951</v>
      </c>
      <c r="I738" s="729"/>
      <c r="J738" s="729"/>
      <c r="K738" s="636"/>
      <c r="L738" s="522">
        <f t="shared" si="11"/>
        <v>0</v>
      </c>
      <c r="M738" s="142"/>
      <c r="N738" s="22"/>
      <c r="O738" s="22" t="s">
        <v>3759</v>
      </c>
    </row>
    <row r="739" spans="1:15" hidden="1">
      <c r="A739" s="316" t="s">
        <v>5324</v>
      </c>
      <c r="B739" s="554" t="s">
        <v>3748</v>
      </c>
      <c r="C739" s="329" t="s">
        <v>27</v>
      </c>
      <c r="D739" s="555">
        <v>0</v>
      </c>
      <c r="E739" s="556" t="s">
        <v>5325</v>
      </c>
      <c r="F739" s="556" t="s">
        <v>3750</v>
      </c>
      <c r="G739" s="556"/>
      <c r="H739" s="557"/>
      <c r="I739" s="728">
        <v>100</v>
      </c>
      <c r="J739" s="728"/>
      <c r="K739" s="500"/>
      <c r="L739" s="90">
        <f t="shared" si="11"/>
        <v>100</v>
      </c>
      <c r="M739" s="500"/>
      <c r="N739" s="107" t="s">
        <v>3758</v>
      </c>
      <c r="O739" s="108" t="s">
        <v>5326</v>
      </c>
    </row>
    <row r="740" spans="1:15" hidden="1">
      <c r="A740" s="316" t="s">
        <v>5327</v>
      </c>
      <c r="B740" s="110" t="s">
        <v>5328</v>
      </c>
      <c r="C740" s="44" t="s">
        <v>1423</v>
      </c>
      <c r="D740" s="111">
        <v>0</v>
      </c>
      <c r="E740" s="111" t="s">
        <v>5329</v>
      </c>
      <c r="F740" s="111"/>
      <c r="G740" s="111"/>
      <c r="H740" s="170"/>
      <c r="I740" s="728"/>
      <c r="J740" s="728"/>
      <c r="K740" s="478"/>
      <c r="L740" s="478">
        <f t="shared" si="11"/>
        <v>0</v>
      </c>
      <c r="M740" s="524"/>
      <c r="N740" s="112" t="s">
        <v>3758</v>
      </c>
      <c r="O740" s="113" t="s">
        <v>3759</v>
      </c>
    </row>
    <row r="741" spans="1:15">
      <c r="A741" s="10" t="s">
        <v>4960</v>
      </c>
      <c r="B741" s="34" t="s">
        <v>4964</v>
      </c>
      <c r="C741" s="10" t="s">
        <v>4962</v>
      </c>
      <c r="D741" s="11">
        <v>1</v>
      </c>
      <c r="E741" s="11" t="s">
        <v>4223</v>
      </c>
      <c r="F741" s="11" t="s">
        <v>3763</v>
      </c>
      <c r="G741" s="129">
        <v>44742</v>
      </c>
      <c r="H741" s="161" t="s">
        <v>3951</v>
      </c>
      <c r="I741" s="729"/>
      <c r="J741" s="729"/>
      <c r="K741" s="636"/>
      <c r="L741" s="522">
        <f t="shared" si="11"/>
        <v>0</v>
      </c>
      <c r="M741" s="142"/>
      <c r="N741" s="22"/>
      <c r="O741" s="22" t="s">
        <v>3759</v>
      </c>
    </row>
    <row r="742" spans="1:15">
      <c r="A742" s="10" t="s">
        <v>4965</v>
      </c>
      <c r="B742" s="34" t="s">
        <v>4966</v>
      </c>
      <c r="C742" s="10" t="s">
        <v>4967</v>
      </c>
      <c r="D742" s="11">
        <v>1</v>
      </c>
      <c r="E742" s="11" t="s">
        <v>4968</v>
      </c>
      <c r="F742" s="11" t="s">
        <v>3763</v>
      </c>
      <c r="G742" s="129">
        <v>45161</v>
      </c>
      <c r="H742" s="161" t="s">
        <v>3768</v>
      </c>
      <c r="I742" s="729"/>
      <c r="J742" s="729"/>
      <c r="K742" s="634"/>
      <c r="L742" s="522">
        <f t="shared" si="11"/>
        <v>0</v>
      </c>
      <c r="M742" s="141"/>
      <c r="N742" s="22"/>
      <c r="O742" s="22" t="s">
        <v>3759</v>
      </c>
    </row>
    <row r="743" spans="1:15">
      <c r="A743" s="10" t="s">
        <v>4969</v>
      </c>
      <c r="B743" s="34" t="s">
        <v>4970</v>
      </c>
      <c r="C743" s="10" t="s">
        <v>418</v>
      </c>
      <c r="D743" s="11">
        <v>1</v>
      </c>
      <c r="E743" s="11" t="s">
        <v>4728</v>
      </c>
      <c r="F743" s="11" t="s">
        <v>3763</v>
      </c>
      <c r="G743" s="129">
        <v>45176</v>
      </c>
      <c r="H743" s="161" t="s">
        <v>3768</v>
      </c>
      <c r="I743" s="729"/>
      <c r="J743" s="729"/>
      <c r="K743" s="636"/>
      <c r="L743" s="522">
        <f t="shared" si="11"/>
        <v>0</v>
      </c>
      <c r="M743" s="142"/>
      <c r="N743" s="22"/>
      <c r="O743" s="22" t="s">
        <v>3759</v>
      </c>
    </row>
    <row r="744" spans="1:15">
      <c r="A744" s="10" t="s">
        <v>4971</v>
      </c>
      <c r="B744" s="34">
        <v>623</v>
      </c>
      <c r="C744" s="10" t="s">
        <v>3283</v>
      </c>
      <c r="D744" s="11">
        <v>1</v>
      </c>
      <c r="E744" s="11" t="s">
        <v>4968</v>
      </c>
      <c r="F744" s="11" t="s">
        <v>3763</v>
      </c>
      <c r="G744" s="129">
        <v>45161</v>
      </c>
      <c r="H744" s="161" t="s">
        <v>3768</v>
      </c>
      <c r="I744" s="729"/>
      <c r="J744" s="729"/>
      <c r="K744" s="634"/>
      <c r="L744" s="522">
        <f t="shared" si="11"/>
        <v>0</v>
      </c>
      <c r="M744" s="141"/>
      <c r="N744" s="22"/>
      <c r="O744" s="22" t="s">
        <v>3759</v>
      </c>
    </row>
    <row r="745" spans="1:15" hidden="1">
      <c r="A745" s="316" t="s">
        <v>5343</v>
      </c>
      <c r="B745" s="554">
        <v>8777</v>
      </c>
      <c r="C745" s="329" t="s">
        <v>5344</v>
      </c>
      <c r="D745" s="555">
        <v>0</v>
      </c>
      <c r="E745" s="556" t="s">
        <v>5339</v>
      </c>
      <c r="F745" s="556"/>
      <c r="G745" s="556"/>
      <c r="H745" s="557"/>
      <c r="I745" s="728"/>
      <c r="J745" s="728"/>
      <c r="K745" s="494"/>
      <c r="L745" s="494">
        <f t="shared" si="11"/>
        <v>0</v>
      </c>
      <c r="M745" s="670"/>
      <c r="N745" s="40" t="s">
        <v>3758</v>
      </c>
      <c r="O745" s="108" t="s">
        <v>3759</v>
      </c>
    </row>
    <row r="746" spans="1:15" hidden="1">
      <c r="A746" s="316" t="s">
        <v>5345</v>
      </c>
      <c r="B746" s="110" t="s">
        <v>5346</v>
      </c>
      <c r="C746" s="133" t="s">
        <v>5347</v>
      </c>
      <c r="D746" s="111">
        <v>1</v>
      </c>
      <c r="E746" s="111" t="s">
        <v>4848</v>
      </c>
      <c r="F746" s="111" t="s">
        <v>4310</v>
      </c>
      <c r="G746" s="114">
        <v>45583</v>
      </c>
      <c r="H746" s="170" t="s">
        <v>3913</v>
      </c>
      <c r="I746" s="728">
        <v>5500</v>
      </c>
      <c r="J746" s="728"/>
      <c r="K746" s="478"/>
      <c r="L746" s="478">
        <f t="shared" si="11"/>
        <v>5500</v>
      </c>
      <c r="M746" s="524"/>
      <c r="N746" s="535" t="s">
        <v>5348</v>
      </c>
      <c r="O746" s="113" t="s">
        <v>3759</v>
      </c>
    </row>
    <row r="747" spans="1:15">
      <c r="A747" s="10" t="s">
        <v>4974</v>
      </c>
      <c r="B747" s="34" t="s">
        <v>3748</v>
      </c>
      <c r="C747" s="10" t="s">
        <v>418</v>
      </c>
      <c r="D747" s="11">
        <v>4</v>
      </c>
      <c r="E747" s="11" t="s">
        <v>4418</v>
      </c>
      <c r="F747" s="11" t="s">
        <v>3750</v>
      </c>
      <c r="G747" s="129">
        <v>45443</v>
      </c>
      <c r="H747" s="161" t="s">
        <v>4975</v>
      </c>
      <c r="I747" s="729"/>
      <c r="J747" s="729"/>
      <c r="K747" s="634"/>
      <c r="L747" s="522">
        <f t="shared" si="11"/>
        <v>0</v>
      </c>
      <c r="M747" s="141"/>
      <c r="N747" s="22"/>
      <c r="O747" s="22" t="s">
        <v>3759</v>
      </c>
    </row>
    <row r="748" spans="1:15">
      <c r="A748" s="10" t="s">
        <v>5566</v>
      </c>
      <c r="B748" s="33">
        <v>8606</v>
      </c>
      <c r="C748" s="33" t="s">
        <v>207</v>
      </c>
      <c r="D748" s="11">
        <v>1</v>
      </c>
      <c r="E748" s="11" t="s">
        <v>4887</v>
      </c>
      <c r="F748" s="11" t="s">
        <v>3785</v>
      </c>
      <c r="G748" s="129">
        <v>45867</v>
      </c>
      <c r="H748" s="161" t="s">
        <v>3799</v>
      </c>
      <c r="I748" s="729"/>
      <c r="J748" s="729"/>
      <c r="K748" s="633"/>
      <c r="L748" s="522">
        <f t="shared" si="11"/>
        <v>0</v>
      </c>
      <c r="M748" s="471"/>
      <c r="N748" s="22"/>
      <c r="O748" s="22" t="s">
        <v>3759</v>
      </c>
    </row>
    <row r="749" spans="1:15">
      <c r="A749" s="10" t="s">
        <v>4981</v>
      </c>
      <c r="B749" s="34">
        <v>57098</v>
      </c>
      <c r="C749" s="10" t="s">
        <v>4982</v>
      </c>
      <c r="D749" s="11">
        <v>1</v>
      </c>
      <c r="E749" s="11" t="s">
        <v>4151</v>
      </c>
      <c r="F749" s="11" t="s">
        <v>3780</v>
      </c>
      <c r="G749" s="129">
        <v>43962</v>
      </c>
      <c r="H749" s="161" t="s">
        <v>3768</v>
      </c>
      <c r="I749" s="729"/>
      <c r="J749" s="729"/>
      <c r="K749" s="636">
        <v>425</v>
      </c>
      <c r="L749" s="522">
        <f t="shared" si="11"/>
        <v>425</v>
      </c>
      <c r="M749" s="142">
        <v>725</v>
      </c>
      <c r="N749" s="12"/>
      <c r="O749" s="12" t="s">
        <v>3759</v>
      </c>
    </row>
    <row r="750" spans="1:15" hidden="1">
      <c r="A750" s="316" t="s">
        <v>5131</v>
      </c>
      <c r="B750" s="558">
        <v>3537</v>
      </c>
      <c r="C750" s="260" t="s">
        <v>5134</v>
      </c>
      <c r="D750" s="555">
        <v>0</v>
      </c>
      <c r="E750" s="555" t="s">
        <v>3944</v>
      </c>
      <c r="F750" s="555" t="s">
        <v>3763</v>
      </c>
      <c r="G750" s="559">
        <v>45749</v>
      </c>
      <c r="H750" s="475" t="s">
        <v>5135</v>
      </c>
      <c r="I750" s="728"/>
      <c r="J750" s="728"/>
      <c r="K750" s="245"/>
      <c r="L750" s="245">
        <f t="shared" si="11"/>
        <v>0</v>
      </c>
      <c r="M750" s="668"/>
      <c r="N750" s="121" t="s">
        <v>3758</v>
      </c>
      <c r="O750" s="122" t="s">
        <v>3759</v>
      </c>
    </row>
    <row r="751" spans="1:15">
      <c r="A751" s="10" t="s">
        <v>4981</v>
      </c>
      <c r="B751" s="34">
        <v>48594</v>
      </c>
      <c r="C751" s="10" t="s">
        <v>4982</v>
      </c>
      <c r="D751" s="11">
        <v>1</v>
      </c>
      <c r="E751" s="11" t="s">
        <v>4087</v>
      </c>
      <c r="F751" s="11" t="s">
        <v>3780</v>
      </c>
      <c r="G751" s="129">
        <v>43962</v>
      </c>
      <c r="H751" s="161" t="s">
        <v>3768</v>
      </c>
      <c r="I751" s="729"/>
      <c r="J751" s="729"/>
      <c r="K751" s="636">
        <v>425</v>
      </c>
      <c r="L751" s="522">
        <f t="shared" si="11"/>
        <v>425</v>
      </c>
      <c r="M751" s="142">
        <v>725</v>
      </c>
      <c r="N751" s="12"/>
      <c r="O751" s="12" t="s">
        <v>3759</v>
      </c>
    </row>
    <row r="752" spans="1:15">
      <c r="A752" s="10" t="s">
        <v>4983</v>
      </c>
      <c r="B752" s="34" t="s">
        <v>3748</v>
      </c>
      <c r="C752" s="10" t="s">
        <v>4984</v>
      </c>
      <c r="D752" s="11">
        <v>1</v>
      </c>
      <c r="E752" s="11" t="s">
        <v>4985</v>
      </c>
      <c r="F752" s="11" t="s">
        <v>3763</v>
      </c>
      <c r="G752" s="129">
        <v>44652</v>
      </c>
      <c r="H752" s="161" t="s">
        <v>4986</v>
      </c>
      <c r="I752" s="729"/>
      <c r="J752" s="729"/>
      <c r="K752" s="636"/>
      <c r="L752" s="522">
        <f t="shared" si="11"/>
        <v>0</v>
      </c>
      <c r="M752" s="142"/>
      <c r="N752" s="22"/>
      <c r="O752" s="22" t="s">
        <v>3759</v>
      </c>
    </row>
    <row r="753" spans="1:15">
      <c r="A753" s="316" t="s">
        <v>4987</v>
      </c>
      <c r="B753" s="462" t="s">
        <v>4988</v>
      </c>
      <c r="C753" s="316" t="s">
        <v>3906</v>
      </c>
      <c r="D753" s="464">
        <v>1</v>
      </c>
      <c r="E753" s="464" t="s">
        <v>8158</v>
      </c>
      <c r="F753" s="464" t="s">
        <v>3785</v>
      </c>
      <c r="G753" s="465">
        <v>44810</v>
      </c>
      <c r="H753" s="330" t="s">
        <v>3869</v>
      </c>
      <c r="I753" s="728"/>
      <c r="J753" s="728"/>
      <c r="K753" s="643"/>
      <c r="L753" s="522">
        <f t="shared" si="11"/>
        <v>0</v>
      </c>
      <c r="M753" s="318"/>
      <c r="N753" s="407" t="s">
        <v>7995</v>
      </c>
      <c r="O753" s="22" t="s">
        <v>3759</v>
      </c>
    </row>
    <row r="754" spans="1:15" hidden="1">
      <c r="A754" s="316" t="s">
        <v>5356</v>
      </c>
      <c r="B754" s="558">
        <v>106597</v>
      </c>
      <c r="C754" s="260" t="s">
        <v>5357</v>
      </c>
      <c r="D754" s="555">
        <v>0</v>
      </c>
      <c r="E754" s="555" t="s">
        <v>5358</v>
      </c>
      <c r="F754" s="555" t="s">
        <v>3750</v>
      </c>
      <c r="G754" s="559">
        <v>44834</v>
      </c>
      <c r="H754" s="475" t="s">
        <v>5359</v>
      </c>
      <c r="I754" s="728"/>
      <c r="J754" s="728"/>
      <c r="K754" s="169"/>
      <c r="L754" s="169">
        <f t="shared" si="11"/>
        <v>0</v>
      </c>
      <c r="M754" s="668"/>
      <c r="N754" s="581" t="s">
        <v>3758</v>
      </c>
      <c r="O754" s="582" t="s">
        <v>3759</v>
      </c>
    </row>
    <row r="755" spans="1:15">
      <c r="A755" s="10" t="s">
        <v>4995</v>
      </c>
      <c r="B755" s="34" t="s">
        <v>4996</v>
      </c>
      <c r="C755" s="10" t="s">
        <v>1423</v>
      </c>
      <c r="D755" s="11">
        <v>1</v>
      </c>
      <c r="E755" s="11" t="s">
        <v>4907</v>
      </c>
      <c r="F755" s="11" t="s">
        <v>3763</v>
      </c>
      <c r="G755" s="129">
        <v>39009</v>
      </c>
      <c r="H755" s="161" t="s">
        <v>4396</v>
      </c>
      <c r="I755" s="729"/>
      <c r="J755" s="729"/>
      <c r="K755" s="634"/>
      <c r="L755" s="522">
        <f t="shared" si="11"/>
        <v>0</v>
      </c>
      <c r="M755" s="141"/>
      <c r="N755" s="22"/>
      <c r="O755" s="22" t="s">
        <v>3759</v>
      </c>
    </row>
    <row r="756" spans="1:15" hidden="1">
      <c r="A756" s="316" t="s">
        <v>5142</v>
      </c>
      <c r="B756" s="558" t="s">
        <v>5362</v>
      </c>
      <c r="C756" s="260" t="s">
        <v>5144</v>
      </c>
      <c r="D756" s="555">
        <v>0</v>
      </c>
      <c r="E756" s="555" t="s">
        <v>4229</v>
      </c>
      <c r="F756" s="555" t="s">
        <v>3785</v>
      </c>
      <c r="G756" s="559">
        <v>45672</v>
      </c>
      <c r="H756" s="475" t="s">
        <v>3819</v>
      </c>
      <c r="I756" s="728">
        <v>6850</v>
      </c>
      <c r="J756" s="728"/>
      <c r="K756" s="245"/>
      <c r="L756" s="245">
        <f t="shared" si="11"/>
        <v>6850</v>
      </c>
      <c r="M756" s="668"/>
      <c r="N756" s="121" t="s">
        <v>3758</v>
      </c>
      <c r="O756" s="122" t="s">
        <v>3759</v>
      </c>
    </row>
    <row r="757" spans="1:15">
      <c r="A757" s="10" t="s">
        <v>4997</v>
      </c>
      <c r="B757" s="34">
        <v>651</v>
      </c>
      <c r="C757" s="10" t="s">
        <v>4998</v>
      </c>
      <c r="D757" s="11">
        <v>1</v>
      </c>
      <c r="E757" s="11" t="s">
        <v>4080</v>
      </c>
      <c r="F757" s="11" t="s">
        <v>3763</v>
      </c>
      <c r="G757" s="129">
        <v>44846</v>
      </c>
      <c r="H757" s="161" t="s">
        <v>4238</v>
      </c>
      <c r="I757" s="729"/>
      <c r="J757" s="729"/>
      <c r="K757" s="636"/>
      <c r="L757" s="522">
        <f t="shared" si="11"/>
        <v>0</v>
      </c>
      <c r="M757" s="142"/>
      <c r="N757" s="22"/>
      <c r="O757" s="22" t="s">
        <v>3759</v>
      </c>
    </row>
    <row r="758" spans="1:15">
      <c r="A758" s="10" t="s">
        <v>4997</v>
      </c>
      <c r="B758" s="34">
        <v>151</v>
      </c>
      <c r="C758" s="10" t="s">
        <v>4998</v>
      </c>
      <c r="D758" s="11">
        <v>1</v>
      </c>
      <c r="E758" s="11" t="s">
        <v>4999</v>
      </c>
      <c r="F758" s="11" t="s">
        <v>3763</v>
      </c>
      <c r="G758" s="129">
        <v>44923</v>
      </c>
      <c r="H758" s="161" t="s">
        <v>4238</v>
      </c>
      <c r="I758" s="729"/>
      <c r="J758" s="729"/>
      <c r="K758" s="636"/>
      <c r="L758" s="522">
        <f t="shared" si="11"/>
        <v>0</v>
      </c>
      <c r="M758" s="142"/>
      <c r="N758" s="22"/>
      <c r="O758" s="22" t="s">
        <v>3759</v>
      </c>
    </row>
    <row r="759" spans="1:15">
      <c r="A759" s="10" t="s">
        <v>5000</v>
      </c>
      <c r="B759" s="34">
        <v>1499</v>
      </c>
      <c r="C759" s="10" t="s">
        <v>4998</v>
      </c>
      <c r="D759" s="11">
        <v>1</v>
      </c>
      <c r="E759" s="11" t="s">
        <v>3982</v>
      </c>
      <c r="F759" s="11" t="s">
        <v>3763</v>
      </c>
      <c r="G759" s="129">
        <v>44802</v>
      </c>
      <c r="H759" s="161" t="s">
        <v>4238</v>
      </c>
      <c r="I759" s="729"/>
      <c r="J759" s="729"/>
      <c r="K759" s="636"/>
      <c r="L759" s="522">
        <f t="shared" si="11"/>
        <v>0</v>
      </c>
      <c r="M759" s="142"/>
      <c r="N759" s="12"/>
      <c r="O759" s="12" t="s">
        <v>3759</v>
      </c>
    </row>
    <row r="760" spans="1:15" hidden="1">
      <c r="A760" s="316" t="s">
        <v>5374</v>
      </c>
      <c r="B760" s="558">
        <v>388</v>
      </c>
      <c r="C760" s="260" t="s">
        <v>5375</v>
      </c>
      <c r="D760" s="555">
        <v>0</v>
      </c>
      <c r="E760" s="555" t="s">
        <v>5376</v>
      </c>
      <c r="F760" s="555"/>
      <c r="G760" s="555"/>
      <c r="H760" s="475"/>
      <c r="I760" s="728"/>
      <c r="J760" s="728"/>
      <c r="K760" s="169"/>
      <c r="L760" s="169">
        <f t="shared" si="11"/>
        <v>0</v>
      </c>
      <c r="M760" s="668"/>
      <c r="N760" s="581" t="s">
        <v>3758</v>
      </c>
      <c r="O760" s="122" t="s">
        <v>3759</v>
      </c>
    </row>
    <row r="761" spans="1:15">
      <c r="A761" s="10" t="s">
        <v>5002</v>
      </c>
      <c r="B761" s="34">
        <v>4659</v>
      </c>
      <c r="C761" s="10" t="s">
        <v>5003</v>
      </c>
      <c r="D761" s="11">
        <v>1</v>
      </c>
      <c r="E761" s="11" t="s">
        <v>5004</v>
      </c>
      <c r="F761" s="11" t="s">
        <v>3785</v>
      </c>
      <c r="G761" s="129">
        <v>38064</v>
      </c>
      <c r="H761" s="161" t="s">
        <v>5005</v>
      </c>
      <c r="I761" s="729"/>
      <c r="J761" s="729"/>
      <c r="K761" s="638"/>
      <c r="L761" s="522">
        <f t="shared" si="11"/>
        <v>0</v>
      </c>
      <c r="M761" s="142"/>
      <c r="N761" s="12"/>
      <c r="O761" s="12" t="s">
        <v>3759</v>
      </c>
    </row>
    <row r="762" spans="1:15">
      <c r="A762" s="316" t="s">
        <v>5006</v>
      </c>
      <c r="B762" s="316">
        <v>938898</v>
      </c>
      <c r="C762" s="316" t="s">
        <v>5007</v>
      </c>
      <c r="D762" s="316">
        <v>1</v>
      </c>
      <c r="E762" s="316" t="s">
        <v>8157</v>
      </c>
      <c r="F762" s="316" t="s">
        <v>3785</v>
      </c>
      <c r="G762" s="316">
        <v>45636</v>
      </c>
      <c r="H762" s="316" t="s">
        <v>4630</v>
      </c>
      <c r="I762" s="316"/>
      <c r="J762" s="316"/>
      <c r="K762" s="316"/>
      <c r="L762" s="522">
        <f t="shared" si="11"/>
        <v>0</v>
      </c>
      <c r="M762" s="318"/>
      <c r="N762" s="407" t="s">
        <v>7995</v>
      </c>
      <c r="O762" s="22" t="s">
        <v>3759</v>
      </c>
    </row>
    <row r="763" spans="1:15" hidden="1">
      <c r="A763" s="316" t="s">
        <v>5381</v>
      </c>
      <c r="B763" s="316">
        <v>2505</v>
      </c>
      <c r="C763" s="316" t="s">
        <v>5382</v>
      </c>
      <c r="D763" s="316">
        <v>0</v>
      </c>
      <c r="E763" s="316" t="s">
        <v>4269</v>
      </c>
      <c r="F763" s="316"/>
      <c r="G763" s="316"/>
      <c r="H763" s="316"/>
      <c r="I763" s="316"/>
      <c r="J763" s="316"/>
      <c r="K763" s="316"/>
      <c r="L763" s="169">
        <f t="shared" si="11"/>
        <v>0</v>
      </c>
      <c r="M763" s="668"/>
      <c r="N763" s="121" t="s">
        <v>3758</v>
      </c>
      <c r="O763" s="122" t="s">
        <v>3759</v>
      </c>
    </row>
    <row r="764" spans="1:15">
      <c r="A764" s="316" t="s">
        <v>5006</v>
      </c>
      <c r="B764" s="316" t="s">
        <v>5008</v>
      </c>
      <c r="C764" s="316" t="s">
        <v>5007</v>
      </c>
      <c r="D764" s="316">
        <v>1</v>
      </c>
      <c r="E764" s="316" t="s">
        <v>8157</v>
      </c>
      <c r="F764" s="316" t="s">
        <v>3785</v>
      </c>
      <c r="G764" s="316">
        <v>45694</v>
      </c>
      <c r="H764" s="316" t="s">
        <v>5009</v>
      </c>
      <c r="I764" s="316"/>
      <c r="J764" s="316"/>
      <c r="K764" s="316"/>
      <c r="L764" s="522">
        <f t="shared" si="11"/>
        <v>0</v>
      </c>
      <c r="M764" s="318"/>
      <c r="N764" s="407" t="s">
        <v>7995</v>
      </c>
      <c r="O764" s="22" t="s">
        <v>3759</v>
      </c>
    </row>
    <row r="765" spans="1:15" hidden="1">
      <c r="A765" s="316" t="s">
        <v>5385</v>
      </c>
      <c r="B765" s="595">
        <v>4076</v>
      </c>
      <c r="C765" s="260" t="s">
        <v>5386</v>
      </c>
      <c r="D765" s="555">
        <v>0</v>
      </c>
      <c r="E765" s="596" t="s">
        <v>4229</v>
      </c>
      <c r="F765" s="596"/>
      <c r="G765" s="596"/>
      <c r="H765" s="477"/>
      <c r="I765" s="728"/>
      <c r="J765" s="728"/>
      <c r="K765" s="169"/>
      <c r="L765" s="169">
        <f t="shared" si="11"/>
        <v>0</v>
      </c>
      <c r="M765" s="668"/>
      <c r="N765" s="121" t="s">
        <v>3758</v>
      </c>
      <c r="O765" s="122" t="s">
        <v>3759</v>
      </c>
    </row>
    <row r="766" spans="1:15">
      <c r="A766" s="10" t="s">
        <v>4865</v>
      </c>
      <c r="B766" s="115" t="s">
        <v>5775</v>
      </c>
      <c r="C766" s="10" t="s">
        <v>5776</v>
      </c>
      <c r="D766" s="11">
        <v>1</v>
      </c>
      <c r="E766" s="11" t="s">
        <v>3881</v>
      </c>
      <c r="F766" s="11" t="s">
        <v>3785</v>
      </c>
      <c r="G766" s="129">
        <v>45874</v>
      </c>
      <c r="H766" s="161" t="s">
        <v>7993</v>
      </c>
      <c r="I766" s="729"/>
      <c r="J766" s="729"/>
      <c r="K766" s="633"/>
      <c r="L766" s="522">
        <f t="shared" si="11"/>
        <v>0</v>
      </c>
      <c r="M766" s="471"/>
      <c r="N766" s="22"/>
      <c r="O766" s="22" t="s">
        <v>3759</v>
      </c>
    </row>
    <row r="767" spans="1:15" hidden="1">
      <c r="A767" s="316" t="s">
        <v>5388</v>
      </c>
      <c r="B767" s="328">
        <v>95071081</v>
      </c>
      <c r="C767" s="329" t="s">
        <v>5389</v>
      </c>
      <c r="D767" s="555">
        <v>0</v>
      </c>
      <c r="E767" s="597" t="s">
        <v>5079</v>
      </c>
      <c r="F767" s="597"/>
      <c r="G767" s="597"/>
      <c r="H767" s="566"/>
      <c r="I767" s="728"/>
      <c r="J767" s="728"/>
      <c r="K767" s="169"/>
      <c r="L767" s="169">
        <f t="shared" si="11"/>
        <v>0</v>
      </c>
      <c r="M767" s="668"/>
      <c r="N767" s="121" t="s">
        <v>3758</v>
      </c>
      <c r="O767" s="122" t="s">
        <v>3759</v>
      </c>
    </row>
    <row r="768" spans="1:15" hidden="1">
      <c r="A768" s="316" t="s">
        <v>5390</v>
      </c>
      <c r="B768" s="133">
        <v>93100060</v>
      </c>
      <c r="C768" s="44" t="s">
        <v>5386</v>
      </c>
      <c r="D768" s="111">
        <v>0</v>
      </c>
      <c r="E768" s="135" t="s">
        <v>3919</v>
      </c>
      <c r="F768" s="135"/>
      <c r="G768" s="135"/>
      <c r="H768" s="549"/>
      <c r="I768" s="728"/>
      <c r="J768" s="728"/>
      <c r="K768" s="169"/>
      <c r="L768" s="169">
        <f t="shared" si="11"/>
        <v>0</v>
      </c>
      <c r="M768" s="668"/>
      <c r="N768" s="221" t="s">
        <v>3758</v>
      </c>
      <c r="O768" s="122" t="s">
        <v>3759</v>
      </c>
    </row>
    <row r="769" spans="1:15">
      <c r="A769" s="10" t="s">
        <v>4867</v>
      </c>
      <c r="B769" s="34">
        <v>4831</v>
      </c>
      <c r="C769" s="10" t="s">
        <v>5014</v>
      </c>
      <c r="D769" s="11">
        <v>1</v>
      </c>
      <c r="E769" s="11" t="s">
        <v>4357</v>
      </c>
      <c r="F769" s="11" t="s">
        <v>3785</v>
      </c>
      <c r="G769" s="129">
        <v>45698</v>
      </c>
      <c r="H769" s="161" t="s">
        <v>3799</v>
      </c>
      <c r="I769" s="729"/>
      <c r="J769" s="729"/>
      <c r="K769" s="633"/>
      <c r="L769" s="522">
        <f t="shared" si="11"/>
        <v>0</v>
      </c>
      <c r="M769" s="471"/>
      <c r="N769" s="22"/>
      <c r="O769" s="22" t="s">
        <v>3759</v>
      </c>
    </row>
    <row r="770" spans="1:15" hidden="1">
      <c r="A770" s="316" t="s">
        <v>5394</v>
      </c>
      <c r="B770" s="595">
        <v>90050485</v>
      </c>
      <c r="C770" s="260" t="s">
        <v>5395</v>
      </c>
      <c r="D770" s="555">
        <v>0</v>
      </c>
      <c r="E770" s="598" t="s">
        <v>3944</v>
      </c>
      <c r="F770" s="598"/>
      <c r="G770" s="598"/>
      <c r="H770" s="476"/>
      <c r="I770" s="728"/>
      <c r="J770" s="728"/>
      <c r="K770" s="169"/>
      <c r="L770" s="169">
        <f t="shared" si="11"/>
        <v>0</v>
      </c>
      <c r="M770" s="668"/>
      <c r="N770" s="121" t="s">
        <v>3758</v>
      </c>
      <c r="O770" s="122" t="s">
        <v>3759</v>
      </c>
    </row>
    <row r="771" spans="1:15">
      <c r="A771" s="10" t="s">
        <v>5015</v>
      </c>
      <c r="B771" s="34" t="s">
        <v>5016</v>
      </c>
      <c r="C771" s="10" t="s">
        <v>207</v>
      </c>
      <c r="D771" s="11">
        <v>1</v>
      </c>
      <c r="E771" s="11" t="s">
        <v>5017</v>
      </c>
      <c r="F771" s="11" t="s">
        <v>3763</v>
      </c>
      <c r="G771" s="129">
        <v>44690</v>
      </c>
      <c r="H771" s="161" t="s">
        <v>3768</v>
      </c>
      <c r="I771" s="729"/>
      <c r="J771" s="729"/>
      <c r="K771" s="636"/>
      <c r="L771" s="522">
        <f t="shared" si="11"/>
        <v>0</v>
      </c>
      <c r="M771" s="142"/>
      <c r="N771" s="22"/>
      <c r="O771" s="22" t="s">
        <v>3759</v>
      </c>
    </row>
    <row r="772" spans="1:15" hidden="1">
      <c r="A772" s="316" t="s">
        <v>5385</v>
      </c>
      <c r="B772" s="328">
        <v>93058425</v>
      </c>
      <c r="C772" s="329" t="s">
        <v>5389</v>
      </c>
      <c r="D772" s="555">
        <v>0</v>
      </c>
      <c r="E772" s="597" t="s">
        <v>3922</v>
      </c>
      <c r="F772" s="597" t="s">
        <v>3763</v>
      </c>
      <c r="G772" s="599">
        <v>45567</v>
      </c>
      <c r="H772" s="566" t="s">
        <v>5399</v>
      </c>
      <c r="I772" s="728">
        <v>21695</v>
      </c>
      <c r="J772" s="728"/>
      <c r="K772" s="245"/>
      <c r="L772" s="245">
        <f t="shared" ref="L772:L835" si="12">IF(OR(I772="", K772=""), I772 + K772, I772 + K772)</f>
        <v>21695</v>
      </c>
      <c r="M772" s="668"/>
      <c r="N772" s="121" t="s">
        <v>3758</v>
      </c>
      <c r="O772" s="122" t="s">
        <v>3759</v>
      </c>
    </row>
    <row r="773" spans="1:15" hidden="1">
      <c r="A773" s="316" t="s">
        <v>5390</v>
      </c>
      <c r="B773" s="133">
        <v>97021873</v>
      </c>
      <c r="C773" s="44" t="s">
        <v>5389</v>
      </c>
      <c r="D773" s="111">
        <v>0</v>
      </c>
      <c r="E773" s="135" t="s">
        <v>5037</v>
      </c>
      <c r="F773" s="135" t="s">
        <v>3763</v>
      </c>
      <c r="G773" s="135">
        <v>45498</v>
      </c>
      <c r="H773" s="549" t="s">
        <v>5399</v>
      </c>
      <c r="I773" s="728">
        <v>17945</v>
      </c>
      <c r="J773" s="728"/>
      <c r="K773" s="220"/>
      <c r="L773" s="660">
        <f t="shared" si="12"/>
        <v>17945</v>
      </c>
      <c r="M773" s="220"/>
      <c r="N773" s="121" t="s">
        <v>3758</v>
      </c>
      <c r="O773" s="113" t="s">
        <v>3759</v>
      </c>
    </row>
    <row r="774" spans="1:15">
      <c r="A774" s="10" t="s">
        <v>5015</v>
      </c>
      <c r="B774" s="34" t="s">
        <v>5018</v>
      </c>
      <c r="C774" s="10" t="s">
        <v>5019</v>
      </c>
      <c r="D774" s="11">
        <v>1</v>
      </c>
      <c r="E774" s="11" t="s">
        <v>5020</v>
      </c>
      <c r="F774" s="11" t="s">
        <v>3763</v>
      </c>
      <c r="G774" s="129">
        <v>45092</v>
      </c>
      <c r="H774" s="161" t="s">
        <v>3768</v>
      </c>
      <c r="I774" s="729"/>
      <c r="J774" s="729"/>
      <c r="K774" s="634"/>
      <c r="L774" s="522">
        <f t="shared" si="12"/>
        <v>0</v>
      </c>
      <c r="M774" s="141"/>
      <c r="N774" s="22"/>
      <c r="O774" s="22" t="s">
        <v>3759</v>
      </c>
    </row>
    <row r="775" spans="1:15">
      <c r="A775" s="10" t="s">
        <v>5015</v>
      </c>
      <c r="B775" s="34" t="s">
        <v>5021</v>
      </c>
      <c r="C775" s="10" t="s">
        <v>5022</v>
      </c>
      <c r="D775" s="11">
        <v>1</v>
      </c>
      <c r="E775" s="11" t="s">
        <v>3937</v>
      </c>
      <c r="F775" s="11" t="s">
        <v>3763</v>
      </c>
      <c r="G775" s="129">
        <v>45349</v>
      </c>
      <c r="H775" s="161" t="s">
        <v>3768</v>
      </c>
      <c r="I775" s="729"/>
      <c r="J775" s="729"/>
      <c r="K775" s="634"/>
      <c r="L775" s="522">
        <f t="shared" si="12"/>
        <v>0</v>
      </c>
      <c r="M775" s="141"/>
      <c r="N775" s="22"/>
      <c r="O775" s="22" t="s">
        <v>3759</v>
      </c>
    </row>
    <row r="776" spans="1:15">
      <c r="A776" s="10" t="s">
        <v>5023</v>
      </c>
      <c r="B776" s="34" t="s">
        <v>5030</v>
      </c>
      <c r="C776" s="10" t="s">
        <v>5025</v>
      </c>
      <c r="D776" s="11">
        <v>1</v>
      </c>
      <c r="E776" s="11" t="s">
        <v>5031</v>
      </c>
      <c r="F776" s="11" t="s">
        <v>3763</v>
      </c>
      <c r="G776" s="129">
        <v>44756</v>
      </c>
      <c r="H776" s="161" t="s">
        <v>3768</v>
      </c>
      <c r="I776" s="729"/>
      <c r="J776" s="729"/>
      <c r="K776" s="636"/>
      <c r="L776" s="522">
        <f t="shared" si="12"/>
        <v>0</v>
      </c>
      <c r="M776" s="142"/>
      <c r="N776" s="22"/>
      <c r="O776" s="22" t="s">
        <v>3759</v>
      </c>
    </row>
    <row r="777" spans="1:15">
      <c r="A777" s="10" t="s">
        <v>5032</v>
      </c>
      <c r="B777" s="34">
        <v>1883</v>
      </c>
      <c r="C777" s="10" t="s">
        <v>207</v>
      </c>
      <c r="D777" s="11">
        <v>1</v>
      </c>
      <c r="E777" s="11" t="s">
        <v>5033</v>
      </c>
      <c r="F777" s="11" t="s">
        <v>3763</v>
      </c>
      <c r="G777" s="129">
        <v>44852</v>
      </c>
      <c r="H777" s="161" t="s">
        <v>3768</v>
      </c>
      <c r="I777" s="729"/>
      <c r="J777" s="729"/>
      <c r="K777" s="638"/>
      <c r="L777" s="522">
        <f t="shared" si="12"/>
        <v>0</v>
      </c>
      <c r="M777" s="142"/>
      <c r="N777" s="22"/>
      <c r="O777" s="22" t="s">
        <v>3759</v>
      </c>
    </row>
    <row r="778" spans="1:15" hidden="1">
      <c r="A778" s="316" t="s">
        <v>5174</v>
      </c>
      <c r="B778" s="595">
        <v>601</v>
      </c>
      <c r="C778" s="260" t="s">
        <v>5175</v>
      </c>
      <c r="D778" s="555">
        <v>0</v>
      </c>
      <c r="E778" s="598" t="s">
        <v>5183</v>
      </c>
      <c r="F778" s="598" t="s">
        <v>3798</v>
      </c>
      <c r="G778" s="596">
        <v>44706</v>
      </c>
      <c r="H778" s="476" t="s">
        <v>3951</v>
      </c>
      <c r="I778" s="728">
        <v>700</v>
      </c>
      <c r="J778" s="728"/>
      <c r="K778" s="212"/>
      <c r="L778" s="608">
        <f t="shared" si="12"/>
        <v>700</v>
      </c>
      <c r="M778" s="482"/>
      <c r="N778" s="121" t="s">
        <v>3758</v>
      </c>
      <c r="O778" s="122" t="s">
        <v>3759</v>
      </c>
    </row>
    <row r="779" spans="1:15">
      <c r="A779" s="10" t="s">
        <v>5032</v>
      </c>
      <c r="B779" s="34">
        <v>2074</v>
      </c>
      <c r="C779" s="10" t="s">
        <v>4576</v>
      </c>
      <c r="D779" s="11">
        <v>1</v>
      </c>
      <c r="E779" s="11" t="s">
        <v>5039</v>
      </c>
      <c r="F779" s="11" t="s">
        <v>3763</v>
      </c>
      <c r="G779" s="129">
        <v>45226</v>
      </c>
      <c r="H779" s="161" t="s">
        <v>3768</v>
      </c>
      <c r="I779" s="729"/>
      <c r="J779" s="729"/>
      <c r="K779" s="634"/>
      <c r="L779" s="522">
        <f t="shared" si="12"/>
        <v>0</v>
      </c>
      <c r="M779" s="141"/>
      <c r="N779" s="22"/>
      <c r="O779" s="22" t="s">
        <v>3759</v>
      </c>
    </row>
    <row r="780" spans="1:15">
      <c r="A780" s="10" t="s">
        <v>5040</v>
      </c>
      <c r="B780" s="34" t="s">
        <v>5041</v>
      </c>
      <c r="C780" s="10" t="s">
        <v>5042</v>
      </c>
      <c r="D780" s="11">
        <v>1</v>
      </c>
      <c r="E780" s="11" t="s">
        <v>5043</v>
      </c>
      <c r="F780" s="11" t="s">
        <v>3780</v>
      </c>
      <c r="G780" s="129">
        <v>43608</v>
      </c>
      <c r="H780" s="161" t="s">
        <v>5044</v>
      </c>
      <c r="I780" s="729"/>
      <c r="J780" s="729"/>
      <c r="K780" s="634"/>
      <c r="L780" s="522">
        <f t="shared" si="12"/>
        <v>0</v>
      </c>
      <c r="M780" s="141"/>
      <c r="N780" s="22"/>
      <c r="O780" s="23" t="s">
        <v>3759</v>
      </c>
    </row>
    <row r="781" spans="1:15">
      <c r="A781" s="10" t="s">
        <v>5051</v>
      </c>
      <c r="B781" s="34">
        <v>129921055</v>
      </c>
      <c r="C781" s="10" t="s">
        <v>5052</v>
      </c>
      <c r="D781" s="11">
        <v>1</v>
      </c>
      <c r="E781" s="11" t="s">
        <v>5053</v>
      </c>
      <c r="F781" s="11" t="s">
        <v>3785</v>
      </c>
      <c r="G781" s="129">
        <v>45430</v>
      </c>
      <c r="H781" s="161" t="s">
        <v>3768</v>
      </c>
      <c r="I781" s="729"/>
      <c r="J781" s="729"/>
      <c r="K781" s="634"/>
      <c r="L781" s="522">
        <f t="shared" si="12"/>
        <v>0</v>
      </c>
      <c r="M781" s="141"/>
      <c r="N781" s="22"/>
      <c r="O781" s="22" t="s">
        <v>3759</v>
      </c>
    </row>
    <row r="782" spans="1:15">
      <c r="A782" s="10" t="s">
        <v>5063</v>
      </c>
      <c r="B782" s="34">
        <v>5065</v>
      </c>
      <c r="C782" s="10" t="s">
        <v>5064</v>
      </c>
      <c r="D782" s="11">
        <v>1</v>
      </c>
      <c r="E782" s="129" t="s">
        <v>3950</v>
      </c>
      <c r="F782" s="11" t="s">
        <v>3763</v>
      </c>
      <c r="G782" s="129">
        <v>45594</v>
      </c>
      <c r="H782" s="161" t="s">
        <v>3965</v>
      </c>
      <c r="I782" s="729"/>
      <c r="J782" s="729"/>
      <c r="K782" s="633"/>
      <c r="L782" s="522">
        <f t="shared" si="12"/>
        <v>0</v>
      </c>
      <c r="M782" s="471">
        <v>4000</v>
      </c>
      <c r="N782" s="22"/>
      <c r="O782" s="22" t="s">
        <v>3759</v>
      </c>
    </row>
    <row r="783" spans="1:15" hidden="1">
      <c r="A783" s="316" t="s">
        <v>5407</v>
      </c>
      <c r="B783" s="595">
        <v>99249</v>
      </c>
      <c r="C783" s="260" t="s">
        <v>5408</v>
      </c>
      <c r="D783" s="555">
        <v>0</v>
      </c>
      <c r="E783" s="598" t="s">
        <v>4053</v>
      </c>
      <c r="F783" s="598" t="s">
        <v>3785</v>
      </c>
      <c r="G783" s="596">
        <v>44735</v>
      </c>
      <c r="H783" s="476" t="s">
        <v>5409</v>
      </c>
      <c r="I783" s="728">
        <v>3950</v>
      </c>
      <c r="J783" s="728"/>
      <c r="K783" s="212"/>
      <c r="L783" s="608">
        <f t="shared" si="12"/>
        <v>3950</v>
      </c>
      <c r="M783" s="482"/>
      <c r="N783" s="121" t="s">
        <v>3758</v>
      </c>
      <c r="O783" s="122" t="s">
        <v>3759</v>
      </c>
    </row>
    <row r="784" spans="1:15">
      <c r="A784" s="10" t="s">
        <v>5065</v>
      </c>
      <c r="B784" s="34">
        <v>2203</v>
      </c>
      <c r="C784" s="10" t="s">
        <v>5066</v>
      </c>
      <c r="D784" s="11">
        <v>1</v>
      </c>
      <c r="E784" s="11" t="s">
        <v>3927</v>
      </c>
      <c r="F784" s="11" t="s">
        <v>3763</v>
      </c>
      <c r="G784" s="129">
        <v>44351</v>
      </c>
      <c r="H784" s="161" t="s">
        <v>3777</v>
      </c>
      <c r="I784" s="729"/>
      <c r="J784" s="729"/>
      <c r="K784" s="638"/>
      <c r="L784" s="522">
        <f t="shared" si="12"/>
        <v>0</v>
      </c>
      <c r="M784" s="142"/>
      <c r="N784" s="22"/>
      <c r="O784" s="22" t="s">
        <v>3759</v>
      </c>
    </row>
    <row r="785" spans="1:15">
      <c r="A785" s="10" t="s">
        <v>4917</v>
      </c>
      <c r="B785" s="34">
        <v>3577</v>
      </c>
      <c r="C785" s="10" t="s">
        <v>5067</v>
      </c>
      <c r="D785" s="11">
        <v>1</v>
      </c>
      <c r="E785" s="11" t="s">
        <v>3919</v>
      </c>
      <c r="F785" s="11" t="s">
        <v>3763</v>
      </c>
      <c r="G785" s="129">
        <v>45565</v>
      </c>
      <c r="H785" s="161" t="s">
        <v>3934</v>
      </c>
      <c r="I785" s="729"/>
      <c r="J785" s="729"/>
      <c r="K785" s="637"/>
      <c r="L785" s="522">
        <f t="shared" si="12"/>
        <v>0</v>
      </c>
      <c r="M785" s="739"/>
      <c r="N785" s="22"/>
      <c r="O785" s="22" t="s">
        <v>3759</v>
      </c>
    </row>
    <row r="786" spans="1:15">
      <c r="A786" s="10" t="s">
        <v>4917</v>
      </c>
      <c r="B786" s="34">
        <v>4474</v>
      </c>
      <c r="C786" s="10" t="s">
        <v>4919</v>
      </c>
      <c r="D786" s="11">
        <v>1</v>
      </c>
      <c r="E786" s="11" t="s">
        <v>3950</v>
      </c>
      <c r="F786" s="11" t="s">
        <v>3763</v>
      </c>
      <c r="G786" s="129">
        <v>45586</v>
      </c>
      <c r="H786" s="161" t="s">
        <v>3965</v>
      </c>
      <c r="I786" s="729"/>
      <c r="J786" s="729"/>
      <c r="K786" s="639"/>
      <c r="L786" s="522">
        <f t="shared" si="12"/>
        <v>0</v>
      </c>
      <c r="M786" s="471"/>
      <c r="N786" s="22"/>
      <c r="O786" s="22" t="s">
        <v>3759</v>
      </c>
    </row>
    <row r="787" spans="1:15">
      <c r="A787" s="10" t="s">
        <v>5072</v>
      </c>
      <c r="B787" s="34">
        <v>3134</v>
      </c>
      <c r="C787" s="10" t="s">
        <v>5073</v>
      </c>
      <c r="D787" s="11">
        <v>1</v>
      </c>
      <c r="E787" s="10" t="s">
        <v>4564</v>
      </c>
      <c r="F787" s="11" t="s">
        <v>3785</v>
      </c>
      <c r="G787" s="129">
        <v>45217</v>
      </c>
      <c r="H787" s="161" t="s">
        <v>4081</v>
      </c>
      <c r="I787" s="729"/>
      <c r="J787" s="729"/>
      <c r="K787" s="636"/>
      <c r="L787" s="522">
        <f t="shared" si="12"/>
        <v>0</v>
      </c>
      <c r="M787" s="142"/>
      <c r="N787" s="12"/>
      <c r="O787" s="12" t="s">
        <v>3759</v>
      </c>
    </row>
    <row r="788" spans="1:15">
      <c r="A788" s="10" t="s">
        <v>5072</v>
      </c>
      <c r="B788" s="449">
        <v>3133</v>
      </c>
      <c r="C788" s="10" t="s">
        <v>5073</v>
      </c>
      <c r="D788" s="11">
        <v>1</v>
      </c>
      <c r="E788" s="10" t="s">
        <v>4304</v>
      </c>
      <c r="F788" s="11" t="s">
        <v>3763</v>
      </c>
      <c r="G788" s="129">
        <v>44563</v>
      </c>
      <c r="H788" s="161" t="s">
        <v>4081</v>
      </c>
      <c r="I788" s="729"/>
      <c r="J788" s="729"/>
      <c r="K788" s="636"/>
      <c r="L788" s="522">
        <f t="shared" si="12"/>
        <v>0</v>
      </c>
      <c r="M788" s="142"/>
      <c r="N788" s="12"/>
      <c r="O788" s="12" t="s">
        <v>3759</v>
      </c>
    </row>
    <row r="789" spans="1:15" hidden="1">
      <c r="A789" s="316" t="s">
        <v>5414</v>
      </c>
      <c r="B789" s="595">
        <v>143895</v>
      </c>
      <c r="C789" s="260" t="s">
        <v>5415</v>
      </c>
      <c r="D789" s="555">
        <v>0</v>
      </c>
      <c r="E789" s="598" t="s">
        <v>4950</v>
      </c>
      <c r="F789" s="598" t="s">
        <v>3750</v>
      </c>
      <c r="G789" s="598"/>
      <c r="H789" s="476"/>
      <c r="I789" s="728">
        <v>450</v>
      </c>
      <c r="J789" s="728"/>
      <c r="K789" s="220"/>
      <c r="L789" s="660">
        <f t="shared" si="12"/>
        <v>450</v>
      </c>
      <c r="M789" s="220"/>
      <c r="N789" s="121" t="s">
        <v>3758</v>
      </c>
      <c r="O789" s="121" t="s">
        <v>3754</v>
      </c>
    </row>
    <row r="790" spans="1:15">
      <c r="A790" s="10" t="s">
        <v>5091</v>
      </c>
      <c r="B790" s="34">
        <v>2650</v>
      </c>
      <c r="C790" s="10" t="s">
        <v>4387</v>
      </c>
      <c r="D790" s="11">
        <v>1</v>
      </c>
      <c r="E790" s="10" t="s">
        <v>4999</v>
      </c>
      <c r="F790" s="11" t="s">
        <v>3785</v>
      </c>
      <c r="G790" s="129">
        <v>44897</v>
      </c>
      <c r="H790" s="161" t="s">
        <v>4081</v>
      </c>
      <c r="I790" s="729"/>
      <c r="J790" s="729"/>
      <c r="K790" s="636"/>
      <c r="L790" s="522">
        <f t="shared" si="12"/>
        <v>0</v>
      </c>
      <c r="M790" s="142"/>
      <c r="N790" s="12"/>
      <c r="O790" s="12" t="s">
        <v>3759</v>
      </c>
    </row>
    <row r="791" spans="1:15">
      <c r="A791" s="10" t="s">
        <v>4930</v>
      </c>
      <c r="B791" s="33">
        <v>6672</v>
      </c>
      <c r="C791" s="33" t="s">
        <v>5696</v>
      </c>
      <c r="D791" s="11">
        <v>1</v>
      </c>
      <c r="E791" s="11" t="s">
        <v>4223</v>
      </c>
      <c r="F791" s="11" t="s">
        <v>3763</v>
      </c>
      <c r="G791" s="129">
        <v>45797</v>
      </c>
      <c r="H791" s="161" t="s">
        <v>3965</v>
      </c>
      <c r="I791" s="729"/>
      <c r="J791" s="729"/>
      <c r="K791" s="633"/>
      <c r="L791" s="522">
        <f t="shared" si="12"/>
        <v>0</v>
      </c>
      <c r="M791" s="470">
        <v>13500</v>
      </c>
      <c r="N791" s="22"/>
      <c r="O791" s="22" t="s">
        <v>3759</v>
      </c>
    </row>
    <row r="792" spans="1:15">
      <c r="A792" s="10" t="s">
        <v>5092</v>
      </c>
      <c r="B792" s="34">
        <v>100559</v>
      </c>
      <c r="C792" s="10" t="s">
        <v>5093</v>
      </c>
      <c r="D792" s="11">
        <v>1</v>
      </c>
      <c r="E792" s="10" t="s">
        <v>3964</v>
      </c>
      <c r="F792" s="11" t="s">
        <v>3798</v>
      </c>
      <c r="G792" s="129">
        <v>44735</v>
      </c>
      <c r="H792" s="161" t="s">
        <v>3951</v>
      </c>
      <c r="I792" s="729"/>
      <c r="J792" s="729"/>
      <c r="K792" s="636"/>
      <c r="L792" s="522">
        <f t="shared" si="12"/>
        <v>0</v>
      </c>
      <c r="M792" s="142"/>
      <c r="N792" s="22"/>
      <c r="O792" s="22" t="s">
        <v>3759</v>
      </c>
    </row>
    <row r="793" spans="1:15">
      <c r="A793" s="10" t="s">
        <v>5096</v>
      </c>
      <c r="B793" s="34">
        <v>2901</v>
      </c>
      <c r="C793" s="10" t="s">
        <v>5097</v>
      </c>
      <c r="D793" s="11">
        <v>1</v>
      </c>
      <c r="E793" s="11" t="s">
        <v>3950</v>
      </c>
      <c r="F793" s="11" t="s">
        <v>3763</v>
      </c>
      <c r="G793" s="129">
        <v>44511</v>
      </c>
      <c r="H793" s="161" t="s">
        <v>4285</v>
      </c>
      <c r="I793" s="729"/>
      <c r="J793" s="729"/>
      <c r="K793" s="636"/>
      <c r="L793" s="522">
        <f t="shared" si="12"/>
        <v>0</v>
      </c>
      <c r="M793" s="142">
        <v>6000</v>
      </c>
      <c r="N793" s="22"/>
      <c r="O793" s="22" t="s">
        <v>3759</v>
      </c>
    </row>
    <row r="794" spans="1:15">
      <c r="A794" s="10" t="s">
        <v>7546</v>
      </c>
      <c r="B794" s="34">
        <v>549</v>
      </c>
      <c r="C794" s="10" t="s">
        <v>6688</v>
      </c>
      <c r="D794" s="11">
        <v>1</v>
      </c>
      <c r="E794" s="11" t="s">
        <v>3948</v>
      </c>
      <c r="F794" s="11" t="s">
        <v>3763</v>
      </c>
      <c r="G794" s="11" t="s">
        <v>8042</v>
      </c>
      <c r="H794" s="161" t="s">
        <v>3923</v>
      </c>
      <c r="I794" s="729"/>
      <c r="J794" s="729"/>
      <c r="K794" s="633"/>
      <c r="L794" s="522">
        <f t="shared" si="12"/>
        <v>0</v>
      </c>
      <c r="M794" s="471"/>
      <c r="N794" s="22"/>
      <c r="O794" s="22" t="s">
        <v>3759</v>
      </c>
    </row>
    <row r="795" spans="1:15" hidden="1">
      <c r="A795" s="316" t="s">
        <v>5423</v>
      </c>
      <c r="B795" s="595" t="s">
        <v>5424</v>
      </c>
      <c r="C795" s="260" t="s">
        <v>5425</v>
      </c>
      <c r="D795" s="555">
        <v>0</v>
      </c>
      <c r="E795" s="598" t="s">
        <v>4320</v>
      </c>
      <c r="F795" s="598"/>
      <c r="G795" s="598"/>
      <c r="H795" s="476"/>
      <c r="I795" s="728"/>
      <c r="J795" s="728"/>
      <c r="K795" s="169"/>
      <c r="L795" s="169">
        <f t="shared" si="12"/>
        <v>0</v>
      </c>
      <c r="M795" s="668"/>
      <c r="N795" s="121" t="s">
        <v>3758</v>
      </c>
      <c r="O795" s="121" t="s">
        <v>3759</v>
      </c>
    </row>
    <row r="796" spans="1:15">
      <c r="A796" s="10" t="s">
        <v>5098</v>
      </c>
      <c r="B796" s="34">
        <v>2353</v>
      </c>
      <c r="C796" s="10" t="s">
        <v>5099</v>
      </c>
      <c r="D796" s="11">
        <v>1</v>
      </c>
      <c r="E796" s="11" t="s">
        <v>4075</v>
      </c>
      <c r="F796" s="11" t="s">
        <v>3763</v>
      </c>
      <c r="G796" s="129">
        <v>44893</v>
      </c>
      <c r="H796" s="161" t="s">
        <v>4138</v>
      </c>
      <c r="I796" s="729"/>
      <c r="J796" s="729"/>
      <c r="K796" s="636"/>
      <c r="L796" s="522">
        <f t="shared" si="12"/>
        <v>0</v>
      </c>
      <c r="M796" s="142"/>
      <c r="N796" s="22"/>
      <c r="O796" s="22" t="s">
        <v>3759</v>
      </c>
    </row>
    <row r="797" spans="1:15" hidden="1">
      <c r="A797" s="316" t="s">
        <v>5427</v>
      </c>
      <c r="B797" s="328">
        <v>1293</v>
      </c>
      <c r="C797" s="329" t="s">
        <v>5172</v>
      </c>
      <c r="D797" s="555">
        <v>0</v>
      </c>
      <c r="E797" s="597" t="s">
        <v>4999</v>
      </c>
      <c r="F797" s="597"/>
      <c r="G797" s="597"/>
      <c r="H797" s="566"/>
      <c r="I797" s="728"/>
      <c r="J797" s="728"/>
      <c r="K797" s="498"/>
      <c r="L797" s="498">
        <f t="shared" si="12"/>
        <v>0</v>
      </c>
      <c r="M797" s="527"/>
      <c r="N797" s="107" t="s">
        <v>3758</v>
      </c>
      <c r="O797" s="107" t="s">
        <v>3759</v>
      </c>
    </row>
    <row r="798" spans="1:15" hidden="1">
      <c r="A798" s="316" t="s">
        <v>5428</v>
      </c>
      <c r="B798" s="34">
        <v>3932</v>
      </c>
      <c r="C798" s="10" t="s">
        <v>5429</v>
      </c>
      <c r="D798" s="111">
        <v>0</v>
      </c>
      <c r="E798" s="129" t="s">
        <v>4198</v>
      </c>
      <c r="F798" s="129"/>
      <c r="G798" s="129"/>
      <c r="H798" s="211"/>
      <c r="I798" s="728"/>
      <c r="J798" s="728"/>
      <c r="K798" s="138"/>
      <c r="L798" s="138">
        <f t="shared" si="12"/>
        <v>0</v>
      </c>
      <c r="M798" s="471"/>
      <c r="N798" s="22" t="s">
        <v>3758</v>
      </c>
      <c r="O798" s="22" t="s">
        <v>3759</v>
      </c>
    </row>
    <row r="799" spans="1:15" hidden="1">
      <c r="A799" s="316" t="s">
        <v>5430</v>
      </c>
      <c r="B799" s="110" t="s">
        <v>5431</v>
      </c>
      <c r="C799" s="44" t="s">
        <v>5432</v>
      </c>
      <c r="D799" s="111">
        <v>0</v>
      </c>
      <c r="E799" s="111" t="s">
        <v>4198</v>
      </c>
      <c r="F799" s="111"/>
      <c r="G799" s="111"/>
      <c r="H799" s="170"/>
      <c r="I799" s="728"/>
      <c r="J799" s="728"/>
      <c r="K799" s="478"/>
      <c r="L799" s="478">
        <f t="shared" si="12"/>
        <v>0</v>
      </c>
      <c r="M799" s="524"/>
      <c r="N799" s="112" t="s">
        <v>3758</v>
      </c>
      <c r="O799" s="113" t="s">
        <v>3759</v>
      </c>
    </row>
    <row r="800" spans="1:15">
      <c r="A800" s="10" t="s">
        <v>5111</v>
      </c>
      <c r="B800" s="34">
        <v>103874</v>
      </c>
      <c r="C800" s="10" t="s">
        <v>5112</v>
      </c>
      <c r="D800" s="11">
        <v>1</v>
      </c>
      <c r="E800" s="11" t="s">
        <v>4223</v>
      </c>
      <c r="F800" s="11" t="s">
        <v>3763</v>
      </c>
      <c r="G800" s="129">
        <v>44511</v>
      </c>
      <c r="H800" s="161" t="s">
        <v>4285</v>
      </c>
      <c r="I800" s="729"/>
      <c r="J800" s="729"/>
      <c r="K800" s="636"/>
      <c r="L800" s="522">
        <f t="shared" si="12"/>
        <v>0</v>
      </c>
      <c r="M800" s="142">
        <v>3000</v>
      </c>
      <c r="N800" s="22"/>
      <c r="O800" s="22" t="s">
        <v>3759</v>
      </c>
    </row>
    <row r="801" spans="1:15">
      <c r="A801" s="10" t="s">
        <v>4953</v>
      </c>
      <c r="B801" s="33" t="s">
        <v>5121</v>
      </c>
      <c r="C801" s="33" t="s">
        <v>5116</v>
      </c>
      <c r="D801" s="11">
        <v>1</v>
      </c>
      <c r="E801" s="11" t="s">
        <v>3927</v>
      </c>
      <c r="F801" s="11" t="s">
        <v>3763</v>
      </c>
      <c r="G801" s="129">
        <v>45747</v>
      </c>
      <c r="H801" s="161" t="s">
        <v>3965</v>
      </c>
      <c r="I801" s="729"/>
      <c r="J801" s="729"/>
      <c r="K801" s="633"/>
      <c r="L801" s="522">
        <f t="shared" si="12"/>
        <v>0</v>
      </c>
      <c r="M801" s="471"/>
      <c r="N801" s="22"/>
      <c r="O801" s="22" t="s">
        <v>3759</v>
      </c>
    </row>
    <row r="802" spans="1:15" hidden="1">
      <c r="A802" s="316" t="s">
        <v>5436</v>
      </c>
      <c r="B802" s="328">
        <v>4370</v>
      </c>
      <c r="C802" s="329" t="s">
        <v>5437</v>
      </c>
      <c r="D802" s="555">
        <v>0</v>
      </c>
      <c r="E802" s="597" t="s">
        <v>4047</v>
      </c>
      <c r="F802" s="597"/>
      <c r="G802" s="597"/>
      <c r="H802" s="566"/>
      <c r="I802" s="728"/>
      <c r="J802" s="728"/>
      <c r="K802" s="498"/>
      <c r="L802" s="498">
        <f t="shared" si="12"/>
        <v>0</v>
      </c>
      <c r="M802" s="527"/>
      <c r="N802" s="40" t="s">
        <v>3758</v>
      </c>
      <c r="O802" s="107" t="s">
        <v>3759</v>
      </c>
    </row>
    <row r="803" spans="1:15" hidden="1">
      <c r="A803" s="316" t="s">
        <v>5438</v>
      </c>
      <c r="B803" s="133">
        <v>86</v>
      </c>
      <c r="C803" s="44" t="s">
        <v>5439</v>
      </c>
      <c r="D803" s="111">
        <v>0</v>
      </c>
      <c r="E803" s="134" t="s">
        <v>5004</v>
      </c>
      <c r="F803" s="134"/>
      <c r="G803" s="134"/>
      <c r="H803" s="172"/>
      <c r="I803" s="728"/>
      <c r="J803" s="728"/>
      <c r="K803" s="478"/>
      <c r="L803" s="478">
        <f t="shared" si="12"/>
        <v>0</v>
      </c>
      <c r="M803" s="524"/>
      <c r="N803" s="112" t="s">
        <v>3758</v>
      </c>
      <c r="O803" s="112" t="s">
        <v>3759</v>
      </c>
    </row>
    <row r="804" spans="1:15">
      <c r="A804" s="10" t="s">
        <v>5122</v>
      </c>
      <c r="B804" s="449" t="s">
        <v>5123</v>
      </c>
      <c r="C804" s="10" t="s">
        <v>5124</v>
      </c>
      <c r="D804" s="11">
        <v>1</v>
      </c>
      <c r="E804" s="10" t="s">
        <v>5125</v>
      </c>
      <c r="F804" s="11" t="s">
        <v>3780</v>
      </c>
      <c r="G804" s="129">
        <v>44769</v>
      </c>
      <c r="H804" s="161" t="s">
        <v>5126</v>
      </c>
      <c r="I804" s="729"/>
      <c r="J804" s="729"/>
      <c r="K804" s="636"/>
      <c r="L804" s="522">
        <f t="shared" si="12"/>
        <v>0</v>
      </c>
      <c r="M804" s="142"/>
      <c r="N804" s="12"/>
      <c r="O804" s="12" t="s">
        <v>3759</v>
      </c>
    </row>
    <row r="805" spans="1:15" hidden="1">
      <c r="A805" s="316" t="s">
        <v>5442</v>
      </c>
      <c r="B805" s="328" t="s">
        <v>5443</v>
      </c>
      <c r="C805" s="329" t="s">
        <v>5444</v>
      </c>
      <c r="D805" s="555">
        <v>0</v>
      </c>
      <c r="E805" s="597" t="s">
        <v>5445</v>
      </c>
      <c r="F805" s="597"/>
      <c r="G805" s="597"/>
      <c r="H805" s="566"/>
      <c r="I805" s="728"/>
      <c r="J805" s="728"/>
      <c r="K805" s="498"/>
      <c r="L805" s="498">
        <f t="shared" si="12"/>
        <v>0</v>
      </c>
      <c r="M805" s="527"/>
      <c r="N805" s="40" t="s">
        <v>3758</v>
      </c>
      <c r="O805" s="107" t="s">
        <v>3759</v>
      </c>
    </row>
    <row r="806" spans="1:15" hidden="1">
      <c r="A806" s="316" t="s">
        <v>5442</v>
      </c>
      <c r="B806" s="34" t="s">
        <v>5446</v>
      </c>
      <c r="C806" s="10" t="s">
        <v>5444</v>
      </c>
      <c r="D806" s="111">
        <v>0</v>
      </c>
      <c r="E806" s="11" t="s">
        <v>5187</v>
      </c>
      <c r="F806" s="11"/>
      <c r="G806" s="11"/>
      <c r="H806" s="161"/>
      <c r="I806" s="728"/>
      <c r="J806" s="728"/>
      <c r="K806" s="138"/>
      <c r="L806" s="138">
        <f t="shared" si="12"/>
        <v>0</v>
      </c>
      <c r="M806" s="471"/>
      <c r="N806" s="12" t="s">
        <v>3758</v>
      </c>
      <c r="O806" s="22" t="s">
        <v>3759</v>
      </c>
    </row>
    <row r="807" spans="1:15" hidden="1">
      <c r="A807" s="316" t="s">
        <v>5447</v>
      </c>
      <c r="B807" s="34">
        <v>63326</v>
      </c>
      <c r="C807" s="10" t="s">
        <v>5448</v>
      </c>
      <c r="D807" s="111">
        <v>0</v>
      </c>
      <c r="E807" s="11" t="s">
        <v>4201</v>
      </c>
      <c r="F807" s="11" t="s">
        <v>3785</v>
      </c>
      <c r="G807" s="129">
        <v>44735</v>
      </c>
      <c r="H807" s="161" t="s">
        <v>5409</v>
      </c>
      <c r="I807" s="728">
        <v>3900</v>
      </c>
      <c r="J807" s="728"/>
      <c r="K807" s="140"/>
      <c r="L807" s="96">
        <f t="shared" si="12"/>
        <v>3900</v>
      </c>
      <c r="M807" s="142"/>
      <c r="N807" s="22" t="s">
        <v>3758</v>
      </c>
      <c r="O807" s="22" t="s">
        <v>3759</v>
      </c>
    </row>
    <row r="808" spans="1:15" hidden="1">
      <c r="A808" s="316" t="s">
        <v>5449</v>
      </c>
      <c r="B808" s="34" t="s">
        <v>5450</v>
      </c>
      <c r="C808" s="10" t="s">
        <v>5451</v>
      </c>
      <c r="D808" s="111">
        <v>0</v>
      </c>
      <c r="E808" s="11" t="s">
        <v>3903</v>
      </c>
      <c r="F808" s="11" t="s">
        <v>3785</v>
      </c>
      <c r="G808" s="129">
        <v>44664</v>
      </c>
      <c r="H808" s="161" t="s">
        <v>4025</v>
      </c>
      <c r="I808" s="728">
        <v>700</v>
      </c>
      <c r="J808" s="728"/>
      <c r="K808" s="140"/>
      <c r="L808" s="96">
        <f t="shared" si="12"/>
        <v>700</v>
      </c>
      <c r="M808" s="142"/>
      <c r="N808" s="12" t="s">
        <v>3758</v>
      </c>
      <c r="O808" s="12" t="s">
        <v>3804</v>
      </c>
    </row>
    <row r="809" spans="1:15" hidden="1">
      <c r="A809" s="316" t="s">
        <v>5447</v>
      </c>
      <c r="B809" s="133">
        <v>22883</v>
      </c>
      <c r="C809" s="44" t="s">
        <v>5448</v>
      </c>
      <c r="D809" s="111">
        <v>0</v>
      </c>
      <c r="E809" s="134" t="s">
        <v>5452</v>
      </c>
      <c r="F809" s="134" t="s">
        <v>3763</v>
      </c>
      <c r="G809" s="135">
        <v>44306</v>
      </c>
      <c r="H809" s="172" t="s">
        <v>4627</v>
      </c>
      <c r="I809" s="728">
        <v>2200</v>
      </c>
      <c r="J809" s="728"/>
      <c r="K809" s="481"/>
      <c r="L809" s="551">
        <f t="shared" si="12"/>
        <v>2200</v>
      </c>
      <c r="M809" s="490"/>
      <c r="N809" s="112" t="s">
        <v>3758</v>
      </c>
      <c r="O809" s="112" t="s">
        <v>3759</v>
      </c>
    </row>
    <row r="810" spans="1:15">
      <c r="A810" s="10" t="s">
        <v>5122</v>
      </c>
      <c r="B810" s="34" t="s">
        <v>5136</v>
      </c>
      <c r="C810" s="10" t="s">
        <v>5124</v>
      </c>
      <c r="D810" s="11">
        <v>1</v>
      </c>
      <c r="E810" s="11" t="s">
        <v>4225</v>
      </c>
      <c r="F810" s="11" t="s">
        <v>3798</v>
      </c>
      <c r="G810" s="129">
        <v>44386</v>
      </c>
      <c r="H810" s="161" t="s">
        <v>4138</v>
      </c>
      <c r="I810" s="729"/>
      <c r="J810" s="729"/>
      <c r="K810" s="636"/>
      <c r="L810" s="522">
        <f t="shared" si="12"/>
        <v>0</v>
      </c>
      <c r="M810" s="142"/>
      <c r="N810" s="12"/>
      <c r="O810" s="12" t="s">
        <v>3759</v>
      </c>
    </row>
    <row r="811" spans="1:15">
      <c r="A811" s="10" t="s">
        <v>5122</v>
      </c>
      <c r="B811" s="449" t="s">
        <v>5152</v>
      </c>
      <c r="C811" s="10" t="s">
        <v>5124</v>
      </c>
      <c r="D811" s="11">
        <v>1</v>
      </c>
      <c r="E811" s="11" t="s">
        <v>5153</v>
      </c>
      <c r="F811" s="11" t="s">
        <v>3798</v>
      </c>
      <c r="G811" s="129">
        <v>44385</v>
      </c>
      <c r="H811" s="161" t="s">
        <v>4138</v>
      </c>
      <c r="I811" s="729"/>
      <c r="J811" s="729"/>
      <c r="K811" s="636"/>
      <c r="L811" s="522">
        <f t="shared" si="12"/>
        <v>0</v>
      </c>
      <c r="M811" s="142"/>
      <c r="N811" s="12"/>
      <c r="O811" s="12" t="s">
        <v>3759</v>
      </c>
    </row>
    <row r="812" spans="1:15" hidden="1">
      <c r="A812" s="316" t="s">
        <v>5261</v>
      </c>
      <c r="B812" s="328" t="s">
        <v>5454</v>
      </c>
      <c r="C812" s="329" t="s">
        <v>5260</v>
      </c>
      <c r="D812" s="555">
        <v>0</v>
      </c>
      <c r="E812" s="597" t="s">
        <v>3815</v>
      </c>
      <c r="F812" s="597" t="s">
        <v>3785</v>
      </c>
      <c r="G812" s="599">
        <v>45609</v>
      </c>
      <c r="H812" s="566" t="s">
        <v>3819</v>
      </c>
      <c r="I812" s="728">
        <v>3100</v>
      </c>
      <c r="J812" s="728"/>
      <c r="K812" s="504"/>
      <c r="L812" s="504">
        <f t="shared" si="12"/>
        <v>3100</v>
      </c>
      <c r="M812" s="527"/>
      <c r="N812" s="107" t="s">
        <v>3758</v>
      </c>
      <c r="O812" s="107" t="s">
        <v>3759</v>
      </c>
    </row>
    <row r="813" spans="1:15" hidden="1">
      <c r="A813" s="316" t="s">
        <v>5261</v>
      </c>
      <c r="B813" s="133" t="s">
        <v>5455</v>
      </c>
      <c r="C813" s="44" t="s">
        <v>5260</v>
      </c>
      <c r="D813" s="111">
        <v>0</v>
      </c>
      <c r="E813" s="134" t="s">
        <v>3815</v>
      </c>
      <c r="F813" s="134" t="s">
        <v>3785</v>
      </c>
      <c r="G813" s="135">
        <v>45609</v>
      </c>
      <c r="H813" s="172" t="s">
        <v>3819</v>
      </c>
      <c r="I813" s="728">
        <v>3100</v>
      </c>
      <c r="J813" s="728"/>
      <c r="K813" s="480"/>
      <c r="L813" s="480">
        <f t="shared" si="12"/>
        <v>3100</v>
      </c>
      <c r="M813" s="524"/>
      <c r="N813" s="112" t="s">
        <v>3758</v>
      </c>
      <c r="O813" s="112" t="s">
        <v>3759</v>
      </c>
    </row>
    <row r="814" spans="1:15">
      <c r="A814" s="10" t="s">
        <v>5154</v>
      </c>
      <c r="B814" s="34" t="s">
        <v>5155</v>
      </c>
      <c r="C814" s="10" t="s">
        <v>5156</v>
      </c>
      <c r="D814" s="11">
        <v>1</v>
      </c>
      <c r="E814" s="11" t="s">
        <v>4935</v>
      </c>
      <c r="F814" s="11" t="s">
        <v>3763</v>
      </c>
      <c r="G814" s="129">
        <v>45033</v>
      </c>
      <c r="H814" s="161" t="s">
        <v>4138</v>
      </c>
      <c r="I814" s="729"/>
      <c r="J814" s="729"/>
      <c r="K814" s="636"/>
      <c r="L814" s="522">
        <f t="shared" si="12"/>
        <v>0</v>
      </c>
      <c r="M814" s="142"/>
      <c r="N814" s="12"/>
      <c r="O814" s="12" t="s">
        <v>3759</v>
      </c>
    </row>
    <row r="815" spans="1:15" hidden="1">
      <c r="A815" s="316" t="s">
        <v>5459</v>
      </c>
      <c r="B815" s="595">
        <v>3514</v>
      </c>
      <c r="C815" s="260" t="s">
        <v>5055</v>
      </c>
      <c r="D815" s="555">
        <v>0</v>
      </c>
      <c r="E815" s="598" t="s">
        <v>5339</v>
      </c>
      <c r="F815" s="598" t="s">
        <v>3750</v>
      </c>
      <c r="G815" s="598"/>
      <c r="H815" s="476" t="s">
        <v>5460</v>
      </c>
      <c r="I815" s="728">
        <v>550</v>
      </c>
      <c r="J815" s="728"/>
      <c r="K815" s="245"/>
      <c r="L815" s="245">
        <f t="shared" si="12"/>
        <v>550</v>
      </c>
      <c r="M815" s="668"/>
      <c r="N815" s="121" t="s">
        <v>3758</v>
      </c>
      <c r="O815" s="121" t="s">
        <v>3759</v>
      </c>
    </row>
    <row r="816" spans="1:15">
      <c r="A816" s="10" t="s">
        <v>5154</v>
      </c>
      <c r="B816" s="34" t="s">
        <v>5161</v>
      </c>
      <c r="C816" s="10" t="s">
        <v>5124</v>
      </c>
      <c r="D816" s="11">
        <v>1</v>
      </c>
      <c r="E816" s="11" t="s">
        <v>5162</v>
      </c>
      <c r="F816" s="11" t="s">
        <v>3763</v>
      </c>
      <c r="G816" s="129">
        <v>43441</v>
      </c>
      <c r="H816" s="161" t="s">
        <v>4706</v>
      </c>
      <c r="I816" s="729"/>
      <c r="J816" s="729"/>
      <c r="K816" s="634"/>
      <c r="L816" s="522">
        <f t="shared" si="12"/>
        <v>0</v>
      </c>
      <c r="M816" s="141"/>
      <c r="N816" s="22"/>
      <c r="O816" s="23" t="s">
        <v>3759</v>
      </c>
    </row>
    <row r="817" spans="1:15" hidden="1">
      <c r="A817" s="316" t="s">
        <v>4265</v>
      </c>
      <c r="B817" s="600" t="s">
        <v>5465</v>
      </c>
      <c r="C817" s="260" t="s">
        <v>5466</v>
      </c>
      <c r="D817" s="555">
        <v>0</v>
      </c>
      <c r="E817" s="598" t="s">
        <v>3948</v>
      </c>
      <c r="F817" s="598" t="s">
        <v>3763</v>
      </c>
      <c r="G817" s="596">
        <v>45617</v>
      </c>
      <c r="H817" s="476" t="s">
        <v>3951</v>
      </c>
      <c r="I817" s="728">
        <v>1350</v>
      </c>
      <c r="J817" s="728"/>
      <c r="K817" s="245"/>
      <c r="L817" s="245">
        <f t="shared" si="12"/>
        <v>1350</v>
      </c>
      <c r="M817" s="668"/>
      <c r="N817" s="121" t="s">
        <v>3758</v>
      </c>
      <c r="O817" s="121" t="s">
        <v>3759</v>
      </c>
    </row>
    <row r="818" spans="1:15">
      <c r="A818" s="10" t="s">
        <v>5163</v>
      </c>
      <c r="B818" s="34" t="s">
        <v>5164</v>
      </c>
      <c r="C818" s="11" t="s">
        <v>5165</v>
      </c>
      <c r="D818" s="11">
        <v>1</v>
      </c>
      <c r="E818" s="10" t="s">
        <v>4663</v>
      </c>
      <c r="F818" s="11" t="s">
        <v>3763</v>
      </c>
      <c r="G818" s="129">
        <v>45808</v>
      </c>
      <c r="H818" s="161" t="s">
        <v>5166</v>
      </c>
      <c r="I818" s="729"/>
      <c r="J818" s="729"/>
      <c r="K818" s="633"/>
      <c r="L818" s="522">
        <f t="shared" si="12"/>
        <v>0</v>
      </c>
      <c r="M818" s="471"/>
      <c r="N818" s="22"/>
      <c r="O818" s="22" t="s">
        <v>3759</v>
      </c>
    </row>
    <row r="819" spans="1:15" hidden="1">
      <c r="A819" s="316" t="s">
        <v>4869</v>
      </c>
      <c r="B819" s="328">
        <v>155384</v>
      </c>
      <c r="C819" s="329" t="s">
        <v>5467</v>
      </c>
      <c r="D819" s="555">
        <v>0</v>
      </c>
      <c r="E819" s="329" t="s">
        <v>3815</v>
      </c>
      <c r="F819" s="329" t="s">
        <v>3785</v>
      </c>
      <c r="G819" s="599">
        <v>45623</v>
      </c>
      <c r="H819" s="566" t="s">
        <v>3819</v>
      </c>
      <c r="I819" s="728"/>
      <c r="J819" s="728"/>
      <c r="K819" s="504"/>
      <c r="L819" s="504">
        <f t="shared" si="12"/>
        <v>0</v>
      </c>
      <c r="M819" s="527"/>
      <c r="N819" s="107" t="s">
        <v>3758</v>
      </c>
      <c r="O819" s="107"/>
    </row>
    <row r="820" spans="1:15" hidden="1">
      <c r="A820" s="316" t="s">
        <v>4537</v>
      </c>
      <c r="B820" s="550" t="s">
        <v>5468</v>
      </c>
      <c r="C820" s="44" t="s">
        <v>207</v>
      </c>
      <c r="D820" s="111">
        <v>0</v>
      </c>
      <c r="E820" s="44" t="s">
        <v>4272</v>
      </c>
      <c r="F820" s="44" t="s">
        <v>3763</v>
      </c>
      <c r="G820" s="135">
        <v>45623</v>
      </c>
      <c r="H820" s="172" t="s">
        <v>3799</v>
      </c>
      <c r="I820" s="728">
        <v>10035</v>
      </c>
      <c r="J820" s="728"/>
      <c r="K820" s="480"/>
      <c r="L820" s="480">
        <f t="shared" si="12"/>
        <v>10035</v>
      </c>
      <c r="M820" s="524"/>
      <c r="N820" s="112" t="s">
        <v>3758</v>
      </c>
      <c r="O820" s="112" t="s">
        <v>3759</v>
      </c>
    </row>
    <row r="821" spans="1:15">
      <c r="A821" s="10" t="s">
        <v>5168</v>
      </c>
      <c r="B821" s="449" t="s">
        <v>5169</v>
      </c>
      <c r="C821" s="10" t="s">
        <v>5170</v>
      </c>
      <c r="D821" s="11">
        <v>1</v>
      </c>
      <c r="E821" s="11" t="s">
        <v>5037</v>
      </c>
      <c r="F821" s="11" t="s">
        <v>3763</v>
      </c>
      <c r="G821" s="129">
        <v>45175</v>
      </c>
      <c r="H821" s="161" t="s">
        <v>4238</v>
      </c>
      <c r="I821" s="729"/>
      <c r="J821" s="729"/>
      <c r="K821" s="636"/>
      <c r="L821" s="522">
        <f t="shared" si="12"/>
        <v>0</v>
      </c>
      <c r="M821" s="142"/>
      <c r="N821" s="22"/>
      <c r="O821" s="22" t="s">
        <v>3759</v>
      </c>
    </row>
    <row r="822" spans="1:15">
      <c r="A822" s="10" t="s">
        <v>5168</v>
      </c>
      <c r="B822" s="449" t="s">
        <v>5176</v>
      </c>
      <c r="C822" s="10" t="s">
        <v>5170</v>
      </c>
      <c r="D822" s="11">
        <v>1</v>
      </c>
      <c r="E822" s="11" t="s">
        <v>3919</v>
      </c>
      <c r="F822" s="11" t="s">
        <v>3763</v>
      </c>
      <c r="G822" s="129">
        <v>44795</v>
      </c>
      <c r="H822" s="161" t="s">
        <v>3965</v>
      </c>
      <c r="I822" s="729"/>
      <c r="J822" s="729"/>
      <c r="K822" s="636"/>
      <c r="L822" s="522">
        <f t="shared" si="12"/>
        <v>0</v>
      </c>
      <c r="M822" s="142"/>
      <c r="N822" s="22"/>
      <c r="O822" s="22" t="s">
        <v>3759</v>
      </c>
    </row>
    <row r="823" spans="1:15">
      <c r="A823" s="10" t="s">
        <v>5168</v>
      </c>
      <c r="B823" s="449" t="s">
        <v>5177</v>
      </c>
      <c r="C823" s="10" t="s">
        <v>5170</v>
      </c>
      <c r="D823" s="11">
        <v>1</v>
      </c>
      <c r="E823" s="11" t="s">
        <v>4198</v>
      </c>
      <c r="F823" s="11" t="s">
        <v>3798</v>
      </c>
      <c r="G823" s="129">
        <v>42192</v>
      </c>
      <c r="H823" s="161" t="s">
        <v>3965</v>
      </c>
      <c r="I823" s="729"/>
      <c r="J823" s="729"/>
      <c r="K823" s="636"/>
      <c r="L823" s="522">
        <f t="shared" si="12"/>
        <v>0</v>
      </c>
      <c r="M823" s="142"/>
      <c r="N823" s="22"/>
      <c r="O823" s="22" t="s">
        <v>3759</v>
      </c>
    </row>
    <row r="824" spans="1:15">
      <c r="A824" s="10" t="s">
        <v>5168</v>
      </c>
      <c r="B824" s="449" t="s">
        <v>5178</v>
      </c>
      <c r="C824" s="10" t="s">
        <v>5170</v>
      </c>
      <c r="D824" s="11">
        <v>1</v>
      </c>
      <c r="E824" s="11" t="s">
        <v>3950</v>
      </c>
      <c r="F824" s="11" t="s">
        <v>3763</v>
      </c>
      <c r="G824" s="129">
        <v>45217</v>
      </c>
      <c r="H824" s="161" t="s">
        <v>4238</v>
      </c>
      <c r="I824" s="729"/>
      <c r="J824" s="729"/>
      <c r="K824" s="634"/>
      <c r="L824" s="522">
        <f t="shared" si="12"/>
        <v>0</v>
      </c>
      <c r="M824" s="141"/>
      <c r="N824" s="22"/>
      <c r="O824" s="22" t="s">
        <v>3759</v>
      </c>
    </row>
    <row r="825" spans="1:15">
      <c r="A825" s="10" t="s">
        <v>5168</v>
      </c>
      <c r="B825" s="449" t="s">
        <v>5179</v>
      </c>
      <c r="C825" s="10" t="s">
        <v>5170</v>
      </c>
      <c r="D825" s="11">
        <v>1</v>
      </c>
      <c r="E825" s="11" t="s">
        <v>5037</v>
      </c>
      <c r="F825" s="11" t="s">
        <v>3763</v>
      </c>
      <c r="G825" s="129">
        <v>45218</v>
      </c>
      <c r="H825" s="161" t="s">
        <v>3934</v>
      </c>
      <c r="I825" s="729"/>
      <c r="J825" s="729"/>
      <c r="K825" s="634"/>
      <c r="L825" s="522">
        <f t="shared" si="12"/>
        <v>0</v>
      </c>
      <c r="M825" s="141"/>
      <c r="N825" s="22"/>
      <c r="O825" s="23" t="s">
        <v>3759</v>
      </c>
    </row>
    <row r="826" spans="1:15" hidden="1">
      <c r="A826" s="316" t="s">
        <v>5480</v>
      </c>
      <c r="B826" s="328" t="s">
        <v>5481</v>
      </c>
      <c r="C826" s="329" t="s">
        <v>5482</v>
      </c>
      <c r="D826" s="555">
        <v>0</v>
      </c>
      <c r="E826" s="597" t="s">
        <v>3919</v>
      </c>
      <c r="F826" s="597" t="s">
        <v>3785</v>
      </c>
      <c r="G826" s="599">
        <v>44839</v>
      </c>
      <c r="H826" s="566" t="s">
        <v>4396</v>
      </c>
      <c r="I826" s="728">
        <v>5500</v>
      </c>
      <c r="J826" s="728"/>
      <c r="K826" s="496"/>
      <c r="L826" s="657">
        <f t="shared" si="12"/>
        <v>5500</v>
      </c>
      <c r="M826" s="503"/>
      <c r="N826" s="107" t="s">
        <v>3758</v>
      </c>
      <c r="O826" s="122" t="s">
        <v>3759</v>
      </c>
    </row>
    <row r="827" spans="1:15" hidden="1">
      <c r="A827" s="316" t="s">
        <v>5442</v>
      </c>
      <c r="B827" s="110" t="s">
        <v>5483</v>
      </c>
      <c r="C827" s="44" t="s">
        <v>5444</v>
      </c>
      <c r="D827" s="111">
        <v>0</v>
      </c>
      <c r="E827" s="134" t="s">
        <v>5484</v>
      </c>
      <c r="F827" s="134" t="s">
        <v>3763</v>
      </c>
      <c r="G827" s="135">
        <v>44837</v>
      </c>
      <c r="H827" s="172" t="s">
        <v>3934</v>
      </c>
      <c r="I827" s="728">
        <v>2900</v>
      </c>
      <c r="J827" s="728"/>
      <c r="K827" s="490"/>
      <c r="L827" s="551">
        <f t="shared" si="12"/>
        <v>2900</v>
      </c>
      <c r="M827" s="490"/>
      <c r="N827" s="112" t="s">
        <v>3940</v>
      </c>
      <c r="O827" s="145" t="s">
        <v>3759</v>
      </c>
    </row>
    <row r="828" spans="1:15">
      <c r="A828" s="10" t="s">
        <v>5168</v>
      </c>
      <c r="B828" s="449" t="s">
        <v>5180</v>
      </c>
      <c r="C828" s="10" t="s">
        <v>5170</v>
      </c>
      <c r="D828" s="11">
        <v>1</v>
      </c>
      <c r="E828" s="11" t="s">
        <v>3919</v>
      </c>
      <c r="F828" s="11" t="s">
        <v>3763</v>
      </c>
      <c r="G828" s="129">
        <v>45271</v>
      </c>
      <c r="H828" s="161" t="s">
        <v>4238</v>
      </c>
      <c r="I828" s="729"/>
      <c r="J828" s="729"/>
      <c r="K828" s="634"/>
      <c r="L828" s="522">
        <f t="shared" si="12"/>
        <v>0</v>
      </c>
      <c r="M828" s="141"/>
      <c r="N828" s="22"/>
      <c r="O828" s="23" t="s">
        <v>3759</v>
      </c>
    </row>
    <row r="829" spans="1:15">
      <c r="A829" s="10" t="s">
        <v>4978</v>
      </c>
      <c r="B829" s="34" t="s">
        <v>5181</v>
      </c>
      <c r="C829" s="10" t="s">
        <v>2986</v>
      </c>
      <c r="D829" s="11">
        <v>1</v>
      </c>
      <c r="E829" s="11" t="s">
        <v>3968</v>
      </c>
      <c r="F829" s="11" t="s">
        <v>3763</v>
      </c>
      <c r="G829" s="129">
        <v>44937</v>
      </c>
      <c r="H829" s="161" t="s">
        <v>3965</v>
      </c>
      <c r="I829" s="729"/>
      <c r="J829" s="729"/>
      <c r="K829" s="636"/>
      <c r="L829" s="522">
        <f t="shared" si="12"/>
        <v>0</v>
      </c>
      <c r="M829" s="142"/>
      <c r="N829" s="22"/>
      <c r="O829" s="22" t="s">
        <v>3759</v>
      </c>
    </row>
    <row r="830" spans="1:15">
      <c r="A830" s="10" t="s">
        <v>5189</v>
      </c>
      <c r="B830" s="34" t="s">
        <v>5190</v>
      </c>
      <c r="C830" s="10" t="s">
        <v>5191</v>
      </c>
      <c r="D830" s="11">
        <v>1</v>
      </c>
      <c r="E830" s="11" t="s">
        <v>4223</v>
      </c>
      <c r="F830" s="11" t="s">
        <v>3763</v>
      </c>
      <c r="G830" s="129">
        <v>44631</v>
      </c>
      <c r="H830" s="161" t="s">
        <v>3965</v>
      </c>
      <c r="I830" s="729"/>
      <c r="J830" s="729"/>
      <c r="K830" s="636"/>
      <c r="L830" s="522">
        <f t="shared" si="12"/>
        <v>0</v>
      </c>
      <c r="M830" s="142"/>
      <c r="N830" s="22"/>
      <c r="O830" s="22" t="s">
        <v>3759</v>
      </c>
    </row>
    <row r="831" spans="1:15">
      <c r="A831" s="10" t="s">
        <v>5204</v>
      </c>
      <c r="B831" s="34">
        <v>1846</v>
      </c>
      <c r="C831" s="10" t="s">
        <v>5205</v>
      </c>
      <c r="D831" s="11">
        <v>1</v>
      </c>
      <c r="E831" s="11" t="s">
        <v>5206</v>
      </c>
      <c r="F831" s="11" t="s">
        <v>3798</v>
      </c>
      <c r="G831" s="129">
        <v>44712</v>
      </c>
      <c r="H831" s="161" t="s">
        <v>3934</v>
      </c>
      <c r="I831" s="729"/>
      <c r="J831" s="729"/>
      <c r="K831" s="636"/>
      <c r="L831" s="522">
        <f t="shared" si="12"/>
        <v>0</v>
      </c>
      <c r="M831" s="142"/>
      <c r="N831" s="12"/>
      <c r="O831" s="12" t="s">
        <v>3759</v>
      </c>
    </row>
    <row r="832" spans="1:15">
      <c r="A832" s="10" t="s">
        <v>5210</v>
      </c>
      <c r="B832" s="34" t="s">
        <v>5211</v>
      </c>
      <c r="C832" s="10" t="s">
        <v>5212</v>
      </c>
      <c r="D832" s="11">
        <v>1</v>
      </c>
      <c r="E832" s="11" t="s">
        <v>5213</v>
      </c>
      <c r="F832" s="11" t="s">
        <v>3798</v>
      </c>
      <c r="G832" s="129">
        <v>45218</v>
      </c>
      <c r="H832" s="161" t="s">
        <v>3791</v>
      </c>
      <c r="I832" s="729"/>
      <c r="J832" s="729"/>
      <c r="K832" s="636"/>
      <c r="L832" s="522">
        <f t="shared" si="12"/>
        <v>0</v>
      </c>
      <c r="M832" s="470">
        <v>1100</v>
      </c>
      <c r="N832" s="12"/>
      <c r="O832" s="12" t="s">
        <v>3759</v>
      </c>
    </row>
    <row r="833" spans="1:15">
      <c r="A833" s="10" t="s">
        <v>5210</v>
      </c>
      <c r="B833" s="34" t="s">
        <v>5218</v>
      </c>
      <c r="C833" s="10" t="s">
        <v>5212</v>
      </c>
      <c r="D833" s="11">
        <v>1</v>
      </c>
      <c r="E833" s="11" t="s">
        <v>5213</v>
      </c>
      <c r="F833" s="11" t="s">
        <v>3763</v>
      </c>
      <c r="G833" s="129">
        <v>45226</v>
      </c>
      <c r="H833" s="161" t="s">
        <v>3791</v>
      </c>
      <c r="I833" s="729"/>
      <c r="J833" s="729"/>
      <c r="K833" s="636"/>
      <c r="L833" s="522">
        <f t="shared" si="12"/>
        <v>0</v>
      </c>
      <c r="M833" s="470">
        <v>1100</v>
      </c>
      <c r="N833" s="12"/>
      <c r="O833" s="12" t="s">
        <v>3759</v>
      </c>
    </row>
    <row r="834" spans="1:15">
      <c r="A834" s="10" t="s">
        <v>5210</v>
      </c>
      <c r="B834" s="34" t="s">
        <v>5222</v>
      </c>
      <c r="C834" s="10" t="s">
        <v>5212</v>
      </c>
      <c r="D834" s="11">
        <v>1</v>
      </c>
      <c r="E834" s="11" t="s">
        <v>4527</v>
      </c>
      <c r="F834" s="11" t="s">
        <v>3798</v>
      </c>
      <c r="G834" s="129">
        <v>45218</v>
      </c>
      <c r="H834" s="161" t="s">
        <v>3791</v>
      </c>
      <c r="I834" s="729"/>
      <c r="J834" s="729"/>
      <c r="K834" s="636"/>
      <c r="L834" s="522">
        <f t="shared" si="12"/>
        <v>0</v>
      </c>
      <c r="M834" s="470">
        <v>1100</v>
      </c>
      <c r="N834" s="12"/>
      <c r="O834" s="12" t="s">
        <v>3759</v>
      </c>
    </row>
    <row r="835" spans="1:15">
      <c r="A835" s="10" t="s">
        <v>5210</v>
      </c>
      <c r="B835" s="34" t="s">
        <v>5223</v>
      </c>
      <c r="C835" s="10" t="s">
        <v>5212</v>
      </c>
      <c r="D835" s="11">
        <v>1</v>
      </c>
      <c r="E835" s="11" t="s">
        <v>4527</v>
      </c>
      <c r="F835" s="11" t="s">
        <v>3798</v>
      </c>
      <c r="G835" s="129">
        <v>45218</v>
      </c>
      <c r="H835" s="161" t="s">
        <v>3791</v>
      </c>
      <c r="I835" s="729"/>
      <c r="J835" s="729"/>
      <c r="K835" s="636"/>
      <c r="L835" s="522">
        <f t="shared" si="12"/>
        <v>0</v>
      </c>
      <c r="M835" s="470">
        <v>1100</v>
      </c>
      <c r="N835" s="12"/>
      <c r="O835" s="12" t="s">
        <v>3759</v>
      </c>
    </row>
    <row r="836" spans="1:15">
      <c r="A836" s="10" t="s">
        <v>5224</v>
      </c>
      <c r="B836" s="34" t="s">
        <v>5225</v>
      </c>
      <c r="C836" s="10" t="s">
        <v>5226</v>
      </c>
      <c r="D836" s="11">
        <v>1</v>
      </c>
      <c r="E836" s="11" t="s">
        <v>4325</v>
      </c>
      <c r="F836" s="11" t="s">
        <v>3780</v>
      </c>
      <c r="G836" s="129">
        <v>43328</v>
      </c>
      <c r="H836" s="161" t="s">
        <v>3781</v>
      </c>
      <c r="I836" s="729"/>
      <c r="J836" s="729"/>
      <c r="K836" s="636"/>
      <c r="L836" s="522">
        <f t="shared" ref="L836:L899" si="13">IF(OR(I836="", K836=""), I836 + K836, I836 + K836)</f>
        <v>0</v>
      </c>
      <c r="M836" s="142"/>
      <c r="N836" s="22"/>
      <c r="O836" s="23" t="s">
        <v>3759</v>
      </c>
    </row>
    <row r="837" spans="1:15" hidden="1">
      <c r="A837" s="316">
        <v>111599</v>
      </c>
      <c r="B837" s="328" t="s">
        <v>3748</v>
      </c>
      <c r="C837" s="329" t="s">
        <v>5506</v>
      </c>
      <c r="D837" s="555">
        <v>0</v>
      </c>
      <c r="E837" s="597" t="s">
        <v>5083</v>
      </c>
      <c r="F837" s="597" t="s">
        <v>3750</v>
      </c>
      <c r="G837" s="597"/>
      <c r="H837" s="566" t="s">
        <v>4975</v>
      </c>
      <c r="I837" s="728">
        <v>125</v>
      </c>
      <c r="J837" s="728"/>
      <c r="K837" s="504"/>
      <c r="L837" s="504">
        <f t="shared" si="13"/>
        <v>125</v>
      </c>
      <c r="M837" s="527"/>
      <c r="N837" s="107" t="s">
        <v>3940</v>
      </c>
      <c r="O837" s="107" t="s">
        <v>3759</v>
      </c>
    </row>
    <row r="838" spans="1:15" hidden="1">
      <c r="A838" s="316" t="s">
        <v>5261</v>
      </c>
      <c r="B838" s="34" t="s">
        <v>5268</v>
      </c>
      <c r="C838" s="10" t="s">
        <v>5260</v>
      </c>
      <c r="D838" s="111">
        <v>0</v>
      </c>
      <c r="E838" s="129" t="s">
        <v>3860</v>
      </c>
      <c r="F838" s="11" t="s">
        <v>3785</v>
      </c>
      <c r="G838" s="129">
        <v>45306</v>
      </c>
      <c r="H838" s="161" t="s">
        <v>3819</v>
      </c>
      <c r="I838" s="728">
        <v>3100</v>
      </c>
      <c r="J838" s="728"/>
      <c r="K838" s="480"/>
      <c r="L838" s="480">
        <f t="shared" si="13"/>
        <v>3100</v>
      </c>
      <c r="M838" s="524"/>
      <c r="N838" s="112" t="s">
        <v>3758</v>
      </c>
      <c r="O838" s="22" t="s">
        <v>3759</v>
      </c>
    </row>
    <row r="839" spans="1:15" hidden="1">
      <c r="A839" s="316" t="s">
        <v>5261</v>
      </c>
      <c r="B839" s="34" t="s">
        <v>5507</v>
      </c>
      <c r="C839" s="10" t="s">
        <v>5260</v>
      </c>
      <c r="D839" s="111">
        <v>0</v>
      </c>
      <c r="E839" s="129" t="s">
        <v>3860</v>
      </c>
      <c r="F839" s="11" t="s">
        <v>3785</v>
      </c>
      <c r="G839" s="129">
        <v>45639</v>
      </c>
      <c r="H839" s="161" t="s">
        <v>3819</v>
      </c>
      <c r="I839" s="728">
        <v>3100</v>
      </c>
      <c r="J839" s="728"/>
      <c r="K839" s="160"/>
      <c r="L839" s="160">
        <f t="shared" si="13"/>
        <v>3100</v>
      </c>
      <c r="M839" s="471"/>
      <c r="N839" s="22" t="s">
        <v>3758</v>
      </c>
      <c r="O839" s="22" t="s">
        <v>3759</v>
      </c>
    </row>
    <row r="840" spans="1:15" hidden="1">
      <c r="A840" s="316" t="s">
        <v>5261</v>
      </c>
      <c r="B840" s="34" t="s">
        <v>5508</v>
      </c>
      <c r="C840" s="10" t="s">
        <v>5260</v>
      </c>
      <c r="D840" s="111">
        <v>0</v>
      </c>
      <c r="E840" s="129" t="s">
        <v>3860</v>
      </c>
      <c r="F840" s="11" t="s">
        <v>3785</v>
      </c>
      <c r="G840" s="129">
        <v>45646</v>
      </c>
      <c r="H840" s="161" t="s">
        <v>3819</v>
      </c>
      <c r="I840" s="728">
        <v>3100</v>
      </c>
      <c r="J840" s="728"/>
      <c r="K840" s="160"/>
      <c r="L840" s="160">
        <f t="shared" si="13"/>
        <v>3100</v>
      </c>
      <c r="M840" s="471"/>
      <c r="N840" s="22" t="s">
        <v>3758</v>
      </c>
      <c r="O840" s="22" t="s">
        <v>3759</v>
      </c>
    </row>
    <row r="841" spans="1:15" hidden="1">
      <c r="A841" s="316" t="s">
        <v>5261</v>
      </c>
      <c r="B841" s="133" t="s">
        <v>5268</v>
      </c>
      <c r="C841" s="44" t="s">
        <v>5260</v>
      </c>
      <c r="D841" s="111">
        <v>0</v>
      </c>
      <c r="E841" s="135" t="s">
        <v>3860</v>
      </c>
      <c r="F841" s="134" t="s">
        <v>3785</v>
      </c>
      <c r="G841" s="135">
        <v>45306</v>
      </c>
      <c r="H841" s="172" t="s">
        <v>3819</v>
      </c>
      <c r="I841" s="728">
        <v>3100</v>
      </c>
      <c r="J841" s="728"/>
      <c r="K841" s="480"/>
      <c r="L841" s="480">
        <f t="shared" si="13"/>
        <v>3100</v>
      </c>
      <c r="M841" s="524"/>
      <c r="N841" s="112" t="s">
        <v>3758</v>
      </c>
      <c r="O841" s="112" t="s">
        <v>3759</v>
      </c>
    </row>
    <row r="842" spans="1:15">
      <c r="A842" s="10" t="s">
        <v>5231</v>
      </c>
      <c r="B842" s="34">
        <v>614</v>
      </c>
      <c r="C842" s="10" t="s">
        <v>5232</v>
      </c>
      <c r="D842" s="11">
        <v>1</v>
      </c>
      <c r="E842" s="11" t="s">
        <v>4407</v>
      </c>
      <c r="F842" s="11" t="s">
        <v>3785</v>
      </c>
      <c r="G842" s="129">
        <v>45098</v>
      </c>
      <c r="H842" s="161" t="s">
        <v>3768</v>
      </c>
      <c r="I842" s="729"/>
      <c r="J842" s="729"/>
      <c r="K842" s="636"/>
      <c r="L842" s="522">
        <f t="shared" si="13"/>
        <v>0</v>
      </c>
      <c r="M842" s="142"/>
      <c r="N842" s="22"/>
      <c r="O842" s="23" t="s">
        <v>3759</v>
      </c>
    </row>
    <row r="843" spans="1:15" hidden="1">
      <c r="A843" s="316" t="s">
        <v>4209</v>
      </c>
      <c r="B843" s="595" t="s">
        <v>5513</v>
      </c>
      <c r="C843" s="260" t="s">
        <v>4221</v>
      </c>
      <c r="D843" s="555">
        <v>0</v>
      </c>
      <c r="E843" s="596" t="s">
        <v>5037</v>
      </c>
      <c r="F843" s="598" t="s">
        <v>3763</v>
      </c>
      <c r="G843" s="596">
        <v>45672</v>
      </c>
      <c r="H843" s="476" t="s">
        <v>3951</v>
      </c>
      <c r="I843" s="728">
        <v>13379</v>
      </c>
      <c r="J843" s="728"/>
      <c r="K843" s="245"/>
      <c r="L843" s="245">
        <f t="shared" si="13"/>
        <v>13379</v>
      </c>
      <c r="M843" s="668"/>
      <c r="N843" s="121" t="s">
        <v>3758</v>
      </c>
      <c r="O843" s="121" t="s">
        <v>3759</v>
      </c>
    </row>
    <row r="844" spans="1:15">
      <c r="A844" s="10" t="s">
        <v>5236</v>
      </c>
      <c r="B844" s="34" t="s">
        <v>5237</v>
      </c>
      <c r="C844" s="10" t="s">
        <v>690</v>
      </c>
      <c r="D844" s="11">
        <v>1</v>
      </c>
      <c r="E844" s="11" t="s">
        <v>4843</v>
      </c>
      <c r="F844" s="11" t="s">
        <v>3763</v>
      </c>
      <c r="G844" s="129">
        <v>42683</v>
      </c>
      <c r="H844" s="161" t="s">
        <v>3777</v>
      </c>
      <c r="I844" s="729"/>
      <c r="J844" s="729"/>
      <c r="K844" s="638"/>
      <c r="L844" s="522">
        <f t="shared" si="13"/>
        <v>0</v>
      </c>
      <c r="M844" s="142"/>
      <c r="N844" s="12"/>
      <c r="O844" s="29" t="s">
        <v>3759</v>
      </c>
    </row>
    <row r="845" spans="1:15">
      <c r="A845" s="10" t="s">
        <v>5238</v>
      </c>
      <c r="B845" s="34" t="s">
        <v>5239</v>
      </c>
      <c r="C845" s="10" t="s">
        <v>5042</v>
      </c>
      <c r="D845" s="11">
        <v>1</v>
      </c>
      <c r="E845" s="11" t="s">
        <v>5240</v>
      </c>
      <c r="F845" s="11" t="s">
        <v>3785</v>
      </c>
      <c r="G845" s="129">
        <v>42906</v>
      </c>
      <c r="H845" s="161" t="s">
        <v>5241</v>
      </c>
      <c r="I845" s="729"/>
      <c r="J845" s="729"/>
      <c r="K845" s="636"/>
      <c r="L845" s="522">
        <f t="shared" si="13"/>
        <v>0</v>
      </c>
      <c r="M845" s="142"/>
      <c r="N845" s="22"/>
      <c r="O845" s="23" t="s">
        <v>3759</v>
      </c>
    </row>
    <row r="846" spans="1:15">
      <c r="A846" s="10" t="s">
        <v>5242</v>
      </c>
      <c r="B846" s="34" t="s">
        <v>5243</v>
      </c>
      <c r="C846" s="10" t="s">
        <v>1030</v>
      </c>
      <c r="D846" s="11">
        <v>1</v>
      </c>
      <c r="E846" s="11" t="s">
        <v>4344</v>
      </c>
      <c r="F846" s="11" t="s">
        <v>3780</v>
      </c>
      <c r="G846" s="129">
        <v>42808</v>
      </c>
      <c r="H846" s="161" t="s">
        <v>5244</v>
      </c>
      <c r="I846" s="729"/>
      <c r="J846" s="729"/>
      <c r="K846" s="636"/>
      <c r="L846" s="522">
        <f t="shared" si="13"/>
        <v>0</v>
      </c>
      <c r="M846" s="142"/>
      <c r="N846" s="22"/>
      <c r="O846" s="22" t="s">
        <v>3759</v>
      </c>
    </row>
    <row r="847" spans="1:15" hidden="1">
      <c r="A847" s="316" t="s">
        <v>4514</v>
      </c>
      <c r="B847" s="328">
        <v>581</v>
      </c>
      <c r="C847" s="329" t="s">
        <v>5519</v>
      </c>
      <c r="D847" s="555">
        <v>0</v>
      </c>
      <c r="E847" s="597" t="s">
        <v>4465</v>
      </c>
      <c r="F847" s="597" t="s">
        <v>3763</v>
      </c>
      <c r="G847" s="599">
        <v>45456</v>
      </c>
      <c r="H847" s="566" t="s">
        <v>4138</v>
      </c>
      <c r="I847" s="728">
        <v>3500</v>
      </c>
      <c r="J847" s="728"/>
      <c r="K847" s="504"/>
      <c r="L847" s="504">
        <f t="shared" si="13"/>
        <v>3500</v>
      </c>
      <c r="M847" s="527"/>
      <c r="N847" s="107" t="s">
        <v>3940</v>
      </c>
      <c r="O847" s="107" t="s">
        <v>3759</v>
      </c>
    </row>
    <row r="848" spans="1:15" hidden="1">
      <c r="A848" s="316" t="s">
        <v>5520</v>
      </c>
      <c r="B848" s="34">
        <v>505384</v>
      </c>
      <c r="C848" s="10" t="s">
        <v>1521</v>
      </c>
      <c r="D848" s="111">
        <v>0</v>
      </c>
      <c r="E848" s="11" t="s">
        <v>3815</v>
      </c>
      <c r="F848" s="11" t="s">
        <v>3785</v>
      </c>
      <c r="G848" s="129">
        <v>45714</v>
      </c>
      <c r="H848" s="161" t="s">
        <v>5521</v>
      </c>
      <c r="I848" s="728"/>
      <c r="J848" s="728"/>
      <c r="K848" s="160"/>
      <c r="L848" s="160">
        <f t="shared" si="13"/>
        <v>0</v>
      </c>
      <c r="M848" s="471"/>
      <c r="N848" s="22" t="s">
        <v>3758</v>
      </c>
      <c r="O848" s="22" t="s">
        <v>3759</v>
      </c>
    </row>
    <row r="849" spans="1:15" hidden="1">
      <c r="A849" s="316" t="s">
        <v>5261</v>
      </c>
      <c r="B849" s="34" t="s">
        <v>5522</v>
      </c>
      <c r="C849" s="10" t="s">
        <v>5260</v>
      </c>
      <c r="D849" s="111">
        <v>0</v>
      </c>
      <c r="E849" s="11" t="s">
        <v>3815</v>
      </c>
      <c r="F849" s="11" t="s">
        <v>3785</v>
      </c>
      <c r="G849" s="129">
        <v>45687</v>
      </c>
      <c r="H849" s="161" t="s">
        <v>3819</v>
      </c>
      <c r="I849" s="728"/>
      <c r="J849" s="728"/>
      <c r="K849" s="160"/>
      <c r="L849" s="160">
        <f t="shared" si="13"/>
        <v>0</v>
      </c>
      <c r="M849" s="471"/>
      <c r="N849" s="22" t="s">
        <v>3758</v>
      </c>
      <c r="O849" s="22" t="s">
        <v>3759</v>
      </c>
    </row>
    <row r="850" spans="1:15" hidden="1">
      <c r="A850" s="316" t="s">
        <v>4869</v>
      </c>
      <c r="B850" s="133" t="s">
        <v>5523</v>
      </c>
      <c r="C850" s="133" t="s">
        <v>3859</v>
      </c>
      <c r="D850" s="111">
        <v>0</v>
      </c>
      <c r="E850" s="134" t="s">
        <v>3831</v>
      </c>
      <c r="F850" s="134" t="s">
        <v>3785</v>
      </c>
      <c r="G850" s="135">
        <v>45687</v>
      </c>
      <c r="H850" s="172" t="s">
        <v>3819</v>
      </c>
      <c r="I850" s="728"/>
      <c r="J850" s="728"/>
      <c r="K850" s="480"/>
      <c r="L850" s="480">
        <f t="shared" si="13"/>
        <v>0</v>
      </c>
      <c r="M850" s="524"/>
      <c r="N850" s="112" t="s">
        <v>3758</v>
      </c>
      <c r="O850" s="112" t="s">
        <v>3759</v>
      </c>
    </row>
    <row r="851" spans="1:15">
      <c r="A851" s="10" t="s">
        <v>5247</v>
      </c>
      <c r="B851" s="34">
        <v>7300</v>
      </c>
      <c r="C851" s="10" t="s">
        <v>5248</v>
      </c>
      <c r="D851" s="11">
        <v>1</v>
      </c>
      <c r="E851" s="11" t="s">
        <v>5249</v>
      </c>
      <c r="F851" s="11" t="s">
        <v>3785</v>
      </c>
      <c r="G851" s="129">
        <v>45083</v>
      </c>
      <c r="H851" s="161" t="s">
        <v>3768</v>
      </c>
      <c r="I851" s="729"/>
      <c r="J851" s="729"/>
      <c r="K851" s="634"/>
      <c r="L851" s="522">
        <f t="shared" si="13"/>
        <v>0</v>
      </c>
      <c r="M851" s="141"/>
      <c r="N851" s="22"/>
      <c r="O851" s="23" t="s">
        <v>3759</v>
      </c>
    </row>
    <row r="852" spans="1:15" hidden="1">
      <c r="A852" s="316" t="s">
        <v>5527</v>
      </c>
      <c r="B852" s="595">
        <v>3339</v>
      </c>
      <c r="C852" s="260" t="s">
        <v>4350</v>
      </c>
      <c r="D852" s="555">
        <v>0</v>
      </c>
      <c r="E852" s="598" t="s">
        <v>4145</v>
      </c>
      <c r="F852" s="598" t="s">
        <v>3763</v>
      </c>
      <c r="G852" s="596">
        <v>45691</v>
      </c>
      <c r="H852" s="476" t="s">
        <v>4787</v>
      </c>
      <c r="I852" s="728"/>
      <c r="J852" s="728"/>
      <c r="K852" s="245"/>
      <c r="L852" s="245">
        <f t="shared" si="13"/>
        <v>0</v>
      </c>
      <c r="M852" s="668"/>
      <c r="N852" s="121" t="s">
        <v>3758</v>
      </c>
      <c r="O852" s="121" t="s">
        <v>3759</v>
      </c>
    </row>
    <row r="853" spans="1:15">
      <c r="A853" s="10" t="s">
        <v>5250</v>
      </c>
      <c r="B853" s="34" t="s">
        <v>5251</v>
      </c>
      <c r="C853" s="10" t="s">
        <v>3856</v>
      </c>
      <c r="D853" s="11">
        <v>1</v>
      </c>
      <c r="E853" s="11" t="s">
        <v>5252</v>
      </c>
      <c r="F853" s="11" t="s">
        <v>3785</v>
      </c>
      <c r="G853" s="129">
        <v>45271</v>
      </c>
      <c r="H853" s="161" t="s">
        <v>3768</v>
      </c>
      <c r="I853" s="729"/>
      <c r="J853" s="729"/>
      <c r="K853" s="634"/>
      <c r="L853" s="522">
        <f t="shared" si="13"/>
        <v>0</v>
      </c>
      <c r="M853" s="141"/>
      <c r="N853" s="22"/>
      <c r="O853" s="23" t="s">
        <v>3759</v>
      </c>
    </row>
    <row r="854" spans="1:15">
      <c r="A854" s="10" t="s">
        <v>5253</v>
      </c>
      <c r="B854" s="34">
        <v>1646</v>
      </c>
      <c r="C854" s="10" t="s">
        <v>5254</v>
      </c>
      <c r="D854" s="11">
        <v>1</v>
      </c>
      <c r="E854" s="11" t="s">
        <v>4304</v>
      </c>
      <c r="F854" s="11" t="s">
        <v>3763</v>
      </c>
      <c r="G854" s="129">
        <v>45468</v>
      </c>
      <c r="H854" s="161" t="s">
        <v>4081</v>
      </c>
      <c r="I854" s="729"/>
      <c r="J854" s="729"/>
      <c r="K854" s="634"/>
      <c r="L854" s="522">
        <f t="shared" si="13"/>
        <v>0</v>
      </c>
      <c r="M854" s="141"/>
      <c r="N854" s="22"/>
      <c r="O854" s="22" t="s">
        <v>3759</v>
      </c>
    </row>
    <row r="855" spans="1:15">
      <c r="A855" s="10" t="s">
        <v>5255</v>
      </c>
      <c r="B855" s="34" t="s">
        <v>5256</v>
      </c>
      <c r="C855" s="10" t="s">
        <v>5257</v>
      </c>
      <c r="D855" s="11">
        <v>1</v>
      </c>
      <c r="E855" s="11" t="s">
        <v>4933</v>
      </c>
      <c r="F855" s="11" t="s">
        <v>3763</v>
      </c>
      <c r="G855" s="129">
        <v>45245</v>
      </c>
      <c r="H855" s="161" t="s">
        <v>3768</v>
      </c>
      <c r="I855" s="729"/>
      <c r="J855" s="729"/>
      <c r="K855" s="636"/>
      <c r="L855" s="522">
        <f t="shared" si="13"/>
        <v>0</v>
      </c>
      <c r="M855" s="142"/>
      <c r="N855" s="22"/>
      <c r="O855" s="23" t="s">
        <v>3759</v>
      </c>
    </row>
    <row r="856" spans="1:15" hidden="1">
      <c r="A856" s="316" t="s">
        <v>5531</v>
      </c>
      <c r="B856" s="601" t="s">
        <v>5532</v>
      </c>
      <c r="C856" s="602" t="s">
        <v>5533</v>
      </c>
      <c r="D856" s="555">
        <v>0</v>
      </c>
      <c r="E856" s="603" t="s">
        <v>4809</v>
      </c>
      <c r="F856" s="603" t="s">
        <v>3785</v>
      </c>
      <c r="G856" s="604">
        <v>45695</v>
      </c>
      <c r="H856" s="605" t="s">
        <v>3819</v>
      </c>
      <c r="I856" s="728"/>
      <c r="J856" s="728"/>
      <c r="K856" s="509"/>
      <c r="L856" s="509">
        <f t="shared" si="13"/>
        <v>0</v>
      </c>
      <c r="M856" s="667"/>
      <c r="N856" s="606" t="s">
        <v>3758</v>
      </c>
      <c r="O856" s="607" t="s">
        <v>3759</v>
      </c>
    </row>
    <row r="857" spans="1:15" hidden="1">
      <c r="A857" s="316" t="s">
        <v>5534</v>
      </c>
      <c r="B857" s="133">
        <v>11901043</v>
      </c>
      <c r="C857" s="44" t="s">
        <v>5535</v>
      </c>
      <c r="D857" s="111">
        <v>0</v>
      </c>
      <c r="E857" s="134" t="s">
        <v>5536</v>
      </c>
      <c r="F857" s="134" t="s">
        <v>3785</v>
      </c>
      <c r="G857" s="135">
        <v>44336</v>
      </c>
      <c r="H857" s="172" t="s">
        <v>3768</v>
      </c>
      <c r="I857" s="728">
        <v>425</v>
      </c>
      <c r="J857" s="728"/>
      <c r="K857" s="481"/>
      <c r="L857" s="551">
        <f t="shared" si="13"/>
        <v>425</v>
      </c>
      <c r="M857" s="490"/>
      <c r="N857" s="112" t="s">
        <v>4041</v>
      </c>
      <c r="O857" s="112" t="s">
        <v>3759</v>
      </c>
    </row>
    <row r="858" spans="1:15">
      <c r="A858" s="316" t="s">
        <v>5027</v>
      </c>
      <c r="B858" s="462">
        <v>75250</v>
      </c>
      <c r="C858" s="316" t="s">
        <v>3817</v>
      </c>
      <c r="D858" s="464">
        <v>1</v>
      </c>
      <c r="E858" s="464" t="s">
        <v>8157</v>
      </c>
      <c r="F858" s="464" t="s">
        <v>3785</v>
      </c>
      <c r="G858" s="465">
        <v>45481</v>
      </c>
      <c r="H858" s="330" t="s">
        <v>7993</v>
      </c>
      <c r="I858" s="728"/>
      <c r="J858" s="728"/>
      <c r="K858" s="643"/>
      <c r="L858" s="522">
        <f t="shared" si="13"/>
        <v>0</v>
      </c>
      <c r="M858" s="318"/>
      <c r="N858" s="407" t="s">
        <v>7995</v>
      </c>
      <c r="O858" s="22" t="s">
        <v>3759</v>
      </c>
    </row>
    <row r="859" spans="1:15">
      <c r="A859" s="10" t="s">
        <v>5277</v>
      </c>
      <c r="B859" s="115" t="s">
        <v>5278</v>
      </c>
      <c r="C859" s="10" t="s">
        <v>5279</v>
      </c>
      <c r="D859" s="11">
        <v>1</v>
      </c>
      <c r="E859" s="10" t="s">
        <v>4198</v>
      </c>
      <c r="F859" s="11" t="s">
        <v>3763</v>
      </c>
      <c r="G859" s="129">
        <v>44761</v>
      </c>
      <c r="H859" s="161" t="s">
        <v>5280</v>
      </c>
      <c r="I859" s="636"/>
      <c r="J859" s="638"/>
      <c r="K859" s="636"/>
      <c r="L859" s="522">
        <f t="shared" si="13"/>
        <v>0</v>
      </c>
      <c r="M859" s="140"/>
      <c r="N859" s="22"/>
      <c r="O859" s="22" t="s">
        <v>3759</v>
      </c>
    </row>
    <row r="860" spans="1:15">
      <c r="A860" s="10" t="s">
        <v>5034</v>
      </c>
      <c r="B860" s="34" t="s">
        <v>5284</v>
      </c>
      <c r="C860" s="10" t="s">
        <v>5036</v>
      </c>
      <c r="D860" s="11">
        <v>1</v>
      </c>
      <c r="E860" s="11" t="s">
        <v>3948</v>
      </c>
      <c r="F860" s="11" t="s">
        <v>3785</v>
      </c>
      <c r="G860" s="129">
        <v>44652</v>
      </c>
      <c r="H860" s="161" t="s">
        <v>5038</v>
      </c>
      <c r="I860" s="636"/>
      <c r="J860" s="638"/>
      <c r="K860" s="636"/>
      <c r="L860" s="522">
        <f t="shared" si="13"/>
        <v>0</v>
      </c>
      <c r="M860" s="140"/>
      <c r="N860" s="22"/>
      <c r="O860" s="22" t="s">
        <v>3759</v>
      </c>
    </row>
    <row r="861" spans="1:15">
      <c r="A861" s="10" t="s">
        <v>5287</v>
      </c>
      <c r="B861" s="115" t="s">
        <v>5288</v>
      </c>
      <c r="C861" s="10" t="s">
        <v>5289</v>
      </c>
      <c r="D861" s="11">
        <v>1</v>
      </c>
      <c r="E861" s="10" t="s">
        <v>5290</v>
      </c>
      <c r="F861" s="11" t="s">
        <v>3763</v>
      </c>
      <c r="G861" s="129">
        <v>44736</v>
      </c>
      <c r="H861" s="161" t="s">
        <v>3768</v>
      </c>
      <c r="I861" s="636"/>
      <c r="J861" s="638"/>
      <c r="K861" s="636"/>
      <c r="L861" s="522">
        <f t="shared" si="13"/>
        <v>0</v>
      </c>
      <c r="M861" s="140"/>
      <c r="N861" s="22"/>
      <c r="O861" s="23" t="s">
        <v>3759</v>
      </c>
    </row>
    <row r="862" spans="1:15" hidden="1">
      <c r="A862" s="10" t="s">
        <v>5287</v>
      </c>
      <c r="B862" s="34" t="s">
        <v>5291</v>
      </c>
      <c r="C862" s="10" t="s">
        <v>5289</v>
      </c>
      <c r="D862" s="11">
        <v>0</v>
      </c>
      <c r="E862" s="11" t="s">
        <v>5290</v>
      </c>
      <c r="F862" s="11" t="s">
        <v>3763</v>
      </c>
      <c r="G862" s="129">
        <v>44736</v>
      </c>
      <c r="H862" s="161" t="s">
        <v>3768</v>
      </c>
      <c r="I862" s="636"/>
      <c r="J862" s="638"/>
      <c r="K862" s="636"/>
      <c r="L862" s="522">
        <f t="shared" si="13"/>
        <v>0</v>
      </c>
      <c r="M862" s="140"/>
      <c r="N862" s="22" t="s">
        <v>3758</v>
      </c>
      <c r="O862" s="23" t="s">
        <v>3759</v>
      </c>
    </row>
    <row r="863" spans="1:15">
      <c r="A863" s="10" t="s">
        <v>5045</v>
      </c>
      <c r="B863" s="34">
        <v>1858</v>
      </c>
      <c r="C863" s="10" t="s">
        <v>5022</v>
      </c>
      <c r="D863" s="11">
        <v>1</v>
      </c>
      <c r="E863" s="11" t="s">
        <v>4029</v>
      </c>
      <c r="F863" s="11" t="s">
        <v>3785</v>
      </c>
      <c r="G863" s="129">
        <v>45924</v>
      </c>
      <c r="H863" s="161" t="s">
        <v>7993</v>
      </c>
      <c r="I863" s="633"/>
      <c r="J863" s="648"/>
      <c r="K863" s="633"/>
      <c r="L863" s="522">
        <f t="shared" si="13"/>
        <v>0</v>
      </c>
      <c r="M863" s="160">
        <v>8500</v>
      </c>
      <c r="N863" s="22"/>
      <c r="O863" s="22" t="s">
        <v>3759</v>
      </c>
    </row>
    <row r="864" spans="1:15">
      <c r="A864" s="10" t="s">
        <v>5292</v>
      </c>
      <c r="B864" s="34">
        <v>3484</v>
      </c>
      <c r="C864" s="10" t="s">
        <v>5293</v>
      </c>
      <c r="D864" s="11">
        <v>1</v>
      </c>
      <c r="E864" s="11" t="s">
        <v>5294</v>
      </c>
      <c r="F864" s="11" t="s">
        <v>3763</v>
      </c>
      <c r="G864" s="129">
        <v>44407</v>
      </c>
      <c r="H864" s="161" t="s">
        <v>3768</v>
      </c>
      <c r="I864" s="634"/>
      <c r="J864" s="634"/>
      <c r="K864" s="634"/>
      <c r="L864" s="522">
        <f t="shared" si="13"/>
        <v>0</v>
      </c>
      <c r="M864" s="141"/>
      <c r="N864" s="22"/>
      <c r="O864" s="23" t="s">
        <v>3759</v>
      </c>
    </row>
    <row r="865" spans="1:15">
      <c r="A865" s="10" t="s">
        <v>5295</v>
      </c>
      <c r="B865" s="34">
        <v>6730241</v>
      </c>
      <c r="C865" s="10" t="s">
        <v>5296</v>
      </c>
      <c r="D865" s="11">
        <v>1</v>
      </c>
      <c r="E865" s="11" t="s">
        <v>5114</v>
      </c>
      <c r="F865" s="11" t="s">
        <v>3785</v>
      </c>
      <c r="G865" s="129">
        <v>45716</v>
      </c>
      <c r="H865" s="161" t="s">
        <v>7993</v>
      </c>
      <c r="I865" s="633"/>
      <c r="J865" s="648"/>
      <c r="K865" s="646"/>
      <c r="L865" s="522">
        <f t="shared" si="13"/>
        <v>0</v>
      </c>
      <c r="M865" s="470">
        <v>2500</v>
      </c>
      <c r="N865" s="22"/>
      <c r="O865" s="22" t="s">
        <v>3759</v>
      </c>
    </row>
    <row r="866" spans="1:15">
      <c r="A866" s="10" t="s">
        <v>5295</v>
      </c>
      <c r="B866" s="34" t="s">
        <v>5297</v>
      </c>
      <c r="C866" s="10" t="s">
        <v>5296</v>
      </c>
      <c r="D866" s="11">
        <v>1</v>
      </c>
      <c r="E866" s="11" t="s">
        <v>4017</v>
      </c>
      <c r="F866" s="11" t="s">
        <v>3785</v>
      </c>
      <c r="G866" s="129">
        <v>45730</v>
      </c>
      <c r="H866" s="161" t="s">
        <v>7993</v>
      </c>
      <c r="I866" s="633"/>
      <c r="J866" s="648"/>
      <c r="K866" s="646"/>
      <c r="L866" s="522">
        <f t="shared" si="13"/>
        <v>0</v>
      </c>
      <c r="M866" s="470">
        <v>2500</v>
      </c>
      <c r="N866" s="22"/>
      <c r="O866" s="22" t="s">
        <v>3759</v>
      </c>
    </row>
    <row r="867" spans="1:15" hidden="1">
      <c r="A867" s="260" t="s">
        <v>5553</v>
      </c>
      <c r="B867" s="595">
        <v>11048024</v>
      </c>
      <c r="C867" s="260" t="s">
        <v>5554</v>
      </c>
      <c r="D867" s="555">
        <v>0</v>
      </c>
      <c r="E867" s="598" t="s">
        <v>5555</v>
      </c>
      <c r="F867" s="598" t="s">
        <v>3763</v>
      </c>
      <c r="G867" s="596">
        <v>45436</v>
      </c>
      <c r="H867" s="476" t="s">
        <v>4138</v>
      </c>
      <c r="I867" s="220">
        <v>3093</v>
      </c>
      <c r="J867" s="220"/>
      <c r="K867" s="220"/>
      <c r="L867" s="660">
        <f t="shared" si="13"/>
        <v>3093</v>
      </c>
      <c r="M867" s="220"/>
      <c r="N867" s="121" t="s">
        <v>3758</v>
      </c>
      <c r="O867" s="121" t="s">
        <v>3759</v>
      </c>
    </row>
    <row r="868" spans="1:15">
      <c r="A868" s="303" t="s">
        <v>5059</v>
      </c>
      <c r="B868" s="303" t="s">
        <v>8010</v>
      </c>
      <c r="C868" s="303" t="s">
        <v>5061</v>
      </c>
      <c r="D868" s="11">
        <v>1</v>
      </c>
      <c r="E868" s="11" t="s">
        <v>5753</v>
      </c>
      <c r="F868" s="11" t="s">
        <v>3785</v>
      </c>
      <c r="G868" s="129">
        <v>45903</v>
      </c>
      <c r="H868" s="161" t="s">
        <v>7993</v>
      </c>
      <c r="I868" s="633"/>
      <c r="J868" s="648"/>
      <c r="K868" s="648"/>
      <c r="L868" s="522">
        <f t="shared" si="13"/>
        <v>0</v>
      </c>
      <c r="M868" s="471"/>
      <c r="N868" s="22"/>
      <c r="O868" s="22" t="s">
        <v>3759</v>
      </c>
    </row>
    <row r="869" spans="1:15" s="1" customFormat="1" hidden="1">
      <c r="A869" s="608" t="s">
        <v>5559</v>
      </c>
      <c r="B869" s="609">
        <v>65430</v>
      </c>
      <c r="C869" s="610" t="s">
        <v>4798</v>
      </c>
      <c r="D869" s="555">
        <v>0</v>
      </c>
      <c r="E869" s="611" t="s">
        <v>3927</v>
      </c>
      <c r="F869" s="612" t="s">
        <v>3785</v>
      </c>
      <c r="G869" s="611">
        <v>45719</v>
      </c>
      <c r="H869" s="613" t="s">
        <v>3834</v>
      </c>
      <c r="I869" s="510"/>
      <c r="J869" s="666"/>
      <c r="K869" s="510"/>
      <c r="L869" s="510">
        <f t="shared" si="13"/>
        <v>0</v>
      </c>
      <c r="M869" s="510"/>
      <c r="N869" s="614" t="s">
        <v>3758</v>
      </c>
      <c r="O869" s="614" t="s">
        <v>3759</v>
      </c>
    </row>
    <row r="870" spans="1:15" s="1" customFormat="1">
      <c r="A870" s="10" t="s">
        <v>5298</v>
      </c>
      <c r="B870" s="34">
        <v>6777</v>
      </c>
      <c r="C870" s="10" t="s">
        <v>690</v>
      </c>
      <c r="D870" s="11">
        <v>1</v>
      </c>
      <c r="E870" s="11" t="s">
        <v>5299</v>
      </c>
      <c r="F870" s="11" t="s">
        <v>3780</v>
      </c>
      <c r="G870" s="129">
        <v>45126</v>
      </c>
      <c r="H870" s="161" t="s">
        <v>3768</v>
      </c>
      <c r="I870" s="636"/>
      <c r="J870" s="638"/>
      <c r="K870" s="636"/>
      <c r="L870" s="522">
        <f t="shared" si="13"/>
        <v>0</v>
      </c>
      <c r="M870" s="140"/>
      <c r="N870" s="12"/>
      <c r="O870" s="29" t="s">
        <v>3759</v>
      </c>
    </row>
    <row r="871" spans="1:15" s="1" customFormat="1">
      <c r="A871" s="10" t="s">
        <v>5300</v>
      </c>
      <c r="B871" s="34">
        <v>2434</v>
      </c>
      <c r="C871" s="10" t="s">
        <v>5301</v>
      </c>
      <c r="D871" s="11">
        <v>1</v>
      </c>
      <c r="E871" s="11" t="s">
        <v>4148</v>
      </c>
      <c r="F871" s="11" t="s">
        <v>3763</v>
      </c>
      <c r="G871" s="129">
        <v>44455</v>
      </c>
      <c r="H871" s="161" t="s">
        <v>3768</v>
      </c>
      <c r="I871" s="634"/>
      <c r="J871" s="634"/>
      <c r="K871" s="634"/>
      <c r="L871" s="522">
        <f t="shared" si="13"/>
        <v>0</v>
      </c>
      <c r="M871" s="141"/>
      <c r="N871" s="22"/>
      <c r="O871" s="23" t="s">
        <v>3759</v>
      </c>
    </row>
    <row r="872" spans="1:15" ht="14.25" customHeight="1">
      <c r="A872" s="10" t="s">
        <v>5305</v>
      </c>
      <c r="B872" s="34">
        <v>4974</v>
      </c>
      <c r="C872" s="10" t="s">
        <v>5306</v>
      </c>
      <c r="D872" s="11">
        <v>1</v>
      </c>
      <c r="E872" s="11" t="s">
        <v>4872</v>
      </c>
      <c r="F872" s="11" t="s">
        <v>3780</v>
      </c>
      <c r="G872" s="129">
        <v>43328</v>
      </c>
      <c r="H872" s="161" t="s">
        <v>3781</v>
      </c>
      <c r="I872" s="636"/>
      <c r="J872" s="638"/>
      <c r="K872" s="636"/>
      <c r="L872" s="522">
        <f t="shared" si="13"/>
        <v>0</v>
      </c>
      <c r="M872" s="140"/>
      <c r="N872" s="12"/>
      <c r="O872" s="29" t="s">
        <v>3759</v>
      </c>
    </row>
    <row r="873" spans="1:15" hidden="1">
      <c r="A873" s="329" t="s">
        <v>5566</v>
      </c>
      <c r="B873" s="328">
        <v>8551</v>
      </c>
      <c r="C873" s="329" t="s">
        <v>3789</v>
      </c>
      <c r="D873" s="555">
        <v>0</v>
      </c>
      <c r="E873" s="597" t="s">
        <v>3815</v>
      </c>
      <c r="F873" s="597" t="s">
        <v>3763</v>
      </c>
      <c r="G873" s="599">
        <v>45719</v>
      </c>
      <c r="H873" s="566" t="s">
        <v>3799</v>
      </c>
      <c r="I873" s="504"/>
      <c r="J873" s="527"/>
      <c r="K873" s="504"/>
      <c r="L873" s="504">
        <f t="shared" si="13"/>
        <v>0</v>
      </c>
      <c r="M873" s="504"/>
      <c r="N873" s="107" t="s">
        <v>3758</v>
      </c>
      <c r="O873" s="107" t="s">
        <v>3759</v>
      </c>
    </row>
    <row r="874" spans="1:15" s="1" customFormat="1" hidden="1">
      <c r="A874" s="10" t="s">
        <v>5567</v>
      </c>
      <c r="B874" s="34" t="s">
        <v>5568</v>
      </c>
      <c r="C874" s="10" t="s">
        <v>5569</v>
      </c>
      <c r="D874" s="111">
        <v>0</v>
      </c>
      <c r="E874" s="11" t="s">
        <v>4145</v>
      </c>
      <c r="F874" s="11" t="s">
        <v>3750</v>
      </c>
      <c r="G874" s="129">
        <v>45560</v>
      </c>
      <c r="H874" s="161" t="s">
        <v>5570</v>
      </c>
      <c r="I874" s="160"/>
      <c r="J874" s="471"/>
      <c r="K874" s="160"/>
      <c r="L874" s="160">
        <f t="shared" si="13"/>
        <v>0</v>
      </c>
      <c r="M874" s="160"/>
      <c r="N874" s="22" t="s">
        <v>3758</v>
      </c>
      <c r="O874" s="22" t="s">
        <v>3759</v>
      </c>
    </row>
    <row r="875" spans="1:15" hidden="1">
      <c r="A875" s="10" t="s">
        <v>4537</v>
      </c>
      <c r="B875" s="115" t="s">
        <v>4539</v>
      </c>
      <c r="C875" s="10" t="s">
        <v>5571</v>
      </c>
      <c r="D875" s="111">
        <v>0</v>
      </c>
      <c r="E875" s="11" t="s">
        <v>4580</v>
      </c>
      <c r="F875" s="11" t="s">
        <v>3785</v>
      </c>
      <c r="G875" s="129">
        <v>45721</v>
      </c>
      <c r="H875" s="161" t="s">
        <v>3799</v>
      </c>
      <c r="I875" s="160"/>
      <c r="J875" s="471"/>
      <c r="K875" s="160"/>
      <c r="L875" s="160">
        <f t="shared" si="13"/>
        <v>0</v>
      </c>
      <c r="M875" s="160"/>
      <c r="N875" s="22" t="s">
        <v>4041</v>
      </c>
      <c r="O875" s="22" t="s">
        <v>3759</v>
      </c>
    </row>
    <row r="876" spans="1:15" s="1" customFormat="1" hidden="1">
      <c r="A876" s="44" t="s">
        <v>5356</v>
      </c>
      <c r="B876" s="133">
        <v>110727</v>
      </c>
      <c r="C876" s="44" t="s">
        <v>5572</v>
      </c>
      <c r="D876" s="111">
        <v>0</v>
      </c>
      <c r="E876" s="44" t="s">
        <v>5358</v>
      </c>
      <c r="F876" s="44" t="s">
        <v>3750</v>
      </c>
      <c r="G876" s="135">
        <v>45551</v>
      </c>
      <c r="H876" s="172" t="s">
        <v>5573</v>
      </c>
      <c r="I876" s="514">
        <v>403</v>
      </c>
      <c r="J876" s="514"/>
      <c r="K876" s="488"/>
      <c r="L876" s="515">
        <f t="shared" si="13"/>
        <v>403</v>
      </c>
      <c r="M876" s="488"/>
      <c r="N876" s="112" t="s">
        <v>3758</v>
      </c>
      <c r="O876" s="112" t="s">
        <v>3759</v>
      </c>
    </row>
    <row r="877" spans="1:15">
      <c r="A877" s="10" t="s">
        <v>5105</v>
      </c>
      <c r="B877" s="115" t="s">
        <v>5725</v>
      </c>
      <c r="C877" s="10" t="s">
        <v>5726</v>
      </c>
      <c r="D877" s="11">
        <v>1</v>
      </c>
      <c r="E877" s="10" t="s">
        <v>5484</v>
      </c>
      <c r="F877" s="10" t="s">
        <v>3785</v>
      </c>
      <c r="G877" s="129">
        <v>45826</v>
      </c>
      <c r="H877" s="161" t="s">
        <v>3834</v>
      </c>
      <c r="I877" s="633"/>
      <c r="J877" s="648"/>
      <c r="K877" s="633"/>
      <c r="L877" s="522">
        <f t="shared" si="13"/>
        <v>0</v>
      </c>
      <c r="M877" s="160"/>
      <c r="N877" s="22"/>
      <c r="O877" s="22" t="s">
        <v>3759</v>
      </c>
    </row>
    <row r="878" spans="1:15">
      <c r="A878" s="10" t="s">
        <v>5311</v>
      </c>
      <c r="B878" s="34">
        <v>1459</v>
      </c>
      <c r="C878" s="10" t="s">
        <v>5312</v>
      </c>
      <c r="D878" s="11">
        <v>1</v>
      </c>
      <c r="E878" s="11" t="s">
        <v>5004</v>
      </c>
      <c r="F878" s="11" t="s">
        <v>3798</v>
      </c>
      <c r="G878" s="129">
        <v>44592</v>
      </c>
      <c r="H878" s="161" t="s">
        <v>5313</v>
      </c>
      <c r="I878" s="636"/>
      <c r="J878" s="638"/>
      <c r="K878" s="636"/>
      <c r="L878" s="522">
        <f t="shared" si="13"/>
        <v>0</v>
      </c>
      <c r="M878" s="140"/>
      <c r="N878" s="22"/>
      <c r="O878" s="22" t="s">
        <v>3759</v>
      </c>
    </row>
    <row r="879" spans="1:15" hidden="1">
      <c r="A879" s="329" t="s">
        <v>4265</v>
      </c>
      <c r="B879" s="615" t="s">
        <v>5577</v>
      </c>
      <c r="C879" s="329" t="s">
        <v>4267</v>
      </c>
      <c r="D879" s="555">
        <v>0</v>
      </c>
      <c r="E879" s="329" t="s">
        <v>3815</v>
      </c>
      <c r="F879" s="329" t="s">
        <v>3763</v>
      </c>
      <c r="G879" s="599">
        <v>45709</v>
      </c>
      <c r="H879" s="566" t="s">
        <v>3951</v>
      </c>
      <c r="I879" s="504"/>
      <c r="J879" s="527"/>
      <c r="K879" s="504"/>
      <c r="L879" s="504">
        <f t="shared" si="13"/>
        <v>0</v>
      </c>
      <c r="M879" s="504"/>
      <c r="N879" s="107" t="s">
        <v>3758</v>
      </c>
      <c r="O879" s="107" t="s">
        <v>3759</v>
      </c>
    </row>
    <row r="880" spans="1:15" hidden="1">
      <c r="A880" s="10" t="s">
        <v>5068</v>
      </c>
      <c r="B880" s="34">
        <v>15070</v>
      </c>
      <c r="C880" s="10" t="s">
        <v>5070</v>
      </c>
      <c r="D880" s="111">
        <v>0</v>
      </c>
      <c r="E880" s="10" t="s">
        <v>3815</v>
      </c>
      <c r="F880" s="10" t="s">
        <v>3798</v>
      </c>
      <c r="G880" s="129">
        <v>45723</v>
      </c>
      <c r="H880" s="161" t="s">
        <v>3819</v>
      </c>
      <c r="I880" s="160"/>
      <c r="J880" s="471"/>
      <c r="K880" s="160"/>
      <c r="L880" s="160">
        <f t="shared" si="13"/>
        <v>0</v>
      </c>
      <c r="M880" s="160"/>
      <c r="N880" s="22" t="s">
        <v>3758</v>
      </c>
      <c r="O880" s="22" t="s">
        <v>3759</v>
      </c>
    </row>
    <row r="881" spans="1:15" hidden="1">
      <c r="A881" s="44" t="s">
        <v>4597</v>
      </c>
      <c r="B881" s="550" t="s">
        <v>5578</v>
      </c>
      <c r="C881" s="44" t="s">
        <v>4629</v>
      </c>
      <c r="D881" s="111">
        <v>0</v>
      </c>
      <c r="E881" s="44" t="s">
        <v>3815</v>
      </c>
      <c r="F881" s="44" t="s">
        <v>3785</v>
      </c>
      <c r="G881" s="135">
        <v>45720</v>
      </c>
      <c r="H881" s="172" t="s">
        <v>5009</v>
      </c>
      <c r="I881" s="480"/>
      <c r="J881" s="524"/>
      <c r="K881" s="480"/>
      <c r="L881" s="480">
        <f t="shared" si="13"/>
        <v>0</v>
      </c>
      <c r="M881" s="480"/>
      <c r="N881" s="112" t="s">
        <v>3758</v>
      </c>
      <c r="O881" s="112" t="s">
        <v>3759</v>
      </c>
    </row>
    <row r="882" spans="1:15">
      <c r="A882" s="10" t="s">
        <v>8012</v>
      </c>
      <c r="B882" s="34" t="s">
        <v>8013</v>
      </c>
      <c r="C882" s="10" t="s">
        <v>8014</v>
      </c>
      <c r="D882" s="11">
        <v>1</v>
      </c>
      <c r="E882" s="11" t="s">
        <v>3815</v>
      </c>
      <c r="F882" s="11" t="s">
        <v>3785</v>
      </c>
      <c r="G882" s="129">
        <v>45925</v>
      </c>
      <c r="H882" s="161" t="s">
        <v>7993</v>
      </c>
      <c r="I882" s="633"/>
      <c r="J882" s="648"/>
      <c r="K882" s="633"/>
      <c r="L882" s="522">
        <f t="shared" si="13"/>
        <v>0</v>
      </c>
      <c r="M882" s="160"/>
      <c r="N882" s="22"/>
      <c r="O882" s="22" t="s">
        <v>3759</v>
      </c>
    </row>
    <row r="883" spans="1:15">
      <c r="A883" s="10" t="s">
        <v>8015</v>
      </c>
      <c r="B883" s="34" t="s">
        <v>8016</v>
      </c>
      <c r="C883" s="10" t="s">
        <v>8014</v>
      </c>
      <c r="D883" s="11">
        <v>1</v>
      </c>
      <c r="E883" s="11" t="s">
        <v>3815</v>
      </c>
      <c r="F883" s="11" t="s">
        <v>3785</v>
      </c>
      <c r="G883" s="129">
        <v>45924</v>
      </c>
      <c r="H883" s="161" t="s">
        <v>7993</v>
      </c>
      <c r="I883" s="633"/>
      <c r="J883" s="648"/>
      <c r="K883" s="633"/>
      <c r="L883" s="522">
        <f t="shared" si="13"/>
        <v>0</v>
      </c>
      <c r="M883" s="160"/>
      <c r="N883" s="22"/>
      <c r="O883" s="22" t="s">
        <v>3759</v>
      </c>
    </row>
    <row r="884" spans="1:15" hidden="1">
      <c r="A884" s="329" t="s">
        <v>4769</v>
      </c>
      <c r="B884" s="328">
        <v>96108861</v>
      </c>
      <c r="C884" s="329" t="s">
        <v>4918</v>
      </c>
      <c r="D884" s="555">
        <v>0</v>
      </c>
      <c r="E884" s="597" t="s">
        <v>3815</v>
      </c>
      <c r="F884" s="597" t="s">
        <v>3763</v>
      </c>
      <c r="G884" s="599">
        <v>45722</v>
      </c>
      <c r="H884" s="566" t="s">
        <v>3951</v>
      </c>
      <c r="I884" s="504"/>
      <c r="J884" s="527"/>
      <c r="K884" s="504"/>
      <c r="L884" s="504">
        <f t="shared" si="13"/>
        <v>0</v>
      </c>
      <c r="M884" s="504"/>
      <c r="N884" s="107" t="s">
        <v>3758</v>
      </c>
      <c r="O884" s="107" t="s">
        <v>3759</v>
      </c>
    </row>
    <row r="885" spans="1:15" hidden="1">
      <c r="A885" s="44" t="s">
        <v>4869</v>
      </c>
      <c r="B885" s="133">
        <v>229684</v>
      </c>
      <c r="C885" s="44" t="s">
        <v>3859</v>
      </c>
      <c r="D885" s="111">
        <v>0</v>
      </c>
      <c r="E885" s="134" t="s">
        <v>3815</v>
      </c>
      <c r="F885" s="134" t="s">
        <v>3785</v>
      </c>
      <c r="G885" s="135">
        <v>45729</v>
      </c>
      <c r="H885" s="172" t="s">
        <v>3819</v>
      </c>
      <c r="I885" s="480"/>
      <c r="J885" s="524"/>
      <c r="K885" s="480"/>
      <c r="L885" s="480">
        <f t="shared" si="13"/>
        <v>0</v>
      </c>
      <c r="M885" s="480"/>
      <c r="N885" s="112" t="s">
        <v>3758</v>
      </c>
      <c r="O885" s="112" t="s">
        <v>3759</v>
      </c>
    </row>
    <row r="886" spans="1:15">
      <c r="A886" s="10" t="s">
        <v>5084</v>
      </c>
      <c r="B886" s="34" t="s">
        <v>5318</v>
      </c>
      <c r="C886" s="10" t="s">
        <v>5319</v>
      </c>
      <c r="D886" s="11">
        <v>1</v>
      </c>
      <c r="E886" s="11" t="s">
        <v>3810</v>
      </c>
      <c r="F886" s="11" t="s">
        <v>3763</v>
      </c>
      <c r="G886" s="129">
        <v>37391</v>
      </c>
      <c r="H886" s="161" t="s">
        <v>3799</v>
      </c>
      <c r="I886" s="634"/>
      <c r="J886" s="634"/>
      <c r="K886" s="634"/>
      <c r="L886" s="522">
        <f t="shared" si="13"/>
        <v>0</v>
      </c>
      <c r="M886" s="141"/>
      <c r="N886" s="22"/>
      <c r="O886" s="22" t="s">
        <v>3759</v>
      </c>
    </row>
    <row r="887" spans="1:15">
      <c r="A887" s="10" t="s">
        <v>5084</v>
      </c>
      <c r="B887" s="34" t="s">
        <v>5320</v>
      </c>
      <c r="C887" s="10" t="s">
        <v>4350</v>
      </c>
      <c r="D887" s="11">
        <v>1</v>
      </c>
      <c r="E887" s="11" t="s">
        <v>5221</v>
      </c>
      <c r="F887" s="11" t="s">
        <v>3798</v>
      </c>
      <c r="G887" s="129">
        <v>45454</v>
      </c>
      <c r="H887" s="161" t="s">
        <v>4142</v>
      </c>
      <c r="I887" s="634"/>
      <c r="J887" s="634"/>
      <c r="K887" s="634"/>
      <c r="L887" s="522">
        <f t="shared" si="13"/>
        <v>0</v>
      </c>
      <c r="M887" s="141"/>
      <c r="N887" s="22"/>
      <c r="O887" s="22" t="s">
        <v>3759</v>
      </c>
    </row>
    <row r="888" spans="1:15">
      <c r="A888" s="10" t="s">
        <v>5321</v>
      </c>
      <c r="B888" s="34" t="s">
        <v>5322</v>
      </c>
      <c r="C888" s="10" t="s">
        <v>690</v>
      </c>
      <c r="D888" s="11">
        <v>1</v>
      </c>
      <c r="E888" s="11" t="s">
        <v>5323</v>
      </c>
      <c r="F888" s="11" t="s">
        <v>3785</v>
      </c>
      <c r="G888" s="129">
        <v>45063</v>
      </c>
      <c r="H888" s="161" t="s">
        <v>3768</v>
      </c>
      <c r="I888" s="636"/>
      <c r="J888" s="638"/>
      <c r="K888" s="636"/>
      <c r="L888" s="522">
        <f t="shared" si="13"/>
        <v>0</v>
      </c>
      <c r="M888" s="140"/>
      <c r="N888" s="22"/>
      <c r="O888" s="22" t="s">
        <v>3759</v>
      </c>
    </row>
    <row r="889" spans="1:15">
      <c r="A889" s="10" t="s">
        <v>5330</v>
      </c>
      <c r="B889" s="34" t="s">
        <v>5331</v>
      </c>
      <c r="C889" s="10" t="s">
        <v>5332</v>
      </c>
      <c r="D889" s="11">
        <v>1</v>
      </c>
      <c r="E889" s="11" t="s">
        <v>4198</v>
      </c>
      <c r="F889" s="11" t="s">
        <v>3763</v>
      </c>
      <c r="G889" s="129">
        <v>45763</v>
      </c>
      <c r="H889" s="161" t="s">
        <v>5333</v>
      </c>
      <c r="I889" s="633"/>
      <c r="J889" s="648"/>
      <c r="K889" s="633"/>
      <c r="L889" s="522">
        <f t="shared" si="13"/>
        <v>0</v>
      </c>
      <c r="M889" s="160"/>
      <c r="N889" s="22"/>
      <c r="O889" s="22" t="s">
        <v>3759</v>
      </c>
    </row>
    <row r="890" spans="1:15" hidden="1">
      <c r="A890" s="83" t="s">
        <v>4265</v>
      </c>
      <c r="B890" s="83" t="s">
        <v>5585</v>
      </c>
      <c r="C890" s="83" t="s">
        <v>4267</v>
      </c>
      <c r="D890" s="555">
        <v>0</v>
      </c>
      <c r="E890" s="555" t="s">
        <v>3815</v>
      </c>
      <c r="F890" s="555" t="s">
        <v>3763</v>
      </c>
      <c r="G890" s="559">
        <v>45730</v>
      </c>
      <c r="H890" s="475" t="s">
        <v>3951</v>
      </c>
      <c r="I890" s="504"/>
      <c r="J890" s="668"/>
      <c r="K890" s="245"/>
      <c r="L890" s="245">
        <f t="shared" si="13"/>
        <v>0</v>
      </c>
      <c r="M890" s="245"/>
      <c r="N890" s="121" t="s">
        <v>3758</v>
      </c>
      <c r="O890" s="122" t="s">
        <v>3759</v>
      </c>
    </row>
    <row r="891" spans="1:15" hidden="1">
      <c r="A891" s="44" t="s">
        <v>5586</v>
      </c>
      <c r="B891" s="133">
        <v>96038493</v>
      </c>
      <c r="C891" s="44" t="s">
        <v>3775</v>
      </c>
      <c r="D891" s="111">
        <v>0</v>
      </c>
      <c r="E891" s="44" t="s">
        <v>4703</v>
      </c>
      <c r="F891" s="44" t="s">
        <v>3785</v>
      </c>
      <c r="G891" s="135">
        <v>45735</v>
      </c>
      <c r="H891" s="172" t="s">
        <v>5587</v>
      </c>
      <c r="I891" s="480"/>
      <c r="J891" s="524"/>
      <c r="K891" s="480"/>
      <c r="L891" s="480">
        <f t="shared" si="13"/>
        <v>0</v>
      </c>
      <c r="M891" s="480"/>
      <c r="N891" s="112" t="s">
        <v>3758</v>
      </c>
      <c r="O891" s="112" t="s">
        <v>3759</v>
      </c>
    </row>
    <row r="892" spans="1:15">
      <c r="A892" s="10" t="s">
        <v>5101</v>
      </c>
      <c r="B892" s="34" t="s">
        <v>5334</v>
      </c>
      <c r="C892" s="10" t="s">
        <v>5335</v>
      </c>
      <c r="D892" s="11">
        <v>1</v>
      </c>
      <c r="E892" s="11" t="s">
        <v>5336</v>
      </c>
      <c r="F892" s="11" t="s">
        <v>3785</v>
      </c>
      <c r="G892" s="129">
        <v>45735</v>
      </c>
      <c r="H892" s="161" t="s">
        <v>3799</v>
      </c>
      <c r="I892" s="633"/>
      <c r="J892" s="648"/>
      <c r="K892" s="633"/>
      <c r="L892" s="522">
        <f t="shared" si="13"/>
        <v>0</v>
      </c>
      <c r="M892" s="160"/>
      <c r="N892" s="22"/>
      <c r="O892" s="22" t="s">
        <v>3759</v>
      </c>
    </row>
    <row r="893" spans="1:15">
      <c r="A893" s="10" t="s">
        <v>5337</v>
      </c>
      <c r="B893" s="115" t="s">
        <v>3748</v>
      </c>
      <c r="C893" s="10" t="s">
        <v>5338</v>
      </c>
      <c r="D893" s="11">
        <v>100</v>
      </c>
      <c r="E893" s="10" t="s">
        <v>5339</v>
      </c>
      <c r="F893" s="10" t="s">
        <v>3750</v>
      </c>
      <c r="G893" s="11"/>
      <c r="H893" s="161" t="s">
        <v>5340</v>
      </c>
      <c r="I893" s="633"/>
      <c r="J893" s="648"/>
      <c r="K893" s="633"/>
      <c r="L893" s="522">
        <f t="shared" si="13"/>
        <v>0</v>
      </c>
      <c r="M893" s="160"/>
      <c r="N893" s="159" t="s">
        <v>5341</v>
      </c>
      <c r="O893" s="12" t="s">
        <v>3759</v>
      </c>
    </row>
    <row r="894" spans="1:15" hidden="1">
      <c r="A894" s="260" t="s">
        <v>5593</v>
      </c>
      <c r="B894" s="595" t="s">
        <v>5594</v>
      </c>
      <c r="C894" s="260" t="s">
        <v>5595</v>
      </c>
      <c r="D894" s="555">
        <v>0</v>
      </c>
      <c r="E894" s="598" t="s">
        <v>4555</v>
      </c>
      <c r="F894" s="598" t="s">
        <v>3763</v>
      </c>
      <c r="G894" s="596">
        <v>45740</v>
      </c>
      <c r="H894" s="476" t="s">
        <v>4138</v>
      </c>
      <c r="I894" s="245"/>
      <c r="J894" s="668"/>
      <c r="K894" s="245"/>
      <c r="L894" s="245">
        <f t="shared" si="13"/>
        <v>0</v>
      </c>
      <c r="M894" s="245"/>
      <c r="N894" s="121" t="s">
        <v>3758</v>
      </c>
      <c r="O894" s="121" t="s">
        <v>3759</v>
      </c>
    </row>
    <row r="895" spans="1:15">
      <c r="A895" s="10" t="s">
        <v>5110</v>
      </c>
      <c r="B895" s="34">
        <v>930220</v>
      </c>
      <c r="C895" s="161" t="s">
        <v>5342</v>
      </c>
      <c r="D895" s="11">
        <v>1</v>
      </c>
      <c r="E895" s="11" t="s">
        <v>4516</v>
      </c>
      <c r="F895" s="11" t="s">
        <v>3785</v>
      </c>
      <c r="G895" s="129">
        <v>45699</v>
      </c>
      <c r="H895" s="161" t="s">
        <v>3799</v>
      </c>
      <c r="I895" s="633"/>
      <c r="J895" s="648"/>
      <c r="K895" s="633"/>
      <c r="L895" s="522">
        <f t="shared" si="13"/>
        <v>0</v>
      </c>
      <c r="M895" s="160"/>
      <c r="N895" s="22"/>
      <c r="O895" s="22" t="s">
        <v>3759</v>
      </c>
    </row>
    <row r="896" spans="1:15">
      <c r="A896" s="33" t="s">
        <v>5110</v>
      </c>
      <c r="B896" s="33">
        <v>960114</v>
      </c>
      <c r="C896" s="33" t="s">
        <v>3854</v>
      </c>
      <c r="D896" s="11">
        <v>1</v>
      </c>
      <c r="E896" s="11" t="s">
        <v>4191</v>
      </c>
      <c r="F896" s="11" t="s">
        <v>3785</v>
      </c>
      <c r="G896" s="129">
        <v>45868</v>
      </c>
      <c r="H896" s="161" t="s">
        <v>3799</v>
      </c>
      <c r="I896" s="633"/>
      <c r="J896" s="648"/>
      <c r="K896" s="633"/>
      <c r="L896" s="522">
        <f t="shared" si="13"/>
        <v>0</v>
      </c>
      <c r="M896" s="160"/>
      <c r="N896" s="22"/>
      <c r="O896" s="22" t="s">
        <v>3759</v>
      </c>
    </row>
    <row r="897" spans="1:15">
      <c r="A897" s="10" t="s">
        <v>5117</v>
      </c>
      <c r="B897" s="34" t="s">
        <v>5349</v>
      </c>
      <c r="C897" s="10" t="s">
        <v>4645</v>
      </c>
      <c r="D897" s="11">
        <v>1</v>
      </c>
      <c r="E897" s="11" t="s">
        <v>5350</v>
      </c>
      <c r="F897" s="11" t="s">
        <v>3785</v>
      </c>
      <c r="G897" s="129">
        <v>45330</v>
      </c>
      <c r="H897" s="161" t="s">
        <v>5351</v>
      </c>
      <c r="I897" s="634"/>
      <c r="J897" s="634"/>
      <c r="K897" s="634"/>
      <c r="L897" s="522">
        <f t="shared" si="13"/>
        <v>0</v>
      </c>
      <c r="M897" s="141"/>
      <c r="N897" s="22"/>
      <c r="O897" s="22" t="s">
        <v>3759</v>
      </c>
    </row>
    <row r="898" spans="1:15">
      <c r="A898" s="10" t="s">
        <v>5752</v>
      </c>
      <c r="B898" s="34">
        <v>20370784</v>
      </c>
      <c r="C898" s="10" t="s">
        <v>5801</v>
      </c>
      <c r="D898" s="11">
        <v>1</v>
      </c>
      <c r="E898" s="11" t="s">
        <v>3860</v>
      </c>
      <c r="F898" s="11" t="s">
        <v>3763</v>
      </c>
      <c r="G898" s="129">
        <v>45862</v>
      </c>
      <c r="H898" s="161" t="s">
        <v>5802</v>
      </c>
      <c r="I898" s="633"/>
      <c r="J898" s="648"/>
      <c r="K898" s="633"/>
      <c r="L898" s="522">
        <f t="shared" si="13"/>
        <v>0</v>
      </c>
      <c r="M898" s="160"/>
      <c r="N898" s="22"/>
      <c r="O898" s="22" t="s">
        <v>3759</v>
      </c>
    </row>
    <row r="899" spans="1:15">
      <c r="A899" s="10" t="s">
        <v>5157</v>
      </c>
      <c r="B899" s="34">
        <v>930613</v>
      </c>
      <c r="C899" s="10" t="s">
        <v>4607</v>
      </c>
      <c r="D899" s="11">
        <v>1</v>
      </c>
      <c r="E899" s="129" t="s">
        <v>3831</v>
      </c>
      <c r="F899" s="11" t="s">
        <v>3785</v>
      </c>
      <c r="G899" s="129">
        <v>45748</v>
      </c>
      <c r="H899" s="161" t="s">
        <v>7993</v>
      </c>
      <c r="I899" s="633"/>
      <c r="J899" s="648"/>
      <c r="K899" s="633"/>
      <c r="L899" s="522">
        <f t="shared" si="13"/>
        <v>0</v>
      </c>
      <c r="M899" s="160"/>
      <c r="N899" s="22"/>
      <c r="O899" s="22" t="s">
        <v>3759</v>
      </c>
    </row>
    <row r="900" spans="1:15" hidden="1">
      <c r="A900" s="329" t="s">
        <v>5131</v>
      </c>
      <c r="B900" s="328">
        <v>4766</v>
      </c>
      <c r="C900" s="329" t="s">
        <v>5134</v>
      </c>
      <c r="D900" s="555">
        <v>0</v>
      </c>
      <c r="E900" s="597" t="s">
        <v>3944</v>
      </c>
      <c r="F900" s="597" t="s">
        <v>3763</v>
      </c>
      <c r="G900" s="599">
        <v>45749</v>
      </c>
      <c r="H900" s="566" t="s">
        <v>5135</v>
      </c>
      <c r="I900" s="504"/>
      <c r="J900" s="527"/>
      <c r="K900" s="504"/>
      <c r="L900" s="504">
        <f t="shared" ref="L900:L963" si="14">IF(OR(I900="", K900=""), I900 + K900, I900 + K900)</f>
        <v>0</v>
      </c>
      <c r="M900" s="504"/>
      <c r="N900" s="107" t="s">
        <v>3940</v>
      </c>
      <c r="O900" s="107" t="s">
        <v>3759</v>
      </c>
    </row>
    <row r="901" spans="1:15" hidden="1">
      <c r="A901" s="44" t="s">
        <v>5131</v>
      </c>
      <c r="B901" s="133">
        <v>12039</v>
      </c>
      <c r="C901" s="44" t="s">
        <v>5134</v>
      </c>
      <c r="D901" s="111">
        <v>0</v>
      </c>
      <c r="E901" s="134" t="s">
        <v>3944</v>
      </c>
      <c r="F901" s="134" t="s">
        <v>3763</v>
      </c>
      <c r="G901" s="135">
        <v>45749</v>
      </c>
      <c r="H901" s="172" t="s">
        <v>5135</v>
      </c>
      <c r="I901" s="480"/>
      <c r="J901" s="524"/>
      <c r="K901" s="480"/>
      <c r="L901" s="480">
        <f t="shared" si="14"/>
        <v>0</v>
      </c>
      <c r="M901" s="480"/>
      <c r="N901" s="112" t="s">
        <v>3940</v>
      </c>
      <c r="O901" s="112" t="s">
        <v>3759</v>
      </c>
    </row>
    <row r="902" spans="1:15">
      <c r="A902" s="10" t="s">
        <v>5129</v>
      </c>
      <c r="B902" s="34" t="s">
        <v>5352</v>
      </c>
      <c r="C902" s="10" t="s">
        <v>5353</v>
      </c>
      <c r="D902" s="11">
        <v>1</v>
      </c>
      <c r="E902" s="11" t="s">
        <v>3831</v>
      </c>
      <c r="F902" s="11" t="s">
        <v>3785</v>
      </c>
      <c r="G902" s="129">
        <v>45617</v>
      </c>
      <c r="H902" s="161" t="s">
        <v>7993</v>
      </c>
      <c r="I902" s="633"/>
      <c r="J902" s="648"/>
      <c r="K902" s="633"/>
      <c r="L902" s="522">
        <f t="shared" si="14"/>
        <v>0</v>
      </c>
      <c r="M902" s="160">
        <v>12000</v>
      </c>
      <c r="N902" s="22"/>
      <c r="O902" s="22" t="s">
        <v>3759</v>
      </c>
    </row>
    <row r="903" spans="1:15" hidden="1">
      <c r="A903" s="10" t="s">
        <v>5131</v>
      </c>
      <c r="B903" s="34">
        <v>7177</v>
      </c>
      <c r="C903" s="10" t="s">
        <v>5134</v>
      </c>
      <c r="D903" s="11">
        <v>0</v>
      </c>
      <c r="E903" s="11" t="s">
        <v>3944</v>
      </c>
      <c r="F903" s="11" t="s">
        <v>3763</v>
      </c>
      <c r="G903" s="129">
        <v>45749</v>
      </c>
      <c r="H903" s="161" t="s">
        <v>5135</v>
      </c>
      <c r="I903" s="633"/>
      <c r="J903" s="648"/>
      <c r="K903" s="633"/>
      <c r="L903" s="522">
        <f t="shared" si="14"/>
        <v>0</v>
      </c>
      <c r="M903" s="160"/>
      <c r="N903" s="22" t="s">
        <v>3758</v>
      </c>
      <c r="O903" s="22" t="s">
        <v>3759</v>
      </c>
    </row>
    <row r="904" spans="1:15" hidden="1">
      <c r="A904" s="329" t="s">
        <v>5610</v>
      </c>
      <c r="B904" s="328">
        <v>3974</v>
      </c>
      <c r="C904" s="616" t="s">
        <v>4885</v>
      </c>
      <c r="D904" s="555">
        <v>0</v>
      </c>
      <c r="E904" s="597" t="s">
        <v>4809</v>
      </c>
      <c r="F904" s="597" t="s">
        <v>3785</v>
      </c>
      <c r="G904" s="599">
        <v>45749</v>
      </c>
      <c r="H904" s="566" t="s">
        <v>3819</v>
      </c>
      <c r="I904" s="504"/>
      <c r="J904" s="527"/>
      <c r="K904" s="504"/>
      <c r="L904" s="504">
        <f t="shared" si="14"/>
        <v>0</v>
      </c>
      <c r="M904" s="504"/>
      <c r="N904" s="107" t="s">
        <v>3758</v>
      </c>
      <c r="O904" s="107" t="s">
        <v>3759</v>
      </c>
    </row>
    <row r="905" spans="1:15" hidden="1">
      <c r="A905" s="10" t="s">
        <v>5138</v>
      </c>
      <c r="B905" s="34" t="s">
        <v>5611</v>
      </c>
      <c r="C905" s="10" t="s">
        <v>5070</v>
      </c>
      <c r="D905" s="111">
        <v>0</v>
      </c>
      <c r="E905" s="11" t="s">
        <v>3815</v>
      </c>
      <c r="F905" s="11" t="s">
        <v>3785</v>
      </c>
      <c r="G905" s="129">
        <v>45748</v>
      </c>
      <c r="H905" s="161" t="s">
        <v>3819</v>
      </c>
      <c r="I905" s="160"/>
      <c r="J905" s="471"/>
      <c r="K905" s="160"/>
      <c r="L905" s="160">
        <f t="shared" si="14"/>
        <v>0</v>
      </c>
      <c r="M905" s="160"/>
      <c r="N905" s="22" t="s">
        <v>3758</v>
      </c>
      <c r="O905" s="22" t="s">
        <v>3759</v>
      </c>
    </row>
    <row r="906" spans="1:15" hidden="1">
      <c r="A906" s="45" t="s">
        <v>5612</v>
      </c>
      <c r="B906" s="461">
        <v>238</v>
      </c>
      <c r="C906" s="172" t="s">
        <v>5613</v>
      </c>
      <c r="D906" s="111">
        <v>0</v>
      </c>
      <c r="E906" s="134" t="s">
        <v>3815</v>
      </c>
      <c r="F906" s="134" t="s">
        <v>3798</v>
      </c>
      <c r="G906" s="134"/>
      <c r="H906" s="172" t="s">
        <v>4159</v>
      </c>
      <c r="I906" s="480"/>
      <c r="J906" s="524"/>
      <c r="K906" s="480"/>
      <c r="L906" s="480">
        <f t="shared" si="14"/>
        <v>0</v>
      </c>
      <c r="M906" s="480"/>
      <c r="N906" s="112" t="s">
        <v>3758</v>
      </c>
      <c r="O906" s="112" t="s">
        <v>3759</v>
      </c>
    </row>
    <row r="907" spans="1:15">
      <c r="A907" s="10" t="s">
        <v>5131</v>
      </c>
      <c r="B907" s="34">
        <v>8266</v>
      </c>
      <c r="C907" s="10" t="s">
        <v>5134</v>
      </c>
      <c r="D907" s="11">
        <v>1</v>
      </c>
      <c r="E907" s="11" t="s">
        <v>3944</v>
      </c>
      <c r="F907" s="11" t="s">
        <v>3763</v>
      </c>
      <c r="G907" s="129">
        <v>45749</v>
      </c>
      <c r="H907" s="161" t="s">
        <v>5135</v>
      </c>
      <c r="I907" s="633"/>
      <c r="J907" s="648"/>
      <c r="K907" s="633"/>
      <c r="L907" s="522">
        <f t="shared" si="14"/>
        <v>0</v>
      </c>
      <c r="M907" s="160"/>
      <c r="N907" s="22"/>
      <c r="O907" s="22" t="s">
        <v>3759</v>
      </c>
    </row>
    <row r="908" spans="1:15">
      <c r="A908" s="10" t="s">
        <v>5354</v>
      </c>
      <c r="B908" s="34" t="s">
        <v>5355</v>
      </c>
      <c r="C908" s="10" t="s">
        <v>418</v>
      </c>
      <c r="D908" s="11">
        <v>1</v>
      </c>
      <c r="E908" s="11" t="s">
        <v>4024</v>
      </c>
      <c r="F908" s="11" t="s">
        <v>3780</v>
      </c>
      <c r="G908" s="129">
        <v>45470</v>
      </c>
      <c r="H908" s="161" t="s">
        <v>3768</v>
      </c>
      <c r="I908" s="634"/>
      <c r="J908" s="634"/>
      <c r="K908" s="634"/>
      <c r="L908" s="522">
        <f t="shared" si="14"/>
        <v>0</v>
      </c>
      <c r="M908" s="141"/>
      <c r="N908" s="22"/>
      <c r="O908" s="22" t="s">
        <v>3759</v>
      </c>
    </row>
    <row r="909" spans="1:15" ht="28.8">
      <c r="A909" s="96" t="s">
        <v>5171</v>
      </c>
      <c r="B909" s="131">
        <v>2147</v>
      </c>
      <c r="C909" s="17" t="s">
        <v>5172</v>
      </c>
      <c r="D909" s="15">
        <v>1</v>
      </c>
      <c r="E909" s="15" t="s">
        <v>5173</v>
      </c>
      <c r="F909" s="15" t="s">
        <v>3750</v>
      </c>
      <c r="G909" s="15"/>
      <c r="H909" s="291"/>
      <c r="I909" s="634"/>
      <c r="J909" s="634"/>
      <c r="K909" s="634"/>
      <c r="L909" s="522">
        <f t="shared" si="14"/>
        <v>0</v>
      </c>
      <c r="M909" s="141"/>
      <c r="N909" s="31"/>
      <c r="O909" s="31" t="s">
        <v>3759</v>
      </c>
    </row>
    <row r="910" spans="1:15" hidden="1">
      <c r="A910" s="329" t="s">
        <v>5619</v>
      </c>
      <c r="B910" s="328" t="s">
        <v>5620</v>
      </c>
      <c r="C910" s="329" t="s">
        <v>5621</v>
      </c>
      <c r="D910" s="597">
        <v>0</v>
      </c>
      <c r="E910" s="597" t="s">
        <v>5622</v>
      </c>
      <c r="F910" s="597" t="s">
        <v>3763</v>
      </c>
      <c r="G910" s="599">
        <v>44140</v>
      </c>
      <c r="H910" s="566" t="s">
        <v>3969</v>
      </c>
      <c r="I910" s="503">
        <v>1200</v>
      </c>
      <c r="J910" s="503"/>
      <c r="K910" s="496"/>
      <c r="L910" s="657">
        <f t="shared" si="14"/>
        <v>1200</v>
      </c>
      <c r="M910" s="496"/>
      <c r="N910" s="107" t="s">
        <v>3758</v>
      </c>
      <c r="O910" s="107" t="s">
        <v>3759</v>
      </c>
    </row>
    <row r="911" spans="1:15" hidden="1">
      <c r="A911" s="33" t="s">
        <v>5623</v>
      </c>
      <c r="B911" s="33" t="s">
        <v>5624</v>
      </c>
      <c r="C911" s="10" t="s">
        <v>5625</v>
      </c>
      <c r="D911" s="111">
        <v>0</v>
      </c>
      <c r="E911" s="11" t="s">
        <v>4640</v>
      </c>
      <c r="F911" s="11" t="s">
        <v>3763</v>
      </c>
      <c r="G911" s="129">
        <v>45756</v>
      </c>
      <c r="H911" s="161" t="s">
        <v>3930</v>
      </c>
      <c r="I911" s="160"/>
      <c r="J911" s="471"/>
      <c r="K911" s="160"/>
      <c r="L911" s="160">
        <f t="shared" si="14"/>
        <v>0</v>
      </c>
      <c r="M911" s="160"/>
      <c r="N911" s="22" t="s">
        <v>3758</v>
      </c>
      <c r="O911" s="22" t="s">
        <v>3759</v>
      </c>
    </row>
    <row r="912" spans="1:15" hidden="1">
      <c r="A912" s="86" t="s">
        <v>5623</v>
      </c>
      <c r="B912" s="133" t="s">
        <v>5626</v>
      </c>
      <c r="C912" s="44" t="s">
        <v>5625</v>
      </c>
      <c r="D912" s="111">
        <v>0</v>
      </c>
      <c r="E912" s="134" t="s">
        <v>4640</v>
      </c>
      <c r="F912" s="134" t="s">
        <v>3763</v>
      </c>
      <c r="G912" s="135">
        <v>45747</v>
      </c>
      <c r="H912" s="172" t="s">
        <v>3930</v>
      </c>
      <c r="I912" s="480"/>
      <c r="J912" s="524"/>
      <c r="K912" s="480"/>
      <c r="L912" s="480">
        <f t="shared" si="14"/>
        <v>0</v>
      </c>
      <c r="M912" s="480"/>
      <c r="N912" s="112" t="s">
        <v>3758</v>
      </c>
      <c r="O912" s="112" t="s">
        <v>3759</v>
      </c>
    </row>
    <row r="913" spans="1:15">
      <c r="A913" s="10" t="s">
        <v>5363</v>
      </c>
      <c r="B913" s="34" t="s">
        <v>5364</v>
      </c>
      <c r="C913" s="10" t="s">
        <v>5365</v>
      </c>
      <c r="D913" s="11">
        <v>1</v>
      </c>
      <c r="E913" s="11" t="s">
        <v>5109</v>
      </c>
      <c r="F913" s="11" t="s">
        <v>3750</v>
      </c>
      <c r="G913" s="129">
        <v>45367</v>
      </c>
      <c r="H913" s="161" t="s">
        <v>5366</v>
      </c>
      <c r="I913" s="633"/>
      <c r="J913" s="648"/>
      <c r="K913" s="633"/>
      <c r="L913" s="522">
        <f t="shared" si="14"/>
        <v>0</v>
      </c>
      <c r="M913" s="160"/>
      <c r="N913" s="22"/>
      <c r="O913" s="22" t="s">
        <v>3759</v>
      </c>
    </row>
    <row r="914" spans="1:15">
      <c r="A914" s="10" t="s">
        <v>5367</v>
      </c>
      <c r="B914" s="34" t="s">
        <v>3748</v>
      </c>
      <c r="C914" s="10" t="s">
        <v>5368</v>
      </c>
      <c r="D914" s="11">
        <v>1</v>
      </c>
      <c r="E914" s="11" t="s">
        <v>5369</v>
      </c>
      <c r="F914" s="11" t="s">
        <v>3750</v>
      </c>
      <c r="G914" s="129">
        <v>44848</v>
      </c>
      <c r="H914" s="161" t="s">
        <v>5370</v>
      </c>
      <c r="I914" s="636"/>
      <c r="J914" s="638"/>
      <c r="K914" s="636"/>
      <c r="L914" s="522">
        <f t="shared" si="14"/>
        <v>0</v>
      </c>
      <c r="M914" s="140"/>
      <c r="N914" s="22"/>
      <c r="O914" s="22" t="s">
        <v>3804</v>
      </c>
    </row>
    <row r="915" spans="1:15" hidden="1">
      <c r="A915" s="10" t="s">
        <v>5371</v>
      </c>
      <c r="B915" s="34">
        <v>3758</v>
      </c>
      <c r="C915" s="10" t="s">
        <v>5372</v>
      </c>
      <c r="D915" s="11">
        <v>0</v>
      </c>
      <c r="E915" s="11" t="s">
        <v>5373</v>
      </c>
      <c r="F915" s="11" t="s">
        <v>3785</v>
      </c>
      <c r="G915" s="129">
        <v>45363</v>
      </c>
      <c r="H915" s="161" t="s">
        <v>3923</v>
      </c>
      <c r="I915" s="634"/>
      <c r="J915" s="634"/>
      <c r="K915" s="634"/>
      <c r="L915" s="522">
        <f t="shared" si="14"/>
        <v>0</v>
      </c>
      <c r="M915" s="141"/>
      <c r="N915" s="22" t="s">
        <v>3758</v>
      </c>
      <c r="O915" s="22" t="s">
        <v>3759</v>
      </c>
    </row>
    <row r="916" spans="1:15">
      <c r="A916" s="10" t="s">
        <v>5371</v>
      </c>
      <c r="B916" s="34">
        <v>1463</v>
      </c>
      <c r="C916" s="10" t="s">
        <v>5372</v>
      </c>
      <c r="D916" s="11">
        <v>1</v>
      </c>
      <c r="E916" s="11" t="s">
        <v>5377</v>
      </c>
      <c r="F916" s="11" t="s">
        <v>3785</v>
      </c>
      <c r="G916" s="129">
        <v>45362</v>
      </c>
      <c r="H916" s="161" t="s">
        <v>3923</v>
      </c>
      <c r="I916" s="634"/>
      <c r="J916" s="634"/>
      <c r="K916" s="634"/>
      <c r="L916" s="522">
        <f t="shared" si="14"/>
        <v>0</v>
      </c>
      <c r="M916" s="141"/>
      <c r="N916" s="22"/>
      <c r="O916" s="22" t="s">
        <v>3759</v>
      </c>
    </row>
    <row r="917" spans="1:15">
      <c r="A917" s="10" t="s">
        <v>5383</v>
      </c>
      <c r="B917" s="34">
        <v>1511</v>
      </c>
      <c r="C917" s="10" t="s">
        <v>5384</v>
      </c>
      <c r="D917" s="11">
        <v>1</v>
      </c>
      <c r="E917" s="11" t="s">
        <v>3948</v>
      </c>
      <c r="F917" s="11" t="s">
        <v>3763</v>
      </c>
      <c r="G917" s="129">
        <v>44768</v>
      </c>
      <c r="H917" s="161" t="s">
        <v>3934</v>
      </c>
      <c r="I917" s="636"/>
      <c r="J917" s="638"/>
      <c r="K917" s="636"/>
      <c r="L917" s="522">
        <f t="shared" si="14"/>
        <v>0</v>
      </c>
      <c r="M917" s="140"/>
      <c r="N917" s="22"/>
      <c r="O917" s="22" t="s">
        <v>3759</v>
      </c>
    </row>
    <row r="918" spans="1:15">
      <c r="A918" s="10" t="s">
        <v>5387</v>
      </c>
      <c r="B918" s="34">
        <v>124277</v>
      </c>
      <c r="C918" s="10" t="s">
        <v>4962</v>
      </c>
      <c r="D918" s="11">
        <v>1</v>
      </c>
      <c r="E918" s="10" t="s">
        <v>3964</v>
      </c>
      <c r="F918" s="11" t="s">
        <v>3763</v>
      </c>
      <c r="G918" s="129">
        <v>44529</v>
      </c>
      <c r="H918" s="161" t="s">
        <v>4285</v>
      </c>
      <c r="I918" s="636"/>
      <c r="J918" s="638"/>
      <c r="K918" s="636"/>
      <c r="L918" s="522">
        <f t="shared" si="14"/>
        <v>0</v>
      </c>
      <c r="M918" s="140"/>
      <c r="N918" s="22"/>
      <c r="O918" s="22" t="s">
        <v>3759</v>
      </c>
    </row>
    <row r="919" spans="1:15">
      <c r="A919" s="10" t="s">
        <v>5396</v>
      </c>
      <c r="B919" s="34" t="s">
        <v>5397</v>
      </c>
      <c r="C919" s="10" t="s">
        <v>5398</v>
      </c>
      <c r="D919" s="11">
        <v>1</v>
      </c>
      <c r="E919" s="11" t="s">
        <v>4223</v>
      </c>
      <c r="F919" s="11" t="s">
        <v>3763</v>
      </c>
      <c r="G919" s="129">
        <v>44775</v>
      </c>
      <c r="H919" s="161" t="s">
        <v>3934</v>
      </c>
      <c r="I919" s="636"/>
      <c r="J919" s="638"/>
      <c r="K919" s="635"/>
      <c r="L919" s="522">
        <f t="shared" si="14"/>
        <v>0</v>
      </c>
      <c r="M919" s="469">
        <v>3500</v>
      </c>
      <c r="N919" s="22"/>
      <c r="O919" s="22" t="s">
        <v>3759</v>
      </c>
    </row>
    <row r="920" spans="1:15">
      <c r="A920" s="10" t="s">
        <v>5167</v>
      </c>
      <c r="B920" s="34">
        <v>45621</v>
      </c>
      <c r="C920" s="10" t="s">
        <v>5761</v>
      </c>
      <c r="D920" s="11">
        <v>1</v>
      </c>
      <c r="E920" s="10" t="s">
        <v>4130</v>
      </c>
      <c r="F920" s="10" t="s">
        <v>3763</v>
      </c>
      <c r="G920" s="129">
        <v>45838</v>
      </c>
      <c r="H920" s="161" t="s">
        <v>5166</v>
      </c>
      <c r="I920" s="633"/>
      <c r="J920" s="648"/>
      <c r="K920" s="633"/>
      <c r="L920" s="522">
        <f t="shared" si="14"/>
        <v>0</v>
      </c>
      <c r="M920" s="160"/>
      <c r="N920" s="22"/>
      <c r="O920" s="22" t="s">
        <v>3759</v>
      </c>
    </row>
    <row r="921" spans="1:15">
      <c r="A921" s="10" t="s">
        <v>5167</v>
      </c>
      <c r="B921" s="34">
        <v>44230</v>
      </c>
      <c r="C921" s="11" t="s">
        <v>2178</v>
      </c>
      <c r="D921" s="11">
        <v>1</v>
      </c>
      <c r="E921" s="10" t="s">
        <v>4130</v>
      </c>
      <c r="F921" s="10" t="s">
        <v>3763</v>
      </c>
      <c r="G921" s="129">
        <v>45838</v>
      </c>
      <c r="H921" s="161" t="s">
        <v>5166</v>
      </c>
      <c r="I921" s="633"/>
      <c r="J921" s="648"/>
      <c r="K921" s="633"/>
      <c r="L921" s="522">
        <f t="shared" si="14"/>
        <v>0</v>
      </c>
      <c r="M921" s="160"/>
      <c r="N921" s="22"/>
      <c r="O921" s="22" t="s">
        <v>3759</v>
      </c>
    </row>
    <row r="922" spans="1:15">
      <c r="A922" s="10" t="s">
        <v>5400</v>
      </c>
      <c r="B922" s="34">
        <v>59221</v>
      </c>
      <c r="C922" s="10" t="s">
        <v>5401</v>
      </c>
      <c r="D922" s="11">
        <v>1</v>
      </c>
      <c r="E922" s="11" t="s">
        <v>3898</v>
      </c>
      <c r="F922" s="11" t="s">
        <v>3780</v>
      </c>
      <c r="G922" s="129">
        <v>45190</v>
      </c>
      <c r="H922" s="161" t="s">
        <v>4138</v>
      </c>
      <c r="I922" s="634"/>
      <c r="J922" s="634"/>
      <c r="K922" s="634"/>
      <c r="L922" s="522">
        <f t="shared" si="14"/>
        <v>0</v>
      </c>
      <c r="M922" s="141"/>
      <c r="N922" s="22"/>
      <c r="O922" s="22" t="s">
        <v>3759</v>
      </c>
    </row>
    <row r="923" spans="1:15" hidden="1">
      <c r="A923" s="608" t="s">
        <v>5653</v>
      </c>
      <c r="B923" s="609">
        <v>200</v>
      </c>
      <c r="C923" s="610" t="s">
        <v>5654</v>
      </c>
      <c r="D923" s="555">
        <v>0</v>
      </c>
      <c r="E923" s="612" t="s">
        <v>5173</v>
      </c>
      <c r="F923" s="612" t="s">
        <v>3750</v>
      </c>
      <c r="G923" s="611">
        <v>45721</v>
      </c>
      <c r="H923" s="613"/>
      <c r="I923" s="510"/>
      <c r="J923" s="666"/>
      <c r="K923" s="510"/>
      <c r="L923" s="510">
        <f t="shared" si="14"/>
        <v>0</v>
      </c>
      <c r="M923" s="510"/>
      <c r="N923" s="121" t="s">
        <v>3940</v>
      </c>
      <c r="O923" s="614" t="s">
        <v>3751</v>
      </c>
    </row>
    <row r="924" spans="1:15">
      <c r="A924" s="10" t="s">
        <v>5400</v>
      </c>
      <c r="B924" s="34" t="s">
        <v>5402</v>
      </c>
      <c r="C924" s="10" t="s">
        <v>5401</v>
      </c>
      <c r="D924" s="11">
        <v>1</v>
      </c>
      <c r="E924" s="11" t="s">
        <v>3898</v>
      </c>
      <c r="F924" s="11" t="s">
        <v>3763</v>
      </c>
      <c r="G924" s="129">
        <v>45209</v>
      </c>
      <c r="H924" s="161" t="s">
        <v>4138</v>
      </c>
      <c r="I924" s="634"/>
      <c r="J924" s="634"/>
      <c r="K924" s="634"/>
      <c r="L924" s="522">
        <f t="shared" si="14"/>
        <v>0</v>
      </c>
      <c r="M924" s="141"/>
      <c r="N924" s="22"/>
      <c r="O924" s="22" t="s">
        <v>3759</v>
      </c>
    </row>
    <row r="925" spans="1:15">
      <c r="A925" s="10" t="s">
        <v>5174</v>
      </c>
      <c r="B925" s="34">
        <v>531</v>
      </c>
      <c r="C925" s="10" t="s">
        <v>5175</v>
      </c>
      <c r="D925" s="11">
        <v>1</v>
      </c>
      <c r="E925" s="11" t="s">
        <v>5037</v>
      </c>
      <c r="F925" s="11" t="s">
        <v>3798</v>
      </c>
      <c r="G925" s="129">
        <v>44771</v>
      </c>
      <c r="H925" s="161" t="s">
        <v>3951</v>
      </c>
      <c r="I925" s="636"/>
      <c r="J925" s="638"/>
      <c r="K925" s="636"/>
      <c r="L925" s="522">
        <f t="shared" si="14"/>
        <v>0</v>
      </c>
      <c r="M925" s="140"/>
      <c r="N925" s="22"/>
      <c r="O925" s="22" t="s">
        <v>3759</v>
      </c>
    </row>
    <row r="926" spans="1:15">
      <c r="A926" s="10" t="s">
        <v>5174</v>
      </c>
      <c r="B926" s="34">
        <v>303</v>
      </c>
      <c r="C926" s="10" t="s">
        <v>5175</v>
      </c>
      <c r="D926" s="11">
        <v>1</v>
      </c>
      <c r="E926" s="11" t="s">
        <v>5183</v>
      </c>
      <c r="F926" s="11" t="s">
        <v>3798</v>
      </c>
      <c r="G926" s="129">
        <v>44740</v>
      </c>
      <c r="H926" s="161" t="s">
        <v>3951</v>
      </c>
      <c r="I926" s="636"/>
      <c r="J926" s="638"/>
      <c r="K926" s="636"/>
      <c r="L926" s="522">
        <f t="shared" si="14"/>
        <v>0</v>
      </c>
      <c r="M926" s="140"/>
      <c r="N926" s="22"/>
      <c r="O926" s="22" t="s">
        <v>3759</v>
      </c>
    </row>
    <row r="927" spans="1:15">
      <c r="A927" s="10" t="s">
        <v>5174</v>
      </c>
      <c r="B927" s="34">
        <v>311</v>
      </c>
      <c r="C927" s="10" t="s">
        <v>5175</v>
      </c>
      <c r="D927" s="11">
        <v>1</v>
      </c>
      <c r="E927" s="129" t="s">
        <v>5183</v>
      </c>
      <c r="F927" s="11" t="s">
        <v>3798</v>
      </c>
      <c r="G927" s="129">
        <v>44740</v>
      </c>
      <c r="H927" s="161" t="s">
        <v>3951</v>
      </c>
      <c r="I927" s="636"/>
      <c r="J927" s="638"/>
      <c r="K927" s="636"/>
      <c r="L927" s="522">
        <f t="shared" si="14"/>
        <v>0</v>
      </c>
      <c r="M927" s="140"/>
      <c r="N927" s="22"/>
      <c r="O927" s="22" t="s">
        <v>3759</v>
      </c>
    </row>
    <row r="928" spans="1:15">
      <c r="A928" s="96" t="s">
        <v>5403</v>
      </c>
      <c r="B928" s="131">
        <v>24579</v>
      </c>
      <c r="C928" s="17" t="s">
        <v>5293</v>
      </c>
      <c r="D928" s="15">
        <v>1</v>
      </c>
      <c r="E928" s="15" t="s">
        <v>3891</v>
      </c>
      <c r="F928" s="15" t="s">
        <v>3763</v>
      </c>
      <c r="G928" s="290">
        <v>45719</v>
      </c>
      <c r="H928" s="291" t="s">
        <v>3799</v>
      </c>
      <c r="I928" s="644"/>
      <c r="J928" s="376"/>
      <c r="K928" s="644"/>
      <c r="L928" s="522">
        <f t="shared" si="14"/>
        <v>0</v>
      </c>
      <c r="M928" s="292"/>
      <c r="N928" s="31"/>
      <c r="O928" s="31" t="s">
        <v>3759</v>
      </c>
    </row>
    <row r="929" spans="1:15">
      <c r="A929" s="10" t="s">
        <v>5404</v>
      </c>
      <c r="B929" s="34">
        <v>5911</v>
      </c>
      <c r="C929" s="10" t="s">
        <v>5405</v>
      </c>
      <c r="D929" s="11">
        <v>1</v>
      </c>
      <c r="E929" s="11" t="s">
        <v>5406</v>
      </c>
      <c r="F929" s="11" t="s">
        <v>3785</v>
      </c>
      <c r="G929" s="129">
        <v>42534</v>
      </c>
      <c r="H929" s="161" t="s">
        <v>5166</v>
      </c>
      <c r="I929" s="638"/>
      <c r="J929" s="638"/>
      <c r="K929" s="638"/>
      <c r="L929" s="522">
        <f t="shared" si="14"/>
        <v>0</v>
      </c>
      <c r="M929" s="142"/>
      <c r="N929" s="22"/>
      <c r="O929" s="22" t="s">
        <v>3759</v>
      </c>
    </row>
    <row r="930" spans="1:15" hidden="1">
      <c r="A930" s="579" t="s">
        <v>5438</v>
      </c>
      <c r="B930" s="558" t="s">
        <v>5662</v>
      </c>
      <c r="C930" s="260" t="s">
        <v>5439</v>
      </c>
      <c r="D930" s="555">
        <v>0</v>
      </c>
      <c r="E930" s="598" t="s">
        <v>4320</v>
      </c>
      <c r="F930" s="598" t="s">
        <v>3785</v>
      </c>
      <c r="G930" s="596">
        <v>45225</v>
      </c>
      <c r="H930" s="476" t="s">
        <v>3934</v>
      </c>
      <c r="I930" s="220">
        <v>1027</v>
      </c>
      <c r="J930" s="220"/>
      <c r="K930" s="220"/>
      <c r="L930" s="660">
        <f t="shared" si="14"/>
        <v>1027</v>
      </c>
      <c r="M930" s="220"/>
      <c r="N930" s="121" t="s">
        <v>3758</v>
      </c>
      <c r="O930" s="121" t="s">
        <v>3759</v>
      </c>
    </row>
    <row r="931" spans="1:15">
      <c r="A931" s="10" t="s">
        <v>5404</v>
      </c>
      <c r="B931" s="34">
        <v>6500</v>
      </c>
      <c r="C931" s="10" t="s">
        <v>5405</v>
      </c>
      <c r="D931" s="11">
        <v>1</v>
      </c>
      <c r="E931" s="11" t="s">
        <v>5406</v>
      </c>
      <c r="F931" s="129" t="s">
        <v>3785</v>
      </c>
      <c r="G931" s="129">
        <v>41988</v>
      </c>
      <c r="H931" s="161" t="s">
        <v>5166</v>
      </c>
      <c r="I931" s="638"/>
      <c r="J931" s="638"/>
      <c r="K931" s="638"/>
      <c r="L931" s="522">
        <f t="shared" si="14"/>
        <v>0</v>
      </c>
      <c r="M931" s="142"/>
      <c r="N931" s="22"/>
      <c r="O931" s="22" t="s">
        <v>3759</v>
      </c>
    </row>
    <row r="932" spans="1:15">
      <c r="A932" s="10" t="s">
        <v>5184</v>
      </c>
      <c r="B932" s="34">
        <v>23375</v>
      </c>
      <c r="C932" s="10" t="s">
        <v>4247</v>
      </c>
      <c r="D932" s="11">
        <v>1</v>
      </c>
      <c r="E932" s="11" t="s">
        <v>5188</v>
      </c>
      <c r="F932" s="11" t="s">
        <v>3763</v>
      </c>
      <c r="G932" s="129">
        <v>45698</v>
      </c>
      <c r="H932" s="161" t="s">
        <v>5410</v>
      </c>
      <c r="I932" s="633"/>
      <c r="J932" s="648"/>
      <c r="K932" s="633"/>
      <c r="L932" s="522">
        <f t="shared" si="14"/>
        <v>0</v>
      </c>
      <c r="M932" s="160"/>
      <c r="N932" s="22"/>
      <c r="O932" s="22" t="s">
        <v>3759</v>
      </c>
    </row>
    <row r="933" spans="1:15">
      <c r="A933" s="10" t="s">
        <v>5184</v>
      </c>
      <c r="B933" s="34">
        <v>24182</v>
      </c>
      <c r="C933" s="10" t="s">
        <v>4247</v>
      </c>
      <c r="D933" s="11">
        <v>1</v>
      </c>
      <c r="E933" s="11" t="s">
        <v>5188</v>
      </c>
      <c r="F933" s="11" t="s">
        <v>3763</v>
      </c>
      <c r="G933" s="129">
        <v>45698</v>
      </c>
      <c r="H933" s="161" t="s">
        <v>4543</v>
      </c>
      <c r="I933" s="633"/>
      <c r="J933" s="648"/>
      <c r="K933" s="633"/>
      <c r="L933" s="522">
        <f t="shared" si="14"/>
        <v>0</v>
      </c>
      <c r="M933" s="160"/>
      <c r="N933" s="22"/>
      <c r="O933" s="22" t="s">
        <v>3759</v>
      </c>
    </row>
    <row r="934" spans="1:15">
      <c r="A934" s="10" t="s">
        <v>5411</v>
      </c>
      <c r="B934" s="34" t="s">
        <v>5412</v>
      </c>
      <c r="C934" s="10" t="s">
        <v>5212</v>
      </c>
      <c r="D934" s="11">
        <v>1</v>
      </c>
      <c r="E934" s="11" t="s">
        <v>4391</v>
      </c>
      <c r="F934" s="11" t="s">
        <v>3780</v>
      </c>
      <c r="G934" s="129">
        <v>43556</v>
      </c>
      <c r="H934" s="161" t="s">
        <v>3834</v>
      </c>
      <c r="I934" s="636"/>
      <c r="J934" s="638"/>
      <c r="K934" s="636"/>
      <c r="L934" s="522">
        <f t="shared" si="14"/>
        <v>0</v>
      </c>
      <c r="M934" s="140"/>
      <c r="N934" s="22"/>
      <c r="O934" s="22" t="s">
        <v>3759</v>
      </c>
    </row>
    <row r="935" spans="1:15">
      <c r="A935" s="10" t="s">
        <v>5411</v>
      </c>
      <c r="B935" s="34" t="s">
        <v>5413</v>
      </c>
      <c r="C935" s="10" t="s">
        <v>5212</v>
      </c>
      <c r="D935" s="11">
        <v>1</v>
      </c>
      <c r="E935" s="11" t="s">
        <v>4437</v>
      </c>
      <c r="F935" s="11" t="s">
        <v>3763</v>
      </c>
      <c r="G935" s="129">
        <v>44713</v>
      </c>
      <c r="H935" s="161" t="s">
        <v>3834</v>
      </c>
      <c r="I935" s="636"/>
      <c r="J935" s="638"/>
      <c r="K935" s="636"/>
      <c r="L935" s="522">
        <f t="shared" si="14"/>
        <v>0</v>
      </c>
      <c r="M935" s="140"/>
      <c r="N935" s="12"/>
      <c r="O935" s="12" t="s">
        <v>3759</v>
      </c>
    </row>
    <row r="936" spans="1:15" hidden="1">
      <c r="A936" s="329" t="s">
        <v>5672</v>
      </c>
      <c r="B936" s="328">
        <v>871216</v>
      </c>
      <c r="C936" s="329" t="s">
        <v>5673</v>
      </c>
      <c r="D936" s="597">
        <v>0</v>
      </c>
      <c r="E936" s="597" t="s">
        <v>3815</v>
      </c>
      <c r="F936" s="597" t="s">
        <v>3785</v>
      </c>
      <c r="G936" s="599">
        <v>45789</v>
      </c>
      <c r="H936" s="566" t="s">
        <v>4159</v>
      </c>
      <c r="I936" s="504"/>
      <c r="J936" s="527"/>
      <c r="K936" s="504"/>
      <c r="L936" s="504">
        <f t="shared" si="14"/>
        <v>0</v>
      </c>
      <c r="M936" s="504"/>
      <c r="N936" s="107" t="s">
        <v>3758</v>
      </c>
      <c r="O936" s="40" t="s">
        <v>3759</v>
      </c>
    </row>
    <row r="937" spans="1:15" hidden="1">
      <c r="A937" s="44" t="s">
        <v>5672</v>
      </c>
      <c r="B937" s="550" t="s">
        <v>5674</v>
      </c>
      <c r="C937" s="44" t="s">
        <v>5673</v>
      </c>
      <c r="D937" s="134">
        <v>0</v>
      </c>
      <c r="E937" s="134" t="s">
        <v>3815</v>
      </c>
      <c r="F937" s="134" t="s">
        <v>3785</v>
      </c>
      <c r="G937" s="135">
        <v>45771</v>
      </c>
      <c r="H937" s="172" t="s">
        <v>3768</v>
      </c>
      <c r="I937" s="480"/>
      <c r="J937" s="524"/>
      <c r="K937" s="480"/>
      <c r="L937" s="480">
        <f t="shared" si="14"/>
        <v>0</v>
      </c>
      <c r="M937" s="480"/>
      <c r="N937" s="112" t="s">
        <v>3758</v>
      </c>
      <c r="O937" s="144" t="s">
        <v>3759</v>
      </c>
    </row>
    <row r="938" spans="1:15">
      <c r="A938" s="10" t="s">
        <v>5411</v>
      </c>
      <c r="B938" s="34">
        <v>1622</v>
      </c>
      <c r="C938" s="10" t="s">
        <v>5212</v>
      </c>
      <c r="D938" s="11">
        <v>1</v>
      </c>
      <c r="E938" s="11" t="s">
        <v>5213</v>
      </c>
      <c r="F938" s="11" t="s">
        <v>3780</v>
      </c>
      <c r="G938" s="129">
        <v>43556</v>
      </c>
      <c r="H938" s="161" t="s">
        <v>3834</v>
      </c>
      <c r="I938" s="636"/>
      <c r="J938" s="638"/>
      <c r="K938" s="636"/>
      <c r="L938" s="522">
        <f t="shared" si="14"/>
        <v>0</v>
      </c>
      <c r="M938" s="140"/>
      <c r="N938" s="12"/>
      <c r="O938" s="12" t="s">
        <v>3759</v>
      </c>
    </row>
    <row r="939" spans="1:15">
      <c r="A939" s="10" t="s">
        <v>5411</v>
      </c>
      <c r="B939" s="34" t="s">
        <v>5416</v>
      </c>
      <c r="C939" s="10" t="s">
        <v>5212</v>
      </c>
      <c r="D939" s="11">
        <v>1</v>
      </c>
      <c r="E939" s="11" t="s">
        <v>4530</v>
      </c>
      <c r="F939" s="11" t="s">
        <v>3780</v>
      </c>
      <c r="G939" s="129">
        <v>43556</v>
      </c>
      <c r="H939" s="161" t="s">
        <v>3834</v>
      </c>
      <c r="I939" s="636"/>
      <c r="J939" s="638"/>
      <c r="K939" s="636"/>
      <c r="L939" s="522">
        <f t="shared" si="14"/>
        <v>0</v>
      </c>
      <c r="M939" s="140"/>
      <c r="N939" s="12"/>
      <c r="O939" s="12" t="s">
        <v>3759</v>
      </c>
    </row>
    <row r="940" spans="1:15">
      <c r="A940" s="10" t="s">
        <v>5202</v>
      </c>
      <c r="B940" s="34">
        <v>745</v>
      </c>
      <c r="C940" s="10" t="s">
        <v>5203</v>
      </c>
      <c r="D940" s="11">
        <v>1</v>
      </c>
      <c r="E940" s="11" t="s">
        <v>4087</v>
      </c>
      <c r="F940" s="11" t="s">
        <v>3798</v>
      </c>
      <c r="G940" s="129">
        <v>44707</v>
      </c>
      <c r="H940" s="161" t="s">
        <v>4009</v>
      </c>
      <c r="I940" s="636"/>
      <c r="J940" s="638"/>
      <c r="K940" s="636"/>
      <c r="L940" s="522">
        <f t="shared" si="14"/>
        <v>0</v>
      </c>
      <c r="M940" s="140"/>
      <c r="N940" s="12"/>
      <c r="O940" s="12" t="s">
        <v>3759</v>
      </c>
    </row>
    <row r="941" spans="1:15">
      <c r="A941" s="10" t="s">
        <v>5417</v>
      </c>
      <c r="B941" s="34" t="s">
        <v>5418</v>
      </c>
      <c r="C941" s="10" t="s">
        <v>5419</v>
      </c>
      <c r="D941" s="11">
        <v>1</v>
      </c>
      <c r="E941" s="11" t="s">
        <v>5420</v>
      </c>
      <c r="F941" s="11" t="s">
        <v>3785</v>
      </c>
      <c r="G941" s="129">
        <v>39219</v>
      </c>
      <c r="H941" s="161" t="s">
        <v>3969</v>
      </c>
      <c r="I941" s="636"/>
      <c r="J941" s="638"/>
      <c r="K941" s="636"/>
      <c r="L941" s="522">
        <f t="shared" si="14"/>
        <v>0</v>
      </c>
      <c r="M941" s="140"/>
      <c r="N941" s="12"/>
      <c r="O941" s="12" t="s">
        <v>3759</v>
      </c>
    </row>
    <row r="942" spans="1:15">
      <c r="A942" s="10" t="s">
        <v>5706</v>
      </c>
      <c r="B942" s="34" t="s">
        <v>5707</v>
      </c>
      <c r="C942" s="10" t="s">
        <v>5708</v>
      </c>
      <c r="D942" s="11">
        <v>1</v>
      </c>
      <c r="E942" s="11" t="s">
        <v>3771</v>
      </c>
      <c r="F942" s="11" t="s">
        <v>3763</v>
      </c>
      <c r="G942" s="129">
        <v>45747</v>
      </c>
      <c r="H942" s="161" t="s">
        <v>5166</v>
      </c>
      <c r="I942" s="633"/>
      <c r="J942" s="648"/>
      <c r="K942" s="633"/>
      <c r="L942" s="522">
        <f t="shared" si="14"/>
        <v>0</v>
      </c>
      <c r="M942" s="160"/>
      <c r="N942" s="22"/>
      <c r="O942" s="22" t="s">
        <v>3759</v>
      </c>
    </row>
    <row r="943" spans="1:15">
      <c r="A943" s="10" t="s">
        <v>5214</v>
      </c>
      <c r="B943" s="115" t="s">
        <v>5421</v>
      </c>
      <c r="C943" s="10" t="s">
        <v>5216</v>
      </c>
      <c r="D943" s="11">
        <v>1</v>
      </c>
      <c r="E943" s="10" t="s">
        <v>4065</v>
      </c>
      <c r="F943" s="10" t="s">
        <v>3785</v>
      </c>
      <c r="G943" s="129">
        <v>45527</v>
      </c>
      <c r="H943" s="161" t="s">
        <v>3799</v>
      </c>
      <c r="I943" s="637"/>
      <c r="J943" s="649"/>
      <c r="K943" s="637"/>
      <c r="L943" s="522">
        <f t="shared" si="14"/>
        <v>0</v>
      </c>
      <c r="M943" s="146"/>
      <c r="N943" s="22"/>
      <c r="O943" s="22" t="s">
        <v>3759</v>
      </c>
    </row>
    <row r="944" spans="1:15">
      <c r="A944" s="10" t="s">
        <v>5219</v>
      </c>
      <c r="B944" s="115" t="s">
        <v>5422</v>
      </c>
      <c r="C944" s="10" t="s">
        <v>5216</v>
      </c>
      <c r="D944" s="11">
        <v>1</v>
      </c>
      <c r="E944" s="10" t="s">
        <v>4855</v>
      </c>
      <c r="F944" s="10" t="s">
        <v>3785</v>
      </c>
      <c r="G944" s="129">
        <v>45527</v>
      </c>
      <c r="H944" s="161" t="s">
        <v>3799</v>
      </c>
      <c r="I944" s="637"/>
      <c r="J944" s="649"/>
      <c r="K944" s="637"/>
      <c r="L944" s="522">
        <f t="shared" si="14"/>
        <v>0</v>
      </c>
      <c r="M944" s="146"/>
      <c r="N944" s="22"/>
      <c r="O944" s="22" t="s">
        <v>3759</v>
      </c>
    </row>
    <row r="945" spans="1:15">
      <c r="A945" s="10" t="s">
        <v>5434</v>
      </c>
      <c r="B945" s="34" t="s">
        <v>5435</v>
      </c>
      <c r="C945" s="10" t="s">
        <v>3775</v>
      </c>
      <c r="D945" s="11">
        <v>1</v>
      </c>
      <c r="E945" s="11" t="s">
        <v>3776</v>
      </c>
      <c r="F945" s="11" t="s">
        <v>3763</v>
      </c>
      <c r="G945" s="129">
        <v>42916</v>
      </c>
      <c r="H945" s="161" t="s">
        <v>3777</v>
      </c>
      <c r="I945" s="636"/>
      <c r="J945" s="638"/>
      <c r="K945" s="636"/>
      <c r="L945" s="522">
        <f t="shared" si="14"/>
        <v>0</v>
      </c>
      <c r="M945" s="140"/>
      <c r="N945" s="22"/>
      <c r="O945" s="22" t="s">
        <v>3759</v>
      </c>
    </row>
    <row r="946" spans="1:15" hidden="1">
      <c r="A946" s="329" t="s">
        <v>4869</v>
      </c>
      <c r="B946" s="328" t="s">
        <v>5683</v>
      </c>
      <c r="C946" s="329" t="s">
        <v>3809</v>
      </c>
      <c r="D946" s="555">
        <v>0</v>
      </c>
      <c r="E946" s="597" t="s">
        <v>3815</v>
      </c>
      <c r="F946" s="597" t="s">
        <v>3785</v>
      </c>
      <c r="G946" s="599">
        <v>45793</v>
      </c>
      <c r="H946" s="566" t="s">
        <v>3819</v>
      </c>
      <c r="I946" s="504"/>
      <c r="J946" s="527"/>
      <c r="K946" s="504"/>
      <c r="L946" s="504">
        <f t="shared" si="14"/>
        <v>0</v>
      </c>
      <c r="M946" s="504"/>
      <c r="N946" s="107" t="s">
        <v>3758</v>
      </c>
      <c r="O946" s="40" t="s">
        <v>3759</v>
      </c>
    </row>
    <row r="947" spans="1:15" hidden="1">
      <c r="A947" s="10" t="s">
        <v>4345</v>
      </c>
      <c r="B947" s="34" t="s">
        <v>4355</v>
      </c>
      <c r="C947" s="10" t="s">
        <v>207</v>
      </c>
      <c r="D947" s="111">
        <v>0</v>
      </c>
      <c r="E947" s="11" t="s">
        <v>3815</v>
      </c>
      <c r="F947" s="11" t="s">
        <v>3763</v>
      </c>
      <c r="G947" s="129">
        <v>45796</v>
      </c>
      <c r="H947" s="161" t="s">
        <v>3819</v>
      </c>
      <c r="I947" s="160"/>
      <c r="J947" s="471"/>
      <c r="K947" s="160"/>
      <c r="L947" s="160">
        <f t="shared" si="14"/>
        <v>0</v>
      </c>
      <c r="M947" s="160"/>
      <c r="N947" s="22" t="s">
        <v>3758</v>
      </c>
      <c r="O947" s="12" t="s">
        <v>3759</v>
      </c>
    </row>
    <row r="948" spans="1:15" hidden="1">
      <c r="A948" s="44" t="s">
        <v>5684</v>
      </c>
      <c r="B948" s="133" t="s">
        <v>5685</v>
      </c>
      <c r="C948" s="44" t="s">
        <v>3809</v>
      </c>
      <c r="D948" s="111">
        <v>0</v>
      </c>
      <c r="E948" s="134" t="s">
        <v>5686</v>
      </c>
      <c r="F948" s="134" t="s">
        <v>3785</v>
      </c>
      <c r="G948" s="135">
        <v>45793</v>
      </c>
      <c r="H948" s="172" t="s">
        <v>3819</v>
      </c>
      <c r="I948" s="480"/>
      <c r="J948" s="524"/>
      <c r="K948" s="480"/>
      <c r="L948" s="480">
        <f t="shared" si="14"/>
        <v>0</v>
      </c>
      <c r="M948" s="480"/>
      <c r="N948" s="112" t="s">
        <v>3940</v>
      </c>
      <c r="O948" s="144" t="s">
        <v>3759</v>
      </c>
    </row>
    <row r="949" spans="1:15">
      <c r="A949" s="10" t="s">
        <v>5440</v>
      </c>
      <c r="B949" s="34" t="s">
        <v>3748</v>
      </c>
      <c r="C949" s="10" t="s">
        <v>5234</v>
      </c>
      <c r="D949" s="11">
        <v>20</v>
      </c>
      <c r="E949" s="11" t="s">
        <v>4642</v>
      </c>
      <c r="F949" s="11" t="s">
        <v>3750</v>
      </c>
      <c r="G949" s="11"/>
      <c r="H949" s="161" t="s">
        <v>5441</v>
      </c>
      <c r="I949" s="637"/>
      <c r="J949" s="649"/>
      <c r="K949" s="637"/>
      <c r="L949" s="522">
        <f t="shared" si="14"/>
        <v>0</v>
      </c>
      <c r="M949" s="247"/>
      <c r="N949" s="22"/>
      <c r="O949" s="22" t="s">
        <v>3759</v>
      </c>
    </row>
    <row r="950" spans="1:15">
      <c r="A950" s="10" t="s">
        <v>5440</v>
      </c>
      <c r="B950" s="34" t="s">
        <v>3748</v>
      </c>
      <c r="C950" s="10" t="s">
        <v>5234</v>
      </c>
      <c r="D950" s="11">
        <v>10</v>
      </c>
      <c r="E950" s="11" t="s">
        <v>4848</v>
      </c>
      <c r="F950" s="11" t="s">
        <v>3750</v>
      </c>
      <c r="G950" s="11"/>
      <c r="H950" s="161" t="s">
        <v>5441</v>
      </c>
      <c r="I950" s="639"/>
      <c r="J950" s="648"/>
      <c r="K950" s="639"/>
      <c r="L950" s="522">
        <f t="shared" si="14"/>
        <v>0</v>
      </c>
      <c r="M950" s="138"/>
      <c r="N950" s="22"/>
      <c r="O950" s="22" t="s">
        <v>3759</v>
      </c>
    </row>
    <row r="951" spans="1:15">
      <c r="A951" s="10" t="s">
        <v>5456</v>
      </c>
      <c r="B951" s="34" t="s">
        <v>5457</v>
      </c>
      <c r="C951" s="10" t="s">
        <v>4095</v>
      </c>
      <c r="D951" s="11">
        <v>1</v>
      </c>
      <c r="E951" s="11" t="s">
        <v>5458</v>
      </c>
      <c r="F951" s="11" t="s">
        <v>3763</v>
      </c>
      <c r="G951" s="129">
        <v>44642</v>
      </c>
      <c r="H951" s="161" t="s">
        <v>3768</v>
      </c>
      <c r="I951" s="636"/>
      <c r="J951" s="638"/>
      <c r="K951" s="636"/>
      <c r="L951" s="522">
        <f t="shared" si="14"/>
        <v>0</v>
      </c>
      <c r="M951" s="140"/>
      <c r="N951" s="22"/>
      <c r="O951" s="22" t="s">
        <v>3759</v>
      </c>
    </row>
    <row r="952" spans="1:15">
      <c r="A952" s="10" t="s">
        <v>5461</v>
      </c>
      <c r="B952" s="34" t="s">
        <v>5462</v>
      </c>
      <c r="C952" s="10" t="s">
        <v>5463</v>
      </c>
      <c r="D952" s="11">
        <v>1</v>
      </c>
      <c r="E952" s="11" t="s">
        <v>5464</v>
      </c>
      <c r="F952" s="11" t="s">
        <v>3798</v>
      </c>
      <c r="G952" s="129">
        <v>45511</v>
      </c>
      <c r="H952" s="161" t="s">
        <v>7993</v>
      </c>
      <c r="I952" s="636"/>
      <c r="J952" s="638"/>
      <c r="K952" s="636"/>
      <c r="L952" s="522">
        <f t="shared" si="14"/>
        <v>0</v>
      </c>
      <c r="M952" s="140"/>
      <c r="N952" s="22"/>
      <c r="O952" s="22" t="s">
        <v>3759</v>
      </c>
    </row>
    <row r="953" spans="1:15">
      <c r="A953" s="10" t="s">
        <v>5461</v>
      </c>
      <c r="B953" s="34">
        <v>14674</v>
      </c>
      <c r="C953" s="10" t="s">
        <v>5463</v>
      </c>
      <c r="D953" s="11">
        <v>1</v>
      </c>
      <c r="E953" s="11" t="s">
        <v>5464</v>
      </c>
      <c r="F953" s="11" t="s">
        <v>3798</v>
      </c>
      <c r="G953" s="129">
        <v>45511</v>
      </c>
      <c r="H953" s="161" t="s">
        <v>7993</v>
      </c>
      <c r="I953" s="636"/>
      <c r="J953" s="638"/>
      <c r="K953" s="636"/>
      <c r="L953" s="522">
        <f t="shared" si="14"/>
        <v>0</v>
      </c>
      <c r="M953" s="140"/>
      <c r="N953" s="22"/>
      <c r="O953" s="22" t="s">
        <v>3759</v>
      </c>
    </row>
    <row r="954" spans="1:15">
      <c r="A954" s="10" t="s">
        <v>5461</v>
      </c>
      <c r="B954" s="34" t="s">
        <v>5469</v>
      </c>
      <c r="C954" s="10" t="s">
        <v>5463</v>
      </c>
      <c r="D954" s="11">
        <v>1</v>
      </c>
      <c r="E954" s="11" t="s">
        <v>5464</v>
      </c>
      <c r="F954" s="11" t="s">
        <v>3798</v>
      </c>
      <c r="G954" s="129">
        <v>45511</v>
      </c>
      <c r="H954" s="161" t="s">
        <v>7993</v>
      </c>
      <c r="I954" s="636"/>
      <c r="J954" s="638"/>
      <c r="K954" s="636"/>
      <c r="L954" s="522">
        <f t="shared" si="14"/>
        <v>0</v>
      </c>
      <c r="M954" s="140"/>
      <c r="N954" s="22"/>
      <c r="O954" s="22" t="s">
        <v>3759</v>
      </c>
    </row>
    <row r="955" spans="1:15" hidden="1">
      <c r="A955" s="617">
        <v>430988</v>
      </c>
      <c r="B955" s="617" t="s">
        <v>5699</v>
      </c>
      <c r="C955" s="617" t="s">
        <v>5700</v>
      </c>
      <c r="D955" s="555">
        <v>0</v>
      </c>
      <c r="E955" s="618" t="s">
        <v>5555</v>
      </c>
      <c r="F955" s="618" t="s">
        <v>3750</v>
      </c>
      <c r="G955" s="619">
        <v>45189</v>
      </c>
      <c r="H955" s="618" t="s">
        <v>5701</v>
      </c>
      <c r="I955" s="511"/>
      <c r="J955" s="665"/>
      <c r="K955" s="511"/>
      <c r="L955" s="511">
        <f t="shared" si="14"/>
        <v>0</v>
      </c>
      <c r="M955" s="511"/>
      <c r="N955" s="620" t="s">
        <v>3758</v>
      </c>
      <c r="O955" s="121" t="s">
        <v>3759</v>
      </c>
    </row>
    <row r="956" spans="1:15">
      <c r="A956" s="632" t="s">
        <v>5470</v>
      </c>
      <c r="B956" s="34" t="s">
        <v>5471</v>
      </c>
      <c r="C956" s="10" t="s">
        <v>4918</v>
      </c>
      <c r="D956" s="11">
        <v>1</v>
      </c>
      <c r="E956" s="129" t="s">
        <v>3950</v>
      </c>
      <c r="F956" s="11" t="s">
        <v>3798</v>
      </c>
      <c r="G956" s="129">
        <v>45212</v>
      </c>
      <c r="H956" s="161" t="s">
        <v>3951</v>
      </c>
      <c r="I956" s="633"/>
      <c r="J956" s="648"/>
      <c r="K956" s="633"/>
      <c r="L956" s="522">
        <f t="shared" si="14"/>
        <v>0</v>
      </c>
      <c r="M956" s="160"/>
      <c r="N956" s="22"/>
      <c r="O956" s="22" t="s">
        <v>3759</v>
      </c>
    </row>
    <row r="957" spans="1:15" hidden="1">
      <c r="A957" s="552" t="s">
        <v>5703</v>
      </c>
      <c r="B957" s="552" t="s">
        <v>5704</v>
      </c>
      <c r="C957" s="552" t="s">
        <v>5705</v>
      </c>
      <c r="D957" s="555">
        <v>0</v>
      </c>
      <c r="E957" s="598" t="s">
        <v>4130</v>
      </c>
      <c r="F957" s="598" t="s">
        <v>3763</v>
      </c>
      <c r="G957" s="596">
        <v>45777</v>
      </c>
      <c r="H957" s="476" t="s">
        <v>5166</v>
      </c>
      <c r="I957" s="245"/>
      <c r="J957" s="668"/>
      <c r="K957" s="245"/>
      <c r="L957" s="245">
        <f t="shared" si="14"/>
        <v>0</v>
      </c>
      <c r="M957" s="245"/>
      <c r="N957" s="121" t="s">
        <v>3758</v>
      </c>
      <c r="O957" s="121" t="s">
        <v>3759</v>
      </c>
    </row>
    <row r="958" spans="1:15">
      <c r="A958" s="10" t="s">
        <v>5472</v>
      </c>
      <c r="B958" s="34">
        <v>1219</v>
      </c>
      <c r="C958" s="10" t="s">
        <v>5473</v>
      </c>
      <c r="D958" s="11">
        <v>1</v>
      </c>
      <c r="E958" s="11" t="s">
        <v>3927</v>
      </c>
      <c r="F958" s="11" t="s">
        <v>3798</v>
      </c>
      <c r="G958" s="129">
        <v>40716</v>
      </c>
      <c r="H958" s="161" t="s">
        <v>5474</v>
      </c>
      <c r="I958" s="636"/>
      <c r="J958" s="638"/>
      <c r="K958" s="636"/>
      <c r="L958" s="522">
        <f t="shared" si="14"/>
        <v>0</v>
      </c>
      <c r="M958" s="140"/>
      <c r="N958" s="22"/>
      <c r="O958" s="22" t="s">
        <v>3759</v>
      </c>
    </row>
    <row r="959" spans="1:15">
      <c r="A959" s="10" t="s">
        <v>5475</v>
      </c>
      <c r="B959" s="34" t="s">
        <v>5476</v>
      </c>
      <c r="C959" s="10" t="s">
        <v>4709</v>
      </c>
      <c r="D959" s="11">
        <v>1</v>
      </c>
      <c r="E959" s="11" t="s">
        <v>5477</v>
      </c>
      <c r="F959" s="11" t="s">
        <v>3785</v>
      </c>
      <c r="G959" s="129">
        <v>38918</v>
      </c>
      <c r="H959" s="161" t="s">
        <v>3768</v>
      </c>
      <c r="I959" s="636"/>
      <c r="J959" s="638"/>
      <c r="K959" s="636"/>
      <c r="L959" s="522">
        <f t="shared" si="14"/>
        <v>0</v>
      </c>
      <c r="M959" s="470">
        <v>1750</v>
      </c>
      <c r="N959" s="22"/>
      <c r="O959" s="22" t="s">
        <v>3759</v>
      </c>
    </row>
    <row r="960" spans="1:15" hidden="1">
      <c r="A960" s="10" t="s">
        <v>5274</v>
      </c>
      <c r="B960" s="34" t="s">
        <v>5478</v>
      </c>
      <c r="C960" s="10" t="s">
        <v>5479</v>
      </c>
      <c r="D960" s="11">
        <v>0</v>
      </c>
      <c r="E960" s="11" t="s">
        <v>3981</v>
      </c>
      <c r="F960" s="11" t="s">
        <v>3763</v>
      </c>
      <c r="G960" s="129">
        <v>45764</v>
      </c>
      <c r="H960" s="161" t="s">
        <v>3799</v>
      </c>
      <c r="I960" s="633"/>
      <c r="J960" s="648"/>
      <c r="K960" s="633"/>
      <c r="L960" s="522">
        <f t="shared" si="14"/>
        <v>0</v>
      </c>
      <c r="M960" s="470">
        <v>11000</v>
      </c>
      <c r="N960" s="22" t="s">
        <v>3758</v>
      </c>
      <c r="O960" s="22" t="s">
        <v>3759</v>
      </c>
    </row>
    <row r="961" spans="1:15" hidden="1">
      <c r="A961" s="621" t="s">
        <v>4209</v>
      </c>
      <c r="B961" s="621" t="s">
        <v>5714</v>
      </c>
      <c r="C961" s="621" t="s">
        <v>5715</v>
      </c>
      <c r="D961" s="555">
        <v>0</v>
      </c>
      <c r="E961" s="599" t="s">
        <v>3927</v>
      </c>
      <c r="F961" s="597" t="s">
        <v>3798</v>
      </c>
      <c r="G961" s="599">
        <v>45812</v>
      </c>
      <c r="H961" s="566" t="s">
        <v>3951</v>
      </c>
      <c r="I961" s="504"/>
      <c r="J961" s="527"/>
      <c r="K961" s="504"/>
      <c r="L961" s="504">
        <f t="shared" si="14"/>
        <v>0</v>
      </c>
      <c r="M961" s="504"/>
      <c r="N961" s="107" t="s">
        <v>3758</v>
      </c>
      <c r="O961" s="107" t="s">
        <v>3759</v>
      </c>
    </row>
    <row r="962" spans="1:15" hidden="1">
      <c r="A962" s="10" t="s">
        <v>5716</v>
      </c>
      <c r="B962" s="34" t="s">
        <v>3748</v>
      </c>
      <c r="C962" s="10" t="s">
        <v>5717</v>
      </c>
      <c r="D962" s="111">
        <v>0</v>
      </c>
      <c r="E962" s="11" t="s">
        <v>4096</v>
      </c>
      <c r="F962" s="11" t="s">
        <v>3750</v>
      </c>
      <c r="G962" s="11"/>
      <c r="H962" s="161"/>
      <c r="I962" s="160"/>
      <c r="J962" s="471"/>
      <c r="K962" s="160"/>
      <c r="L962" s="160">
        <f t="shared" si="14"/>
        <v>0</v>
      </c>
      <c r="M962" s="160"/>
      <c r="N962" s="22" t="s">
        <v>5090</v>
      </c>
      <c r="O962" s="22"/>
    </row>
    <row r="963" spans="1:15" hidden="1">
      <c r="A963" s="10" t="s">
        <v>5718</v>
      </c>
      <c r="B963" s="34" t="s">
        <v>3748</v>
      </c>
      <c r="C963" s="10" t="s">
        <v>5717</v>
      </c>
      <c r="D963" s="111">
        <v>0</v>
      </c>
      <c r="E963" s="11" t="s">
        <v>4096</v>
      </c>
      <c r="F963" s="11" t="s">
        <v>3750</v>
      </c>
      <c r="G963" s="11"/>
      <c r="H963" s="161"/>
      <c r="I963" s="160"/>
      <c r="J963" s="471"/>
      <c r="K963" s="160"/>
      <c r="L963" s="160">
        <f t="shared" si="14"/>
        <v>0</v>
      </c>
      <c r="M963" s="160"/>
      <c r="N963" s="22" t="s">
        <v>5090</v>
      </c>
      <c r="O963" s="22"/>
    </row>
    <row r="964" spans="1:15" hidden="1">
      <c r="A964" s="10" t="s">
        <v>5719</v>
      </c>
      <c r="B964" s="34" t="s">
        <v>3748</v>
      </c>
      <c r="C964" s="10" t="s">
        <v>5720</v>
      </c>
      <c r="D964" s="111">
        <v>0</v>
      </c>
      <c r="E964" s="11" t="s">
        <v>4096</v>
      </c>
      <c r="F964" s="11" t="s">
        <v>3750</v>
      </c>
      <c r="G964" s="11"/>
      <c r="H964" s="161"/>
      <c r="I964" s="160"/>
      <c r="J964" s="471"/>
      <c r="K964" s="160"/>
      <c r="L964" s="160">
        <f t="shared" ref="L964:L1027" si="15">IF(OR(I964="", K964=""), I964 + K964, I964 + K964)</f>
        <v>0</v>
      </c>
      <c r="M964" s="160"/>
      <c r="N964" s="22" t="s">
        <v>5090</v>
      </c>
      <c r="O964" s="22"/>
    </row>
    <row r="965" spans="1:15" hidden="1">
      <c r="A965" s="44" t="s">
        <v>5721</v>
      </c>
      <c r="B965" s="133" t="s">
        <v>3748</v>
      </c>
      <c r="C965" s="44" t="s">
        <v>5722</v>
      </c>
      <c r="D965" s="111">
        <v>0</v>
      </c>
      <c r="E965" s="134" t="s">
        <v>4096</v>
      </c>
      <c r="F965" s="134" t="s">
        <v>3750</v>
      </c>
      <c r="G965" s="134"/>
      <c r="H965" s="172"/>
      <c r="I965" s="480"/>
      <c r="J965" s="524"/>
      <c r="K965" s="480"/>
      <c r="L965" s="480">
        <f t="shared" si="15"/>
        <v>0</v>
      </c>
      <c r="M965" s="480"/>
      <c r="N965" s="112" t="s">
        <v>5090</v>
      </c>
      <c r="O965" s="112"/>
    </row>
    <row r="966" spans="1:15">
      <c r="A966" s="10" t="s">
        <v>5485</v>
      </c>
      <c r="B966" s="34" t="s">
        <v>5489</v>
      </c>
      <c r="C966" s="10" t="s">
        <v>5487</v>
      </c>
      <c r="D966" s="11">
        <v>1</v>
      </c>
      <c r="E966" s="11" t="s">
        <v>5488</v>
      </c>
      <c r="F966" s="11" t="s">
        <v>3750</v>
      </c>
      <c r="G966" s="129">
        <v>44783</v>
      </c>
      <c r="H966" s="161" t="s">
        <v>3888</v>
      </c>
      <c r="I966" s="634"/>
      <c r="J966" s="634"/>
      <c r="K966" s="634"/>
      <c r="L966" s="522">
        <f t="shared" si="15"/>
        <v>0</v>
      </c>
      <c r="M966" s="141"/>
      <c r="N966" s="22"/>
      <c r="O966" s="22" t="s">
        <v>3759</v>
      </c>
    </row>
    <row r="967" spans="1:15">
      <c r="A967" s="323" t="s">
        <v>7678</v>
      </c>
      <c r="B967" s="323">
        <v>22618</v>
      </c>
      <c r="C967" s="323" t="s">
        <v>7679</v>
      </c>
      <c r="D967" s="11">
        <v>1</v>
      </c>
      <c r="E967" s="11" t="s">
        <v>3948</v>
      </c>
      <c r="F967" s="11" t="s">
        <v>3780</v>
      </c>
      <c r="G967" s="129">
        <v>45937</v>
      </c>
      <c r="H967" s="161" t="s">
        <v>8049</v>
      </c>
      <c r="I967" s="633"/>
      <c r="J967" s="648"/>
      <c r="K967" s="633"/>
      <c r="L967" s="522">
        <f t="shared" si="15"/>
        <v>0</v>
      </c>
      <c r="M967" s="160"/>
      <c r="N967" s="22"/>
      <c r="O967" s="22" t="s">
        <v>3759</v>
      </c>
    </row>
    <row r="968" spans="1:15">
      <c r="A968" s="10" t="s">
        <v>5494</v>
      </c>
      <c r="B968" s="34">
        <v>5143</v>
      </c>
      <c r="C968" s="10" t="s">
        <v>5495</v>
      </c>
      <c r="D968" s="11">
        <v>1</v>
      </c>
      <c r="E968" s="11" t="s">
        <v>5153</v>
      </c>
      <c r="F968" s="11" t="s">
        <v>3780</v>
      </c>
      <c r="G968" s="129">
        <v>45198</v>
      </c>
      <c r="H968" s="161" t="s">
        <v>5496</v>
      </c>
      <c r="I968" s="636"/>
      <c r="J968" s="638"/>
      <c r="K968" s="636"/>
      <c r="L968" s="522">
        <f t="shared" si="15"/>
        <v>0</v>
      </c>
      <c r="M968" s="140"/>
      <c r="N968" s="12"/>
      <c r="O968" s="12" t="s">
        <v>3759</v>
      </c>
    </row>
    <row r="969" spans="1:15">
      <c r="A969" s="10" t="s">
        <v>5497</v>
      </c>
      <c r="B969" s="34" t="s">
        <v>5498</v>
      </c>
      <c r="C969" s="10" t="s">
        <v>707</v>
      </c>
      <c r="D969" s="11">
        <v>1</v>
      </c>
      <c r="E969" s="11" t="s">
        <v>4020</v>
      </c>
      <c r="F969" s="11" t="s">
        <v>3763</v>
      </c>
      <c r="G969" s="129">
        <v>44783</v>
      </c>
      <c r="H969" s="161" t="s">
        <v>3768</v>
      </c>
      <c r="I969" s="636"/>
      <c r="J969" s="638"/>
      <c r="K969" s="636">
        <v>700</v>
      </c>
      <c r="L969" s="522">
        <f t="shared" si="15"/>
        <v>700</v>
      </c>
      <c r="M969" s="140">
        <v>1700</v>
      </c>
      <c r="N969" s="12"/>
      <c r="O969" s="12" t="s">
        <v>3759</v>
      </c>
    </row>
    <row r="970" spans="1:15">
      <c r="A970" s="10" t="s">
        <v>5502</v>
      </c>
      <c r="B970" s="34">
        <v>1942</v>
      </c>
      <c r="C970" s="10" t="s">
        <v>5503</v>
      </c>
      <c r="D970" s="11">
        <v>1</v>
      </c>
      <c r="E970" s="11" t="s">
        <v>4360</v>
      </c>
      <c r="F970" s="11" t="s">
        <v>3763</v>
      </c>
      <c r="G970" s="129">
        <v>45467</v>
      </c>
      <c r="H970" s="161" t="s">
        <v>3768</v>
      </c>
      <c r="I970" s="634"/>
      <c r="J970" s="634"/>
      <c r="K970" s="634"/>
      <c r="L970" s="522">
        <f t="shared" si="15"/>
        <v>0</v>
      </c>
      <c r="M970" s="141"/>
      <c r="N970" s="22"/>
      <c r="O970" s="22" t="s">
        <v>3759</v>
      </c>
    </row>
    <row r="971" spans="1:15">
      <c r="A971" s="10" t="s">
        <v>2498</v>
      </c>
      <c r="B971" s="34" t="s">
        <v>3748</v>
      </c>
      <c r="C971" s="10" t="s">
        <v>5504</v>
      </c>
      <c r="D971" s="11">
        <v>3</v>
      </c>
      <c r="E971" s="11" t="s">
        <v>5505</v>
      </c>
      <c r="F971" s="11" t="s">
        <v>3750</v>
      </c>
      <c r="G971" s="129">
        <v>44868</v>
      </c>
      <c r="H971" s="161" t="s">
        <v>4122</v>
      </c>
      <c r="I971" s="634"/>
      <c r="J971" s="634"/>
      <c r="K971" s="634"/>
      <c r="L971" s="522">
        <f t="shared" si="15"/>
        <v>0</v>
      </c>
      <c r="M971" s="141"/>
      <c r="N971" s="22"/>
      <c r="O971" s="22" t="s">
        <v>3759</v>
      </c>
    </row>
    <row r="972" spans="1:15">
      <c r="A972" s="10" t="s">
        <v>5509</v>
      </c>
      <c r="B972" s="34" t="s">
        <v>5510</v>
      </c>
      <c r="C972" s="10" t="s">
        <v>5511</v>
      </c>
      <c r="D972" s="11">
        <v>1</v>
      </c>
      <c r="E972" s="11" t="s">
        <v>5512</v>
      </c>
      <c r="F972" s="11" t="s">
        <v>3763</v>
      </c>
      <c r="G972" s="129">
        <v>44430</v>
      </c>
      <c r="H972" s="161" t="s">
        <v>3768</v>
      </c>
      <c r="I972" s="634"/>
      <c r="J972" s="634"/>
      <c r="K972" s="634"/>
      <c r="L972" s="522">
        <f t="shared" si="15"/>
        <v>0</v>
      </c>
      <c r="M972" s="141"/>
      <c r="N972" s="22"/>
      <c r="O972" s="22" t="s">
        <v>3759</v>
      </c>
    </row>
    <row r="973" spans="1:15">
      <c r="A973" s="10" t="s">
        <v>5509</v>
      </c>
      <c r="B973" s="34">
        <v>4755</v>
      </c>
      <c r="C973" s="10" t="s">
        <v>5511</v>
      </c>
      <c r="D973" s="11">
        <v>1</v>
      </c>
      <c r="E973" s="11" t="s">
        <v>4414</v>
      </c>
      <c r="F973" s="11" t="s">
        <v>3763</v>
      </c>
      <c r="G973" s="129">
        <v>45447</v>
      </c>
      <c r="H973" s="161" t="s">
        <v>4142</v>
      </c>
      <c r="I973" s="634"/>
      <c r="J973" s="634"/>
      <c r="K973" s="634"/>
      <c r="L973" s="522">
        <f t="shared" si="15"/>
        <v>0</v>
      </c>
      <c r="M973" s="141"/>
      <c r="N973" s="22"/>
      <c r="O973" s="22" t="s">
        <v>3759</v>
      </c>
    </row>
    <row r="974" spans="1:15">
      <c r="A974" s="10" t="s">
        <v>5514</v>
      </c>
      <c r="B974" s="34">
        <v>1721</v>
      </c>
      <c r="C974" s="10" t="s">
        <v>5515</v>
      </c>
      <c r="D974" s="11">
        <v>1</v>
      </c>
      <c r="E974" s="11" t="s">
        <v>4334</v>
      </c>
      <c r="F974" s="11" t="s">
        <v>3763</v>
      </c>
      <c r="G974" s="129">
        <v>44621</v>
      </c>
      <c r="H974" s="161" t="s">
        <v>5516</v>
      </c>
      <c r="I974" s="636"/>
      <c r="J974" s="638"/>
      <c r="K974" s="636"/>
      <c r="L974" s="522">
        <f t="shared" si="15"/>
        <v>0</v>
      </c>
      <c r="M974" s="140">
        <v>3000</v>
      </c>
      <c r="N974" s="12"/>
      <c r="O974" s="12" t="s">
        <v>3759</v>
      </c>
    </row>
    <row r="975" spans="1:15" hidden="1">
      <c r="A975" s="260" t="s">
        <v>5741</v>
      </c>
      <c r="B975" s="600" t="s">
        <v>5742</v>
      </c>
      <c r="C975" s="260" t="s">
        <v>5743</v>
      </c>
      <c r="D975" s="598">
        <v>0</v>
      </c>
      <c r="E975" s="260" t="s">
        <v>4809</v>
      </c>
      <c r="F975" s="260" t="s">
        <v>3785</v>
      </c>
      <c r="G975" s="596">
        <v>45728</v>
      </c>
      <c r="H975" s="476" t="s">
        <v>5166</v>
      </c>
      <c r="I975" s="245"/>
      <c r="J975" s="668"/>
      <c r="K975" s="245"/>
      <c r="L975" s="245">
        <f t="shared" si="15"/>
        <v>0</v>
      </c>
      <c r="M975" s="245"/>
      <c r="N975" s="121" t="s">
        <v>4041</v>
      </c>
      <c r="O975" s="121" t="s">
        <v>3759</v>
      </c>
    </row>
    <row r="976" spans="1:15">
      <c r="A976" s="162" t="s">
        <v>5517</v>
      </c>
      <c r="B976" s="164">
        <v>2460117</v>
      </c>
      <c r="C976" s="166" t="s">
        <v>5518</v>
      </c>
      <c r="D976" s="11">
        <v>1</v>
      </c>
      <c r="E976" s="10" t="s">
        <v>4540</v>
      </c>
      <c r="F976" s="10" t="s">
        <v>3763</v>
      </c>
      <c r="G976" s="129">
        <v>45686</v>
      </c>
      <c r="H976" s="161" t="s">
        <v>4159</v>
      </c>
      <c r="I976" s="633"/>
      <c r="J976" s="648"/>
      <c r="K976" s="633"/>
      <c r="L976" s="522">
        <f t="shared" si="15"/>
        <v>0</v>
      </c>
      <c r="M976" s="160"/>
      <c r="N976" s="22"/>
      <c r="O976" s="22" t="s">
        <v>3759</v>
      </c>
    </row>
    <row r="977" spans="1:15" hidden="1">
      <c r="A977" s="621" t="s">
        <v>4209</v>
      </c>
      <c r="B977" s="621" t="s">
        <v>5513</v>
      </c>
      <c r="C977" s="621" t="s">
        <v>5746</v>
      </c>
      <c r="D977" s="555">
        <v>0</v>
      </c>
      <c r="E977" s="260" t="s">
        <v>3927</v>
      </c>
      <c r="F977" s="260" t="s">
        <v>3763</v>
      </c>
      <c r="G977" s="596">
        <v>45832</v>
      </c>
      <c r="H977" s="476" t="s">
        <v>3951</v>
      </c>
      <c r="I977" s="245"/>
      <c r="J977" s="668"/>
      <c r="K977" s="245"/>
      <c r="L977" s="245">
        <f t="shared" si="15"/>
        <v>0</v>
      </c>
      <c r="M977" s="245"/>
      <c r="N977" s="121" t="s">
        <v>3758</v>
      </c>
      <c r="O977" s="121" t="s">
        <v>3759</v>
      </c>
    </row>
    <row r="978" spans="1:15">
      <c r="A978" s="10" t="s">
        <v>5684</v>
      </c>
      <c r="B978" s="34" t="s">
        <v>5691</v>
      </c>
      <c r="C978" s="10" t="s">
        <v>3809</v>
      </c>
      <c r="D978" s="11">
        <v>1</v>
      </c>
      <c r="E978" s="11" t="s">
        <v>5692</v>
      </c>
      <c r="F978" s="11" t="s">
        <v>3785</v>
      </c>
      <c r="G978" s="129">
        <v>45793</v>
      </c>
      <c r="H978" s="161" t="s">
        <v>7993</v>
      </c>
      <c r="I978" s="633"/>
      <c r="J978" s="648"/>
      <c r="K978" s="633"/>
      <c r="L978" s="522">
        <f t="shared" si="15"/>
        <v>0</v>
      </c>
      <c r="M978" s="160"/>
      <c r="N978" s="22"/>
      <c r="O978" s="12" t="s">
        <v>3759</v>
      </c>
    </row>
    <row r="979" spans="1:15">
      <c r="A979" s="10" t="s">
        <v>1686</v>
      </c>
      <c r="B979" s="115" t="s">
        <v>3748</v>
      </c>
      <c r="C979" s="10" t="s">
        <v>27</v>
      </c>
      <c r="D979" s="11">
        <v>10</v>
      </c>
      <c r="E979" s="10" t="s">
        <v>3784</v>
      </c>
      <c r="F979" s="10" t="s">
        <v>3780</v>
      </c>
      <c r="G979" s="129">
        <v>45635</v>
      </c>
      <c r="H979" s="161" t="s">
        <v>4585</v>
      </c>
      <c r="I979" s="633"/>
      <c r="J979" s="648"/>
      <c r="K979" s="633"/>
      <c r="L979" s="522">
        <f t="shared" si="15"/>
        <v>0</v>
      </c>
      <c r="M979" s="160"/>
      <c r="N979" s="22"/>
      <c r="O979" s="22" t="s">
        <v>3759</v>
      </c>
    </row>
    <row r="980" spans="1:15">
      <c r="A980" s="10" t="s">
        <v>5537</v>
      </c>
      <c r="B980" s="115" t="s">
        <v>3748</v>
      </c>
      <c r="C980" s="10" t="s">
        <v>5338</v>
      </c>
      <c r="D980" s="11">
        <v>100</v>
      </c>
      <c r="E980" s="10" t="s">
        <v>5339</v>
      </c>
      <c r="F980" s="10" t="s">
        <v>3750</v>
      </c>
      <c r="G980" s="11"/>
      <c r="H980" s="161" t="s">
        <v>5340</v>
      </c>
      <c r="I980" s="633"/>
      <c r="J980" s="648"/>
      <c r="K980" s="633"/>
      <c r="L980" s="522">
        <f t="shared" si="15"/>
        <v>0</v>
      </c>
      <c r="M980" s="160"/>
      <c r="N980" s="159" t="s">
        <v>5341</v>
      </c>
      <c r="O980" s="12" t="s">
        <v>3759</v>
      </c>
    </row>
    <row r="981" spans="1:15" hidden="1">
      <c r="A981" s="329" t="s">
        <v>5752</v>
      </c>
      <c r="B981" s="615">
        <v>20370533</v>
      </c>
      <c r="C981" s="329" t="s">
        <v>2986</v>
      </c>
      <c r="D981" s="555">
        <v>0</v>
      </c>
      <c r="E981" s="622" t="s">
        <v>5753</v>
      </c>
      <c r="F981" s="329" t="s">
        <v>3763</v>
      </c>
      <c r="G981" s="599">
        <v>45828</v>
      </c>
      <c r="H981" s="566" t="s">
        <v>3951</v>
      </c>
      <c r="I981" s="504"/>
      <c r="J981" s="527"/>
      <c r="K981" s="504"/>
      <c r="L981" s="504">
        <f t="shared" si="15"/>
        <v>0</v>
      </c>
      <c r="M981" s="504"/>
      <c r="N981" s="107" t="s">
        <v>5754</v>
      </c>
      <c r="O981" s="107" t="s">
        <v>3759</v>
      </c>
    </row>
    <row r="982" spans="1:15" hidden="1">
      <c r="A982" s="44" t="s">
        <v>5074</v>
      </c>
      <c r="B982" s="133">
        <v>2218</v>
      </c>
      <c r="C982" s="44" t="s">
        <v>5260</v>
      </c>
      <c r="D982" s="111">
        <v>0</v>
      </c>
      <c r="E982" s="44" t="s">
        <v>3860</v>
      </c>
      <c r="F982" s="44" t="s">
        <v>3785</v>
      </c>
      <c r="G982" s="135">
        <v>45784</v>
      </c>
      <c r="H982" s="172" t="s">
        <v>3819</v>
      </c>
      <c r="I982" s="480"/>
      <c r="J982" s="524"/>
      <c r="K982" s="480"/>
      <c r="L982" s="480">
        <f t="shared" si="15"/>
        <v>0</v>
      </c>
      <c r="M982" s="480"/>
      <c r="N982" s="112" t="s">
        <v>3758</v>
      </c>
      <c r="O982" s="112" t="s">
        <v>3759</v>
      </c>
    </row>
    <row r="983" spans="1:15" hidden="1">
      <c r="A983" s="10" t="s">
        <v>5538</v>
      </c>
      <c r="B983" s="34" t="s">
        <v>5539</v>
      </c>
      <c r="C983" s="10" t="s">
        <v>1423</v>
      </c>
      <c r="D983" s="11">
        <v>0</v>
      </c>
      <c r="E983" s="11" t="s">
        <v>5540</v>
      </c>
      <c r="F983" s="11" t="s">
        <v>3785</v>
      </c>
      <c r="G983" s="129">
        <v>45366</v>
      </c>
      <c r="H983" s="161" t="s">
        <v>3834</v>
      </c>
      <c r="I983" s="634"/>
      <c r="J983" s="634"/>
      <c r="K983" s="634"/>
      <c r="L983" s="522">
        <f t="shared" si="15"/>
        <v>0</v>
      </c>
      <c r="M983" s="141"/>
      <c r="N983" s="22" t="s">
        <v>4041</v>
      </c>
      <c r="O983" s="22" t="s">
        <v>3759</v>
      </c>
    </row>
    <row r="984" spans="1:15" hidden="1">
      <c r="A984" s="10" t="s">
        <v>5538</v>
      </c>
      <c r="B984" s="34" t="s">
        <v>5712</v>
      </c>
      <c r="C984" s="10" t="s">
        <v>5713</v>
      </c>
      <c r="D984" s="11">
        <v>0</v>
      </c>
      <c r="E984" s="11" t="s">
        <v>4752</v>
      </c>
      <c r="F984" s="11" t="s">
        <v>3763</v>
      </c>
      <c r="G984" s="129">
        <v>45765</v>
      </c>
      <c r="H984" s="161" t="s">
        <v>5166</v>
      </c>
      <c r="I984" s="633"/>
      <c r="J984" s="648"/>
      <c r="K984" s="633"/>
      <c r="L984" s="522">
        <f t="shared" si="15"/>
        <v>0</v>
      </c>
      <c r="M984" s="160"/>
      <c r="N984" s="22" t="s">
        <v>4041</v>
      </c>
      <c r="O984" s="22" t="s">
        <v>3759</v>
      </c>
    </row>
    <row r="985" spans="1:15">
      <c r="A985" s="10" t="s">
        <v>5545</v>
      </c>
      <c r="B985" s="34">
        <v>6197</v>
      </c>
      <c r="C985" s="10" t="s">
        <v>5546</v>
      </c>
      <c r="D985" s="11">
        <v>1</v>
      </c>
      <c r="E985" s="11" t="s">
        <v>5547</v>
      </c>
      <c r="F985" s="11" t="s">
        <v>3798</v>
      </c>
      <c r="G985" s="129">
        <v>44032</v>
      </c>
      <c r="H985" s="161" t="s">
        <v>5548</v>
      </c>
      <c r="I985" s="636"/>
      <c r="J985" s="638"/>
      <c r="K985" s="636"/>
      <c r="L985" s="522">
        <f t="shared" si="15"/>
        <v>0</v>
      </c>
      <c r="M985" s="140"/>
      <c r="N985" s="12"/>
      <c r="O985" s="12" t="s">
        <v>3759</v>
      </c>
    </row>
    <row r="986" spans="1:15">
      <c r="A986" s="10" t="s">
        <v>5343</v>
      </c>
      <c r="B986" s="34">
        <v>11785</v>
      </c>
      <c r="C986" s="10" t="s">
        <v>5344</v>
      </c>
      <c r="D986" s="11">
        <v>1</v>
      </c>
      <c r="E986" s="11" t="s">
        <v>4937</v>
      </c>
      <c r="F986" s="11" t="s">
        <v>3763</v>
      </c>
      <c r="G986" s="129">
        <v>44732</v>
      </c>
      <c r="H986" s="161" t="s">
        <v>3768</v>
      </c>
      <c r="I986" s="636"/>
      <c r="J986" s="638"/>
      <c r="K986" s="636"/>
      <c r="L986" s="522">
        <f t="shared" si="15"/>
        <v>0</v>
      </c>
      <c r="M986" s="140"/>
      <c r="N986" s="22"/>
      <c r="O986" s="22" t="s">
        <v>3759</v>
      </c>
    </row>
    <row r="987" spans="1:15">
      <c r="A987" s="10" t="s">
        <v>5549</v>
      </c>
      <c r="B987" s="34">
        <v>104</v>
      </c>
      <c r="C987" s="10" t="s">
        <v>5550</v>
      </c>
      <c r="D987" s="11">
        <v>1</v>
      </c>
      <c r="E987" s="11" t="s">
        <v>3927</v>
      </c>
      <c r="F987" s="11" t="s">
        <v>3763</v>
      </c>
      <c r="G987" s="129">
        <v>44529</v>
      </c>
      <c r="H987" s="161" t="s">
        <v>4285</v>
      </c>
      <c r="I987" s="636"/>
      <c r="J987" s="638"/>
      <c r="K987" s="636"/>
      <c r="L987" s="522">
        <f t="shared" si="15"/>
        <v>0</v>
      </c>
      <c r="M987" s="140"/>
      <c r="N987" s="22"/>
      <c r="O987" s="22" t="s">
        <v>3759</v>
      </c>
    </row>
    <row r="988" spans="1:15">
      <c r="A988" s="10" t="s">
        <v>5551</v>
      </c>
      <c r="B988" s="34">
        <v>587</v>
      </c>
      <c r="C988" s="10" t="s">
        <v>5552</v>
      </c>
      <c r="D988" s="11">
        <v>1</v>
      </c>
      <c r="E988" s="10" t="s">
        <v>4384</v>
      </c>
      <c r="F988" s="11" t="s">
        <v>3763</v>
      </c>
      <c r="G988" s="129">
        <v>44761</v>
      </c>
      <c r="H988" s="161" t="s">
        <v>3934</v>
      </c>
      <c r="I988" s="636"/>
      <c r="J988" s="638"/>
      <c r="K988" s="636"/>
      <c r="L988" s="522">
        <f t="shared" si="15"/>
        <v>0</v>
      </c>
      <c r="M988" s="140"/>
      <c r="N988" s="22"/>
      <c r="O988" s="22" t="s">
        <v>3759</v>
      </c>
    </row>
    <row r="989" spans="1:15">
      <c r="A989" s="10" t="s">
        <v>5556</v>
      </c>
      <c r="B989" s="34" t="s">
        <v>5557</v>
      </c>
      <c r="C989" s="10" t="s">
        <v>707</v>
      </c>
      <c r="D989" s="11">
        <v>1</v>
      </c>
      <c r="E989" s="11" t="s">
        <v>5558</v>
      </c>
      <c r="F989" s="11" t="s">
        <v>3763</v>
      </c>
      <c r="G989" s="129">
        <v>45323</v>
      </c>
      <c r="H989" s="161" t="s">
        <v>3768</v>
      </c>
      <c r="I989" s="634"/>
      <c r="J989" s="634"/>
      <c r="K989" s="634"/>
      <c r="L989" s="522">
        <f t="shared" si="15"/>
        <v>0</v>
      </c>
      <c r="M989" s="141"/>
      <c r="N989" s="22"/>
      <c r="O989" s="22" t="s">
        <v>3759</v>
      </c>
    </row>
    <row r="990" spans="1:15">
      <c r="A990" s="10" t="s">
        <v>5560</v>
      </c>
      <c r="B990" s="34" t="s">
        <v>5561</v>
      </c>
      <c r="C990" s="10" t="s">
        <v>707</v>
      </c>
      <c r="D990" s="11">
        <v>1</v>
      </c>
      <c r="E990" s="11" t="s">
        <v>5558</v>
      </c>
      <c r="F990" s="10" t="s">
        <v>3763</v>
      </c>
      <c r="G990" s="129">
        <v>45257</v>
      </c>
      <c r="H990" s="161" t="s">
        <v>3834</v>
      </c>
      <c r="I990" s="634"/>
      <c r="J990" s="634"/>
      <c r="K990" s="634"/>
      <c r="L990" s="522">
        <f t="shared" si="15"/>
        <v>0</v>
      </c>
      <c r="M990" s="141">
        <v>1300</v>
      </c>
      <c r="N990" s="22"/>
      <c r="O990" s="22" t="s">
        <v>3759</v>
      </c>
    </row>
    <row r="991" spans="1:15">
      <c r="A991" s="10" t="s">
        <v>5560</v>
      </c>
      <c r="B991" s="34" t="s">
        <v>5562</v>
      </c>
      <c r="C991" s="10" t="s">
        <v>707</v>
      </c>
      <c r="D991" s="11">
        <v>1</v>
      </c>
      <c r="E991" s="11" t="s">
        <v>5558</v>
      </c>
      <c r="F991" s="10" t="s">
        <v>3785</v>
      </c>
      <c r="G991" s="129">
        <v>45257</v>
      </c>
      <c r="H991" s="161" t="s">
        <v>3834</v>
      </c>
      <c r="I991" s="634"/>
      <c r="J991" s="634"/>
      <c r="K991" s="634"/>
      <c r="L991" s="522">
        <f t="shared" si="15"/>
        <v>0</v>
      </c>
      <c r="M991" s="141">
        <v>1300</v>
      </c>
      <c r="N991" s="22"/>
      <c r="O991" s="22" t="s">
        <v>3759</v>
      </c>
    </row>
    <row r="992" spans="1:15">
      <c r="A992" s="10" t="s">
        <v>5786</v>
      </c>
      <c r="B992" s="115" t="s">
        <v>5787</v>
      </c>
      <c r="C992" s="10" t="s">
        <v>5306</v>
      </c>
      <c r="D992" s="11">
        <v>1</v>
      </c>
      <c r="E992" s="10" t="s">
        <v>4229</v>
      </c>
      <c r="F992" s="10" t="s">
        <v>3785</v>
      </c>
      <c r="G992" s="129">
        <v>45859</v>
      </c>
      <c r="H992" s="161" t="s">
        <v>5788</v>
      </c>
      <c r="I992" s="633"/>
      <c r="J992" s="648"/>
      <c r="K992" s="633">
        <v>3550</v>
      </c>
      <c r="L992" s="522">
        <f t="shared" si="15"/>
        <v>3550</v>
      </c>
      <c r="M992" s="160"/>
      <c r="N992" s="22"/>
      <c r="O992" s="22" t="s">
        <v>3759</v>
      </c>
    </row>
    <row r="993" spans="1:15">
      <c r="A993" s="323" t="s">
        <v>5693</v>
      </c>
      <c r="B993" s="323" t="s">
        <v>5694</v>
      </c>
      <c r="C993" s="323" t="s">
        <v>707</v>
      </c>
      <c r="D993" s="11">
        <v>1</v>
      </c>
      <c r="E993" s="11" t="s">
        <v>4145</v>
      </c>
      <c r="F993" s="11" t="s">
        <v>3785</v>
      </c>
      <c r="G993" s="129">
        <v>45798</v>
      </c>
      <c r="H993" s="161" t="s">
        <v>5695</v>
      </c>
      <c r="I993" s="633"/>
      <c r="J993" s="648"/>
      <c r="K993" s="633"/>
      <c r="L993" s="522">
        <f t="shared" si="15"/>
        <v>0</v>
      </c>
      <c r="M993" s="160"/>
      <c r="N993" s="22"/>
      <c r="O993" s="22" t="s">
        <v>3759</v>
      </c>
    </row>
    <row r="994" spans="1:15">
      <c r="A994" s="10" t="s">
        <v>5356</v>
      </c>
      <c r="B994" s="34">
        <v>110726</v>
      </c>
      <c r="C994" s="10" t="s">
        <v>5572</v>
      </c>
      <c r="D994" s="11">
        <v>1</v>
      </c>
      <c r="E994" s="10" t="s">
        <v>5358</v>
      </c>
      <c r="F994" s="10" t="s">
        <v>3750</v>
      </c>
      <c r="G994" s="129">
        <v>45551</v>
      </c>
      <c r="H994" s="161" t="s">
        <v>5573</v>
      </c>
      <c r="I994" s="637"/>
      <c r="J994" s="649"/>
      <c r="K994" s="637"/>
      <c r="L994" s="522">
        <f t="shared" si="15"/>
        <v>0</v>
      </c>
      <c r="M994" s="146"/>
      <c r="N994" s="22"/>
      <c r="O994" s="22" t="s">
        <v>3759</v>
      </c>
    </row>
    <row r="995" spans="1:15">
      <c r="A995" s="10" t="s">
        <v>5574</v>
      </c>
      <c r="B995" s="34" t="s">
        <v>5575</v>
      </c>
      <c r="C995" s="10" t="s">
        <v>707</v>
      </c>
      <c r="D995" s="11">
        <v>1</v>
      </c>
      <c r="E995" s="11" t="s">
        <v>5576</v>
      </c>
      <c r="F995" s="11" t="s">
        <v>3763</v>
      </c>
      <c r="G995" s="129">
        <v>44393</v>
      </c>
      <c r="H995" s="161" t="s">
        <v>3768</v>
      </c>
      <c r="I995" s="636"/>
      <c r="J995" s="638"/>
      <c r="K995" s="636"/>
      <c r="L995" s="522">
        <f t="shared" si="15"/>
        <v>0</v>
      </c>
      <c r="M995" s="140"/>
      <c r="N995" s="12"/>
      <c r="O995" s="12" t="s">
        <v>3759</v>
      </c>
    </row>
    <row r="996" spans="1:15">
      <c r="A996" s="10" t="s">
        <v>5574</v>
      </c>
      <c r="B996" s="34" t="s">
        <v>5579</v>
      </c>
      <c r="C996" s="10" t="s">
        <v>707</v>
      </c>
      <c r="D996" s="11">
        <v>1</v>
      </c>
      <c r="E996" s="11" t="s">
        <v>5576</v>
      </c>
      <c r="F996" s="11" t="s">
        <v>3763</v>
      </c>
      <c r="G996" s="129">
        <v>44393</v>
      </c>
      <c r="H996" s="161" t="s">
        <v>3768</v>
      </c>
      <c r="I996" s="636"/>
      <c r="J996" s="638"/>
      <c r="K996" s="636"/>
      <c r="L996" s="522">
        <f t="shared" si="15"/>
        <v>0</v>
      </c>
      <c r="M996" s="140"/>
      <c r="N996" s="12"/>
      <c r="O996" s="12" t="s">
        <v>3759</v>
      </c>
    </row>
    <row r="997" spans="1:15">
      <c r="A997" s="10" t="s">
        <v>5574</v>
      </c>
      <c r="B997" s="34" t="s">
        <v>5580</v>
      </c>
      <c r="C997" s="10" t="s">
        <v>707</v>
      </c>
      <c r="D997" s="11">
        <v>1</v>
      </c>
      <c r="E997" s="11" t="s">
        <v>5581</v>
      </c>
      <c r="F997" s="11" t="s">
        <v>3763</v>
      </c>
      <c r="G997" s="129">
        <v>44393</v>
      </c>
      <c r="H997" s="161" t="s">
        <v>3768</v>
      </c>
      <c r="I997" s="637"/>
      <c r="J997" s="649"/>
      <c r="K997" s="637"/>
      <c r="L997" s="522">
        <f t="shared" si="15"/>
        <v>0</v>
      </c>
      <c r="M997" s="146"/>
      <c r="N997" s="12"/>
      <c r="O997" s="12" t="s">
        <v>3759</v>
      </c>
    </row>
    <row r="998" spans="1:15">
      <c r="A998" s="10" t="s">
        <v>5374</v>
      </c>
      <c r="B998" s="34">
        <v>5470</v>
      </c>
      <c r="C998" s="10" t="s">
        <v>5375</v>
      </c>
      <c r="D998" s="11">
        <v>1</v>
      </c>
      <c r="E998" s="10" t="s">
        <v>4900</v>
      </c>
      <c r="F998" s="11" t="s">
        <v>3763</v>
      </c>
      <c r="G998" s="129">
        <v>45541</v>
      </c>
      <c r="H998" s="161" t="s">
        <v>3934</v>
      </c>
      <c r="I998" s="639"/>
      <c r="J998" s="648"/>
      <c r="K998" s="639"/>
      <c r="L998" s="522">
        <f t="shared" si="15"/>
        <v>0</v>
      </c>
      <c r="M998" s="138"/>
      <c r="N998" s="22"/>
      <c r="O998" s="22" t="s">
        <v>3759</v>
      </c>
    </row>
    <row r="999" spans="1:15">
      <c r="A999" s="10" t="s">
        <v>5582</v>
      </c>
      <c r="B999" s="34">
        <v>278</v>
      </c>
      <c r="C999" s="10" t="s">
        <v>5375</v>
      </c>
      <c r="D999" s="11">
        <v>1</v>
      </c>
      <c r="E999" s="10" t="s">
        <v>3933</v>
      </c>
      <c r="F999" s="11" t="s">
        <v>3763</v>
      </c>
      <c r="G999" s="129">
        <v>45541</v>
      </c>
      <c r="H999" s="161" t="s">
        <v>3934</v>
      </c>
      <c r="I999" s="639"/>
      <c r="J999" s="648"/>
      <c r="K999" s="639"/>
      <c r="L999" s="522">
        <f t="shared" si="15"/>
        <v>0</v>
      </c>
      <c r="M999" s="138"/>
      <c r="N999" s="22"/>
      <c r="O999" s="22" t="s">
        <v>3759</v>
      </c>
    </row>
    <row r="1000" spans="1:15">
      <c r="A1000" s="10" t="s">
        <v>5583</v>
      </c>
      <c r="B1000" s="34">
        <v>4772</v>
      </c>
      <c r="C1000" s="10" t="s">
        <v>5584</v>
      </c>
      <c r="D1000" s="11">
        <v>1</v>
      </c>
      <c r="E1000" s="11" t="s">
        <v>4703</v>
      </c>
      <c r="F1000" s="11" t="s">
        <v>3763</v>
      </c>
      <c r="G1000" s="129">
        <v>45768</v>
      </c>
      <c r="H1000" s="161" t="s">
        <v>3799</v>
      </c>
      <c r="I1000" s="633"/>
      <c r="J1000" s="648"/>
      <c r="K1000" s="633"/>
      <c r="L1000" s="522">
        <f t="shared" si="15"/>
        <v>0</v>
      </c>
      <c r="M1000" s="160"/>
      <c r="N1000" s="22"/>
      <c r="O1000" s="22" t="s">
        <v>3759</v>
      </c>
    </row>
    <row r="1001" spans="1:15">
      <c r="A1001" s="10" t="s">
        <v>5381</v>
      </c>
      <c r="B1001" s="11">
        <v>2513</v>
      </c>
      <c r="C1001" s="17" t="s">
        <v>2178</v>
      </c>
      <c r="D1001" s="11">
        <v>1</v>
      </c>
      <c r="E1001" s="11" t="s">
        <v>4377</v>
      </c>
      <c r="F1001" s="11" t="s">
        <v>3763</v>
      </c>
      <c r="G1001" s="129">
        <v>45784</v>
      </c>
      <c r="H1001" s="161" t="s">
        <v>3799</v>
      </c>
      <c r="I1001" s="633"/>
      <c r="J1001" s="648"/>
      <c r="K1001" s="633"/>
      <c r="L1001" s="522">
        <f t="shared" si="15"/>
        <v>0</v>
      </c>
      <c r="M1001" s="160"/>
      <c r="N1001" s="22"/>
      <c r="O1001" s="22" t="s">
        <v>3759</v>
      </c>
    </row>
    <row r="1002" spans="1:15" hidden="1">
      <c r="A1002" s="260" t="s">
        <v>4869</v>
      </c>
      <c r="B1002" s="595" t="s">
        <v>5777</v>
      </c>
      <c r="C1002" s="260" t="s">
        <v>5467</v>
      </c>
      <c r="D1002" s="555">
        <v>0</v>
      </c>
      <c r="E1002" s="596" t="s">
        <v>3831</v>
      </c>
      <c r="F1002" s="598" t="s">
        <v>3785</v>
      </c>
      <c r="G1002" s="596">
        <v>45870</v>
      </c>
      <c r="H1002" s="476" t="s">
        <v>3819</v>
      </c>
      <c r="I1002" s="245"/>
      <c r="J1002" s="668"/>
      <c r="K1002" s="245"/>
      <c r="L1002" s="245">
        <f t="shared" si="15"/>
        <v>0</v>
      </c>
      <c r="M1002" s="245"/>
      <c r="N1002" s="121" t="s">
        <v>4041</v>
      </c>
      <c r="O1002" s="121" t="s">
        <v>3759</v>
      </c>
    </row>
    <row r="1003" spans="1:15">
      <c r="A1003" s="10" t="s">
        <v>5588</v>
      </c>
      <c r="B1003" s="34">
        <v>11663</v>
      </c>
      <c r="C1003" s="10" t="s">
        <v>5589</v>
      </c>
      <c r="D1003" s="11">
        <v>1</v>
      </c>
      <c r="E1003" s="10" t="s">
        <v>4913</v>
      </c>
      <c r="F1003" s="11" t="s">
        <v>3785</v>
      </c>
      <c r="G1003" s="129">
        <v>45464</v>
      </c>
      <c r="H1003" s="161" t="s">
        <v>5590</v>
      </c>
      <c r="I1003" s="636"/>
      <c r="J1003" s="638"/>
      <c r="K1003" s="636"/>
      <c r="L1003" s="522">
        <f t="shared" si="15"/>
        <v>0</v>
      </c>
      <c r="M1003" s="140"/>
      <c r="N1003" s="12"/>
      <c r="O1003" s="22" t="s">
        <v>3759</v>
      </c>
    </row>
    <row r="1004" spans="1:15" hidden="1">
      <c r="A1004" s="260" t="s">
        <v>5385</v>
      </c>
      <c r="B1004" s="595">
        <v>5281</v>
      </c>
      <c r="C1004" s="260" t="s">
        <v>5778</v>
      </c>
      <c r="D1004" s="555">
        <v>0</v>
      </c>
      <c r="E1004" s="598" t="s">
        <v>5183</v>
      </c>
      <c r="F1004" s="598" t="s">
        <v>3763</v>
      </c>
      <c r="G1004" s="596">
        <v>45872</v>
      </c>
      <c r="H1004" s="476" t="s">
        <v>5399</v>
      </c>
      <c r="I1004" s="245"/>
      <c r="J1004" s="668"/>
      <c r="K1004" s="245"/>
      <c r="L1004" s="245">
        <f t="shared" si="15"/>
        <v>0</v>
      </c>
      <c r="M1004" s="245"/>
      <c r="N1004" s="121" t="s">
        <v>4041</v>
      </c>
      <c r="O1004" s="121" t="s">
        <v>3759</v>
      </c>
    </row>
    <row r="1005" spans="1:15">
      <c r="A1005" s="10" t="s">
        <v>5791</v>
      </c>
      <c r="B1005" s="115" t="s">
        <v>5792</v>
      </c>
      <c r="C1005" s="10" t="s">
        <v>5793</v>
      </c>
      <c r="D1005" s="11">
        <v>2</v>
      </c>
      <c r="E1005" s="10" t="s">
        <v>4468</v>
      </c>
      <c r="F1005" s="10" t="s">
        <v>3785</v>
      </c>
      <c r="G1005" s="129">
        <v>44916</v>
      </c>
      <c r="H1005" s="161" t="s">
        <v>5794</v>
      </c>
      <c r="I1005" s="633"/>
      <c r="J1005" s="648"/>
      <c r="K1005" s="633"/>
      <c r="L1005" s="522">
        <f t="shared" si="15"/>
        <v>0</v>
      </c>
      <c r="M1005" s="160"/>
      <c r="N1005" s="22"/>
      <c r="O1005" s="22" t="s">
        <v>3759</v>
      </c>
    </row>
    <row r="1006" spans="1:15">
      <c r="A1006" s="10" t="s">
        <v>5791</v>
      </c>
      <c r="B1006" s="115" t="s">
        <v>5792</v>
      </c>
      <c r="C1006" s="10" t="s">
        <v>5793</v>
      </c>
      <c r="D1006" s="11">
        <v>2</v>
      </c>
      <c r="E1006" s="10" t="s">
        <v>4884</v>
      </c>
      <c r="F1006" s="10" t="s">
        <v>3785</v>
      </c>
      <c r="G1006" s="129">
        <v>44916</v>
      </c>
      <c r="H1006" s="161" t="s">
        <v>5794</v>
      </c>
      <c r="I1006" s="633"/>
      <c r="J1006" s="648"/>
      <c r="K1006" s="633"/>
      <c r="L1006" s="522">
        <f t="shared" si="15"/>
        <v>0</v>
      </c>
      <c r="M1006" s="160"/>
      <c r="N1006" s="22"/>
      <c r="O1006" s="22" t="s">
        <v>3759</v>
      </c>
    </row>
    <row r="1007" spans="1:15">
      <c r="A1007" s="10" t="s">
        <v>5388</v>
      </c>
      <c r="B1007" s="34">
        <v>95071081</v>
      </c>
      <c r="C1007" s="10" t="s">
        <v>5778</v>
      </c>
      <c r="D1007" s="11">
        <v>1</v>
      </c>
      <c r="E1007" s="11" t="s">
        <v>3964</v>
      </c>
      <c r="F1007" s="11" t="s">
        <v>3763</v>
      </c>
      <c r="G1007" s="129">
        <v>45872</v>
      </c>
      <c r="H1007" s="161" t="s">
        <v>5399</v>
      </c>
      <c r="I1007" s="633"/>
      <c r="J1007" s="648"/>
      <c r="K1007" s="633"/>
      <c r="L1007" s="522">
        <f t="shared" si="15"/>
        <v>0</v>
      </c>
      <c r="M1007" s="160"/>
      <c r="N1007" s="22"/>
      <c r="O1007" s="22" t="s">
        <v>3759</v>
      </c>
    </row>
    <row r="1008" spans="1:15">
      <c r="A1008" s="10" t="s">
        <v>5394</v>
      </c>
      <c r="B1008" s="34" t="s">
        <v>5591</v>
      </c>
      <c r="C1008" s="10" t="s">
        <v>5592</v>
      </c>
      <c r="D1008" s="11">
        <v>1</v>
      </c>
      <c r="E1008" s="129" t="s">
        <v>3968</v>
      </c>
      <c r="F1008" s="129" t="s">
        <v>3763</v>
      </c>
      <c r="G1008" s="129">
        <v>45471</v>
      </c>
      <c r="H1008" s="211" t="s">
        <v>3965</v>
      </c>
      <c r="I1008" s="634"/>
      <c r="J1008" s="634"/>
      <c r="K1008" s="634"/>
      <c r="L1008" s="522">
        <f t="shared" si="15"/>
        <v>0</v>
      </c>
      <c r="M1008" s="141"/>
      <c r="N1008" s="22"/>
      <c r="O1008" s="22" t="s">
        <v>3759</v>
      </c>
    </row>
    <row r="1009" spans="1:15">
      <c r="A1009" s="10" t="s">
        <v>5596</v>
      </c>
      <c r="B1009" s="34" t="s">
        <v>5597</v>
      </c>
      <c r="C1009" s="10" t="s">
        <v>4831</v>
      </c>
      <c r="D1009" s="11">
        <v>1</v>
      </c>
      <c r="E1009" s="11" t="s">
        <v>5598</v>
      </c>
      <c r="F1009" s="11" t="s">
        <v>3763</v>
      </c>
      <c r="G1009" s="129">
        <v>44911</v>
      </c>
      <c r="H1009" s="161" t="s">
        <v>3768</v>
      </c>
      <c r="I1009" s="634"/>
      <c r="J1009" s="634"/>
      <c r="K1009" s="634"/>
      <c r="L1009" s="522">
        <f t="shared" si="15"/>
        <v>0</v>
      </c>
      <c r="M1009" s="141"/>
      <c r="N1009" s="22"/>
      <c r="O1009" s="22" t="s">
        <v>3759</v>
      </c>
    </row>
    <row r="1010" spans="1:15" hidden="1">
      <c r="A1010" s="260" t="s">
        <v>5789</v>
      </c>
      <c r="B1010" s="595">
        <v>21295</v>
      </c>
      <c r="C1010" s="260" t="s">
        <v>4662</v>
      </c>
      <c r="D1010" s="555">
        <v>0</v>
      </c>
      <c r="E1010" s="260" t="s">
        <v>5113</v>
      </c>
      <c r="F1010" s="260" t="s">
        <v>3780</v>
      </c>
      <c r="G1010" s="596">
        <v>38895</v>
      </c>
      <c r="H1010" s="476" t="s">
        <v>5790</v>
      </c>
      <c r="I1010" s="245"/>
      <c r="J1010" s="668"/>
      <c r="K1010" s="245"/>
      <c r="L1010" s="245">
        <f t="shared" si="15"/>
        <v>0</v>
      </c>
      <c r="M1010" s="245"/>
      <c r="N1010" s="121" t="s">
        <v>3758</v>
      </c>
      <c r="O1010" s="121" t="s">
        <v>3759</v>
      </c>
    </row>
    <row r="1011" spans="1:15">
      <c r="A1011" s="10" t="s">
        <v>5727</v>
      </c>
      <c r="B1011" s="34">
        <v>1165</v>
      </c>
      <c r="C1011" s="10" t="s">
        <v>4307</v>
      </c>
      <c r="D1011" s="11">
        <v>1</v>
      </c>
      <c r="E1011" s="10" t="s">
        <v>4096</v>
      </c>
      <c r="F1011" s="10" t="s">
        <v>3763</v>
      </c>
      <c r="G1011" s="129">
        <v>45826</v>
      </c>
      <c r="H1011" s="161" t="s">
        <v>5728</v>
      </c>
      <c r="I1011" s="633"/>
      <c r="J1011" s="648"/>
      <c r="K1011" s="633"/>
      <c r="L1011" s="522">
        <f t="shared" si="15"/>
        <v>0</v>
      </c>
      <c r="M1011" s="160"/>
      <c r="N1011" s="22"/>
      <c r="O1011" s="22" t="s">
        <v>3759</v>
      </c>
    </row>
    <row r="1012" spans="1:15">
      <c r="A1012" s="10" t="s">
        <v>5599</v>
      </c>
      <c r="B1012" s="34" t="s">
        <v>5600</v>
      </c>
      <c r="C1012" s="10" t="s">
        <v>5601</v>
      </c>
      <c r="D1012" s="11">
        <v>1</v>
      </c>
      <c r="E1012" s="11" t="s">
        <v>5602</v>
      </c>
      <c r="F1012" s="11" t="s">
        <v>3763</v>
      </c>
      <c r="G1012" s="129">
        <v>44599</v>
      </c>
      <c r="H1012" s="161" t="s">
        <v>4138</v>
      </c>
      <c r="I1012" s="634"/>
      <c r="J1012" s="634"/>
      <c r="K1012" s="634"/>
      <c r="L1012" s="522">
        <f t="shared" si="15"/>
        <v>0</v>
      </c>
      <c r="M1012" s="141"/>
      <c r="N1012" s="22"/>
      <c r="O1012" s="22" t="s">
        <v>3759</v>
      </c>
    </row>
    <row r="1013" spans="1:15">
      <c r="A1013" s="10" t="s">
        <v>5599</v>
      </c>
      <c r="B1013" s="115" t="s">
        <v>5603</v>
      </c>
      <c r="C1013" s="10" t="s">
        <v>5601</v>
      </c>
      <c r="D1013" s="11">
        <v>1</v>
      </c>
      <c r="E1013" s="11" t="s">
        <v>5602</v>
      </c>
      <c r="F1013" s="11" t="s">
        <v>3763</v>
      </c>
      <c r="G1013" s="129">
        <v>44596</v>
      </c>
      <c r="H1013" s="161" t="s">
        <v>4138</v>
      </c>
      <c r="I1013" s="634"/>
      <c r="J1013" s="634"/>
      <c r="K1013" s="634"/>
      <c r="L1013" s="522">
        <f t="shared" si="15"/>
        <v>0</v>
      </c>
      <c r="M1013" s="141"/>
      <c r="N1013" s="22"/>
      <c r="O1013" s="22" t="s">
        <v>3759</v>
      </c>
    </row>
    <row r="1014" spans="1:15">
      <c r="A1014" s="10" t="s">
        <v>5604</v>
      </c>
      <c r="B1014" s="34" t="s">
        <v>5605</v>
      </c>
      <c r="C1014" s="10" t="s">
        <v>3954</v>
      </c>
      <c r="D1014" s="11">
        <v>1</v>
      </c>
      <c r="E1014" s="11" t="s">
        <v>4731</v>
      </c>
      <c r="F1014" s="11" t="s">
        <v>3763</v>
      </c>
      <c r="G1014" s="129">
        <v>45509</v>
      </c>
      <c r="H1014" s="161" t="s">
        <v>4238</v>
      </c>
      <c r="I1014" s="637"/>
      <c r="J1014" s="649"/>
      <c r="K1014" s="637"/>
      <c r="L1014" s="522">
        <f t="shared" si="15"/>
        <v>0</v>
      </c>
      <c r="M1014" s="146"/>
      <c r="N1014" s="22"/>
      <c r="O1014" s="22" t="s">
        <v>3759</v>
      </c>
    </row>
    <row r="1015" spans="1:15">
      <c r="A1015" s="10" t="s">
        <v>5604</v>
      </c>
      <c r="B1015" s="115" t="s">
        <v>5606</v>
      </c>
      <c r="C1015" s="10" t="s">
        <v>3954</v>
      </c>
      <c r="D1015" s="11">
        <v>1</v>
      </c>
      <c r="E1015" s="11" t="s">
        <v>4731</v>
      </c>
      <c r="F1015" s="11" t="s">
        <v>3763</v>
      </c>
      <c r="G1015" s="129">
        <v>45569</v>
      </c>
      <c r="H1015" s="161" t="s">
        <v>4238</v>
      </c>
      <c r="I1015" s="637"/>
      <c r="J1015" s="649"/>
      <c r="K1015" s="637"/>
      <c r="L1015" s="522">
        <f t="shared" si="15"/>
        <v>0</v>
      </c>
      <c r="M1015" s="146"/>
      <c r="N1015" s="22"/>
      <c r="O1015" s="22" t="s">
        <v>3759</v>
      </c>
    </row>
    <row r="1016" spans="1:15" hidden="1">
      <c r="A1016" s="329" t="s">
        <v>4849</v>
      </c>
      <c r="B1016" s="328" t="s">
        <v>5798</v>
      </c>
      <c r="C1016" s="329" t="s">
        <v>4668</v>
      </c>
      <c r="D1016" s="597"/>
      <c r="E1016" s="597" t="s">
        <v>4580</v>
      </c>
      <c r="F1016" s="597" t="s">
        <v>3785</v>
      </c>
      <c r="G1016" s="599">
        <v>45904</v>
      </c>
      <c r="H1016" s="557" t="s">
        <v>7993</v>
      </c>
      <c r="I1016" s="504"/>
      <c r="J1016" s="527"/>
      <c r="K1016" s="504"/>
      <c r="L1016" s="504">
        <f t="shared" si="15"/>
        <v>0</v>
      </c>
      <c r="M1016" s="504"/>
      <c r="N1016" s="575" t="s">
        <v>4041</v>
      </c>
      <c r="O1016" s="107" t="s">
        <v>3759</v>
      </c>
    </row>
    <row r="1017" spans="1:15" hidden="1">
      <c r="A1017" s="44" t="s">
        <v>5799</v>
      </c>
      <c r="B1017" s="133" t="s">
        <v>5800</v>
      </c>
      <c r="C1017" s="44" t="s">
        <v>4607</v>
      </c>
      <c r="D1017" s="111">
        <v>0</v>
      </c>
      <c r="E1017" s="134" t="s">
        <v>3922</v>
      </c>
      <c r="F1017" s="134" t="s">
        <v>3785</v>
      </c>
      <c r="G1017" s="135">
        <v>45904</v>
      </c>
      <c r="H1017" s="172" t="s">
        <v>3819</v>
      </c>
      <c r="I1017" s="480"/>
      <c r="J1017" s="524"/>
      <c r="K1017" s="480"/>
      <c r="L1017" s="480">
        <f t="shared" si="15"/>
        <v>0</v>
      </c>
      <c r="M1017" s="480"/>
      <c r="N1017" s="535" t="s">
        <v>4041</v>
      </c>
      <c r="O1017" s="112" t="s">
        <v>3759</v>
      </c>
    </row>
    <row r="1018" spans="1:15">
      <c r="A1018" s="10" t="s">
        <v>5604</v>
      </c>
      <c r="B1018" s="34" t="s">
        <v>5607</v>
      </c>
      <c r="C1018" s="10" t="s">
        <v>3954</v>
      </c>
      <c r="D1018" s="11">
        <v>1</v>
      </c>
      <c r="E1018" s="11" t="s">
        <v>4731</v>
      </c>
      <c r="F1018" s="11" t="s">
        <v>3763</v>
      </c>
      <c r="G1018" s="129">
        <v>45473</v>
      </c>
      <c r="H1018" s="161" t="s">
        <v>4238</v>
      </c>
      <c r="I1018" s="637"/>
      <c r="J1018" s="649"/>
      <c r="K1018" s="637"/>
      <c r="L1018" s="522">
        <f t="shared" si="15"/>
        <v>0</v>
      </c>
      <c r="M1018" s="146"/>
      <c r="N1018" s="22"/>
      <c r="O1018" s="22" t="s">
        <v>3759</v>
      </c>
    </row>
    <row r="1019" spans="1:15">
      <c r="A1019" s="10" t="s">
        <v>5614</v>
      </c>
      <c r="B1019" s="34" t="s">
        <v>5615</v>
      </c>
      <c r="C1019" s="10" t="s">
        <v>5306</v>
      </c>
      <c r="D1019" s="11">
        <v>1</v>
      </c>
      <c r="E1019" s="11" t="s">
        <v>5536</v>
      </c>
      <c r="F1019" s="11" t="s">
        <v>3785</v>
      </c>
      <c r="G1019" s="129">
        <v>44335</v>
      </c>
      <c r="H1019" s="161" t="s">
        <v>3768</v>
      </c>
      <c r="I1019" s="636"/>
      <c r="J1019" s="638"/>
      <c r="K1019" s="636"/>
      <c r="L1019" s="522">
        <f t="shared" si="15"/>
        <v>0</v>
      </c>
      <c r="M1019" s="140"/>
      <c r="N1019" s="22"/>
      <c r="O1019" s="22" t="s">
        <v>3759</v>
      </c>
    </row>
    <row r="1020" spans="1:15">
      <c r="A1020" s="10" t="s">
        <v>5617</v>
      </c>
      <c r="B1020" s="34" t="s">
        <v>5618</v>
      </c>
      <c r="C1020" s="10" t="s">
        <v>690</v>
      </c>
      <c r="D1020" s="11">
        <v>1</v>
      </c>
      <c r="E1020" s="11" t="s">
        <v>4020</v>
      </c>
      <c r="F1020" s="11" t="s">
        <v>3763</v>
      </c>
      <c r="G1020" s="129">
        <v>44783</v>
      </c>
      <c r="H1020" s="161" t="s">
        <v>3768</v>
      </c>
      <c r="I1020" s="636"/>
      <c r="J1020" s="638"/>
      <c r="K1020" s="636"/>
      <c r="L1020" s="522">
        <f t="shared" si="15"/>
        <v>0</v>
      </c>
      <c r="M1020" s="140"/>
      <c r="N1020" s="12"/>
      <c r="O1020" s="12" t="s">
        <v>3759</v>
      </c>
    </row>
    <row r="1021" spans="1:15" hidden="1">
      <c r="A1021" s="621" t="s">
        <v>4345</v>
      </c>
      <c r="B1021" s="621" t="s">
        <v>7540</v>
      </c>
      <c r="C1021" s="621" t="s">
        <v>207</v>
      </c>
      <c r="D1021" s="555">
        <v>0</v>
      </c>
      <c r="E1021" s="598" t="s">
        <v>4448</v>
      </c>
      <c r="F1021" s="598" t="s">
        <v>3763</v>
      </c>
      <c r="G1021" s="596">
        <v>45917</v>
      </c>
      <c r="H1021" s="476" t="s">
        <v>7993</v>
      </c>
      <c r="I1021" s="245"/>
      <c r="J1021" s="668"/>
      <c r="K1021" s="245"/>
      <c r="L1021" s="245">
        <f t="shared" si="15"/>
        <v>0</v>
      </c>
      <c r="M1021" s="245"/>
      <c r="N1021" s="121" t="s">
        <v>3758</v>
      </c>
      <c r="O1021" s="121" t="s">
        <v>3759</v>
      </c>
    </row>
    <row r="1022" spans="1:15">
      <c r="A1022" s="10" t="s">
        <v>5627</v>
      </c>
      <c r="B1022" s="34" t="s">
        <v>3748</v>
      </c>
      <c r="C1022" s="10" t="s">
        <v>313</v>
      </c>
      <c r="D1022" s="11">
        <v>1</v>
      </c>
      <c r="E1022" s="11" t="s">
        <v>4308</v>
      </c>
      <c r="F1022" s="11" t="s">
        <v>3750</v>
      </c>
      <c r="G1022" s="11"/>
      <c r="H1022" s="161"/>
      <c r="I1022" s="634"/>
      <c r="J1022" s="634"/>
      <c r="K1022" s="634"/>
      <c r="L1022" s="522">
        <f t="shared" si="15"/>
        <v>0</v>
      </c>
      <c r="M1022" s="141"/>
      <c r="N1022" s="22"/>
      <c r="O1022" s="22" t="s">
        <v>3759</v>
      </c>
    </row>
    <row r="1023" spans="1:15">
      <c r="A1023" s="10" t="s">
        <v>5628</v>
      </c>
      <c r="B1023" s="34" t="s">
        <v>5629</v>
      </c>
      <c r="C1023" s="10" t="s">
        <v>5630</v>
      </c>
      <c r="D1023" s="11">
        <v>1</v>
      </c>
      <c r="E1023" s="11" t="s">
        <v>5631</v>
      </c>
      <c r="F1023" s="11" t="s">
        <v>3785</v>
      </c>
      <c r="G1023" s="129">
        <v>44735</v>
      </c>
      <c r="H1023" s="161" t="s">
        <v>5409</v>
      </c>
      <c r="I1023" s="636"/>
      <c r="J1023" s="638"/>
      <c r="K1023" s="636"/>
      <c r="L1023" s="522">
        <f t="shared" si="15"/>
        <v>0</v>
      </c>
      <c r="M1023" s="140"/>
      <c r="N1023" s="22"/>
      <c r="O1023" s="22" t="s">
        <v>3759</v>
      </c>
    </row>
    <row r="1024" spans="1:15">
      <c r="A1024" s="10" t="s">
        <v>5642</v>
      </c>
      <c r="B1024" s="34" t="s">
        <v>3748</v>
      </c>
      <c r="C1024" s="10" t="s">
        <v>5643</v>
      </c>
      <c r="D1024" s="11">
        <v>15</v>
      </c>
      <c r="E1024" s="11" t="s">
        <v>5644</v>
      </c>
      <c r="F1024" s="11" t="s">
        <v>3750</v>
      </c>
      <c r="G1024" s="129">
        <v>45327</v>
      </c>
      <c r="H1024" s="161" t="s">
        <v>5645</v>
      </c>
      <c r="I1024" s="634"/>
      <c r="J1024" s="634"/>
      <c r="K1024" s="634"/>
      <c r="L1024" s="522">
        <f t="shared" si="15"/>
        <v>0</v>
      </c>
      <c r="M1024" s="141"/>
      <c r="N1024" s="22"/>
      <c r="O1024" s="22" t="s">
        <v>3759</v>
      </c>
    </row>
    <row r="1025" spans="1:15">
      <c r="A1025" s="10" t="s">
        <v>5648</v>
      </c>
      <c r="B1025" s="34">
        <v>99032024</v>
      </c>
      <c r="C1025" s="10" t="s">
        <v>2264</v>
      </c>
      <c r="D1025" s="11">
        <v>1</v>
      </c>
      <c r="E1025" s="11" t="s">
        <v>4151</v>
      </c>
      <c r="F1025" s="11" t="s">
        <v>3763</v>
      </c>
      <c r="G1025" s="129">
        <v>44770</v>
      </c>
      <c r="H1025" s="161" t="s">
        <v>3768</v>
      </c>
      <c r="I1025" s="636"/>
      <c r="J1025" s="638"/>
      <c r="K1025" s="636"/>
      <c r="L1025" s="522">
        <f t="shared" si="15"/>
        <v>0</v>
      </c>
      <c r="M1025" s="140"/>
      <c r="N1025" s="12"/>
      <c r="O1025" s="12" t="s">
        <v>3759</v>
      </c>
    </row>
    <row r="1026" spans="1:15">
      <c r="A1026" s="10" t="s">
        <v>5423</v>
      </c>
      <c r="B1026" s="34" t="s">
        <v>5649</v>
      </c>
      <c r="C1026" s="10" t="s">
        <v>5650</v>
      </c>
      <c r="D1026" s="11">
        <v>1</v>
      </c>
      <c r="E1026" s="10" t="s">
        <v>4395</v>
      </c>
      <c r="F1026" s="11" t="s">
        <v>3763</v>
      </c>
      <c r="G1026" s="129">
        <v>45808</v>
      </c>
      <c r="H1026" s="161" t="s">
        <v>5166</v>
      </c>
      <c r="I1026" s="633"/>
      <c r="J1026" s="648"/>
      <c r="K1026" s="633"/>
      <c r="L1026" s="522">
        <f t="shared" si="15"/>
        <v>0</v>
      </c>
      <c r="M1026" s="160"/>
      <c r="N1026" s="22"/>
      <c r="O1026" s="22" t="s">
        <v>3759</v>
      </c>
    </row>
    <row r="1027" spans="1:15">
      <c r="A1027" s="10" t="s">
        <v>8074</v>
      </c>
      <c r="B1027" s="34" t="s">
        <v>5651</v>
      </c>
      <c r="C1027" s="10" t="s">
        <v>5652</v>
      </c>
      <c r="D1027" s="11">
        <v>1</v>
      </c>
      <c r="E1027" s="11" t="s">
        <v>5206</v>
      </c>
      <c r="F1027" s="11" t="s">
        <v>3763</v>
      </c>
      <c r="G1027" s="129">
        <v>44768</v>
      </c>
      <c r="H1027" s="161" t="s">
        <v>3934</v>
      </c>
      <c r="I1027" s="636"/>
      <c r="J1027" s="638"/>
      <c r="K1027" s="636"/>
      <c r="L1027" s="522">
        <f t="shared" si="15"/>
        <v>0</v>
      </c>
      <c r="M1027" s="140"/>
      <c r="N1027" s="12"/>
      <c r="O1027" s="12" t="s">
        <v>3759</v>
      </c>
    </row>
    <row r="1028" spans="1:15">
      <c r="A1028" s="10" t="s">
        <v>5655</v>
      </c>
      <c r="B1028" s="34">
        <v>378</v>
      </c>
      <c r="C1028" s="10" t="s">
        <v>5503</v>
      </c>
      <c r="D1028" s="11">
        <v>1</v>
      </c>
      <c r="E1028" s="11" t="s">
        <v>3978</v>
      </c>
      <c r="F1028" s="11" t="s">
        <v>3798</v>
      </c>
      <c r="G1028" s="129">
        <v>45461</v>
      </c>
      <c r="H1028" s="161" t="s">
        <v>4009</v>
      </c>
      <c r="I1028" s="634"/>
      <c r="J1028" s="634"/>
      <c r="K1028" s="634"/>
      <c r="L1028" s="522">
        <f t="shared" ref="L1028:L1038" si="16">IF(OR(I1028="", K1028=""), I1028 + K1028, I1028 + K1028)</f>
        <v>0</v>
      </c>
      <c r="M1028" s="141"/>
      <c r="N1028" s="22"/>
      <c r="O1028" s="22" t="s">
        <v>3759</v>
      </c>
    </row>
    <row r="1029" spans="1:15">
      <c r="A1029" s="10" t="s">
        <v>5449</v>
      </c>
      <c r="B1029" s="34">
        <v>13624</v>
      </c>
      <c r="C1029" s="10" t="s">
        <v>5656</v>
      </c>
      <c r="D1029" s="11">
        <v>1</v>
      </c>
      <c r="E1029" s="10" t="s">
        <v>5657</v>
      </c>
      <c r="F1029" s="10" t="s">
        <v>3785</v>
      </c>
      <c r="G1029" s="129">
        <v>45587</v>
      </c>
      <c r="H1029" s="161" t="s">
        <v>4025</v>
      </c>
      <c r="I1029" s="633"/>
      <c r="J1029" s="648"/>
      <c r="K1029" s="633"/>
      <c r="L1029" s="522">
        <f t="shared" si="16"/>
        <v>0</v>
      </c>
      <c r="M1029" s="470">
        <v>1100</v>
      </c>
      <c r="N1029" s="22"/>
      <c r="O1029" s="12" t="s">
        <v>3759</v>
      </c>
    </row>
    <row r="1030" spans="1:15" hidden="1">
      <c r="A1030" s="10" t="s">
        <v>5449</v>
      </c>
      <c r="B1030" s="115" t="s">
        <v>5658</v>
      </c>
      <c r="C1030" s="10" t="s">
        <v>5656</v>
      </c>
      <c r="D1030" s="11">
        <v>0</v>
      </c>
      <c r="E1030" s="10" t="s">
        <v>5657</v>
      </c>
      <c r="F1030" s="10" t="s">
        <v>3785</v>
      </c>
      <c r="G1030" s="129">
        <v>45587</v>
      </c>
      <c r="H1030" s="161" t="s">
        <v>4025</v>
      </c>
      <c r="I1030" s="633"/>
      <c r="J1030" s="648"/>
      <c r="K1030" s="633"/>
      <c r="L1030" s="522">
        <f t="shared" si="16"/>
        <v>0</v>
      </c>
      <c r="M1030" s="470">
        <v>1100</v>
      </c>
      <c r="N1030" s="22" t="s">
        <v>3758</v>
      </c>
      <c r="O1030" s="12" t="s">
        <v>3759</v>
      </c>
    </row>
    <row r="1031" spans="1:15" hidden="1">
      <c r="A1031" s="10" t="s">
        <v>5449</v>
      </c>
      <c r="B1031" s="115" t="s">
        <v>5659</v>
      </c>
      <c r="C1031" s="10" t="s">
        <v>5656</v>
      </c>
      <c r="D1031" s="11">
        <v>0</v>
      </c>
      <c r="E1031" s="10" t="s">
        <v>5657</v>
      </c>
      <c r="F1031" s="10" t="s">
        <v>3785</v>
      </c>
      <c r="G1031" s="129">
        <v>45552</v>
      </c>
      <c r="H1031" s="161" t="s">
        <v>4025</v>
      </c>
      <c r="I1031" s="633"/>
      <c r="J1031" s="648"/>
      <c r="K1031" s="633"/>
      <c r="L1031" s="522">
        <f t="shared" si="16"/>
        <v>0</v>
      </c>
      <c r="M1031" s="470">
        <v>1100</v>
      </c>
      <c r="N1031" s="22" t="s">
        <v>3758</v>
      </c>
      <c r="O1031" s="12" t="s">
        <v>3759</v>
      </c>
    </row>
    <row r="1032" spans="1:15" hidden="1">
      <c r="A1032" s="10" t="s">
        <v>5449</v>
      </c>
      <c r="B1032" s="115" t="s">
        <v>5660</v>
      </c>
      <c r="C1032" s="10" t="s">
        <v>5656</v>
      </c>
      <c r="D1032" s="11">
        <v>0</v>
      </c>
      <c r="E1032" s="10" t="s">
        <v>5657</v>
      </c>
      <c r="F1032" s="10" t="s">
        <v>3785</v>
      </c>
      <c r="G1032" s="129">
        <v>45587</v>
      </c>
      <c r="H1032" s="161" t="s">
        <v>4025</v>
      </c>
      <c r="I1032" s="633"/>
      <c r="J1032" s="648"/>
      <c r="K1032" s="633"/>
      <c r="L1032" s="522">
        <f t="shared" si="16"/>
        <v>0</v>
      </c>
      <c r="M1032" s="470">
        <v>1100</v>
      </c>
      <c r="N1032" s="22" t="s">
        <v>3758</v>
      </c>
      <c r="O1032" s="12" t="s">
        <v>3759</v>
      </c>
    </row>
    <row r="1033" spans="1:15" hidden="1">
      <c r="A1033" s="10" t="s">
        <v>5449</v>
      </c>
      <c r="B1033" s="115" t="s">
        <v>5661</v>
      </c>
      <c r="C1033" s="10" t="s">
        <v>5656</v>
      </c>
      <c r="D1033" s="11">
        <v>0</v>
      </c>
      <c r="E1033" s="10" t="s">
        <v>5657</v>
      </c>
      <c r="F1033" s="10" t="s">
        <v>3785</v>
      </c>
      <c r="G1033" s="129">
        <v>45414</v>
      </c>
      <c r="H1033" s="161" t="s">
        <v>4025</v>
      </c>
      <c r="I1033" s="633"/>
      <c r="J1033" s="648"/>
      <c r="K1033" s="633"/>
      <c r="L1033" s="522">
        <f t="shared" si="16"/>
        <v>0</v>
      </c>
      <c r="M1033" s="470">
        <v>1100</v>
      </c>
      <c r="N1033" s="22" t="s">
        <v>3758</v>
      </c>
      <c r="O1033" s="12" t="s">
        <v>3759</v>
      </c>
    </row>
    <row r="1034" spans="1:15">
      <c r="A1034" s="323" t="s">
        <v>5442</v>
      </c>
      <c r="B1034" s="323" t="s">
        <v>5723</v>
      </c>
      <c r="C1034" s="323" t="s">
        <v>5724</v>
      </c>
      <c r="D1034" s="11">
        <v>1</v>
      </c>
      <c r="E1034" s="10" t="s">
        <v>5004</v>
      </c>
      <c r="F1034" s="10" t="s">
        <v>3763</v>
      </c>
      <c r="G1034" s="129">
        <v>45813</v>
      </c>
      <c r="H1034" s="161" t="s">
        <v>3934</v>
      </c>
      <c r="I1034" s="633"/>
      <c r="J1034" s="648"/>
      <c r="K1034" s="633"/>
      <c r="L1034" s="522">
        <f t="shared" si="16"/>
        <v>0</v>
      </c>
      <c r="M1034" s="160"/>
      <c r="N1034" s="22"/>
      <c r="O1034" s="22" t="s">
        <v>3759</v>
      </c>
    </row>
    <row r="1035" spans="1:15">
      <c r="A1035" s="10" t="s">
        <v>5666</v>
      </c>
      <c r="B1035" s="34">
        <v>10543</v>
      </c>
      <c r="C1035" s="10" t="s">
        <v>5667</v>
      </c>
      <c r="D1035" s="11">
        <v>1</v>
      </c>
      <c r="E1035" s="11" t="s">
        <v>5668</v>
      </c>
      <c r="F1035" s="11" t="s">
        <v>3763</v>
      </c>
      <c r="G1035" s="129">
        <v>44630</v>
      </c>
      <c r="H1035" s="161" t="s">
        <v>4910</v>
      </c>
      <c r="I1035" s="636"/>
      <c r="J1035" s="638"/>
      <c r="K1035" s="636"/>
      <c r="L1035" s="522">
        <f t="shared" si="16"/>
        <v>0</v>
      </c>
      <c r="M1035" s="160"/>
      <c r="N1035" s="12"/>
      <c r="O1035" s="12" t="s">
        <v>3759</v>
      </c>
    </row>
    <row r="1036" spans="1:15">
      <c r="A1036" s="323" t="s">
        <v>7659</v>
      </c>
      <c r="B1036" s="323">
        <v>27000</v>
      </c>
      <c r="C1036" s="323" t="s">
        <v>7660</v>
      </c>
      <c r="D1036" s="11">
        <v>1</v>
      </c>
      <c r="E1036" s="11" t="s">
        <v>3948</v>
      </c>
      <c r="F1036" s="11" t="s">
        <v>3780</v>
      </c>
      <c r="G1036" s="382">
        <v>45937</v>
      </c>
      <c r="H1036" s="161" t="s">
        <v>8049</v>
      </c>
      <c r="I1036" s="633"/>
      <c r="J1036" s="648"/>
      <c r="K1036" s="633"/>
      <c r="L1036" s="522">
        <f t="shared" si="16"/>
        <v>0</v>
      </c>
      <c r="M1036" s="160"/>
      <c r="N1036" s="22"/>
      <c r="O1036" s="12" t="s">
        <v>3759</v>
      </c>
    </row>
    <row r="1037" spans="1:15">
      <c r="A1037" s="10" t="s">
        <v>8052</v>
      </c>
      <c r="B1037" s="34" t="s">
        <v>3748</v>
      </c>
      <c r="C1037" s="10" t="s">
        <v>27</v>
      </c>
      <c r="D1037" s="11">
        <v>144</v>
      </c>
      <c r="E1037" s="11" t="s">
        <v>8053</v>
      </c>
      <c r="F1037" s="11" t="s">
        <v>3750</v>
      </c>
      <c r="G1037" s="11"/>
      <c r="H1037" s="161"/>
      <c r="I1037" s="633"/>
      <c r="J1037" s="648"/>
      <c r="K1037" s="633"/>
      <c r="L1037" s="522">
        <f t="shared" si="16"/>
        <v>0</v>
      </c>
      <c r="M1037" s="160"/>
      <c r="N1037" s="22"/>
      <c r="O1037" s="12" t="s">
        <v>3759</v>
      </c>
    </row>
    <row r="1038" spans="1:15">
      <c r="A1038" s="240" t="s">
        <v>6561</v>
      </c>
      <c r="B1038" s="700" t="s">
        <v>6562</v>
      </c>
      <c r="C1038" s="75" t="s">
        <v>6563</v>
      </c>
      <c r="D1038" s="10">
        <v>1</v>
      </c>
      <c r="E1038" s="10" t="s">
        <v>5622</v>
      </c>
      <c r="F1038" s="10" t="s">
        <v>3798</v>
      </c>
      <c r="G1038" s="129">
        <v>45933</v>
      </c>
      <c r="H1038" s="161" t="s">
        <v>4009</v>
      </c>
      <c r="I1038" s="633"/>
      <c r="J1038" s="648"/>
      <c r="K1038" s="633"/>
      <c r="L1038" s="522">
        <f t="shared" si="16"/>
        <v>0</v>
      </c>
      <c r="M1038" s="160"/>
      <c r="N1038" s="22"/>
      <c r="O1038" s="12" t="s">
        <v>3759</v>
      </c>
    </row>
    <row r="1039" spans="1:15">
      <c r="A1039" s="109" t="s">
        <v>5094</v>
      </c>
      <c r="B1039" s="110">
        <v>2360</v>
      </c>
      <c r="C1039" s="44" t="s">
        <v>8067</v>
      </c>
      <c r="D1039" s="111">
        <v>1</v>
      </c>
      <c r="E1039" s="45" t="s">
        <v>4223</v>
      </c>
      <c r="F1039" s="45" t="s">
        <v>3763</v>
      </c>
      <c r="G1039" s="114">
        <v>45843</v>
      </c>
      <c r="H1039" s="170" t="s">
        <v>3930</v>
      </c>
      <c r="I1039" s="633">
        <v>1300</v>
      </c>
      <c r="J1039" s="648"/>
      <c r="K1039" s="633"/>
      <c r="L1039" s="522">
        <f t="shared" ref="L1039:L1042" si="17">IF(OR(I1039="", K1039=""), I1039 + K1039, I1039 + K1039)</f>
        <v>1300</v>
      </c>
      <c r="M1039" s="160"/>
      <c r="N1039" s="112"/>
      <c r="O1039" s="113" t="s">
        <v>3759</v>
      </c>
    </row>
    <row r="1040" spans="1:15">
      <c r="A1040" s="10" t="s">
        <v>4616</v>
      </c>
      <c r="B1040" s="115" t="s">
        <v>8068</v>
      </c>
      <c r="C1040" s="10" t="s">
        <v>3809</v>
      </c>
      <c r="D1040" s="11">
        <v>1</v>
      </c>
      <c r="E1040" s="10" t="s">
        <v>3860</v>
      </c>
      <c r="F1040" s="10" t="s">
        <v>3785</v>
      </c>
      <c r="G1040" s="129">
        <v>45946</v>
      </c>
      <c r="H1040" s="161" t="s">
        <v>7993</v>
      </c>
      <c r="I1040" s="633"/>
      <c r="J1040" s="648"/>
      <c r="K1040" s="633"/>
      <c r="L1040" s="522">
        <f t="shared" si="17"/>
        <v>0</v>
      </c>
      <c r="M1040" s="160"/>
      <c r="N1040" s="112"/>
      <c r="O1040" s="113" t="s">
        <v>3759</v>
      </c>
    </row>
    <row r="1041" spans="1:15">
      <c r="A1041" s="44" t="s">
        <v>4531</v>
      </c>
      <c r="B1041" s="550" t="s">
        <v>8069</v>
      </c>
      <c r="C1041" s="44" t="s">
        <v>8070</v>
      </c>
      <c r="D1041" s="134">
        <v>1</v>
      </c>
      <c r="E1041" s="44" t="s">
        <v>4663</v>
      </c>
      <c r="F1041" s="44" t="s">
        <v>3763</v>
      </c>
      <c r="G1041" s="135">
        <v>45946</v>
      </c>
      <c r="H1041" s="172" t="s">
        <v>3799</v>
      </c>
      <c r="I1041" s="702"/>
      <c r="J1041" s="703"/>
      <c r="K1041" s="702"/>
      <c r="L1041" s="691">
        <f t="shared" si="17"/>
        <v>0</v>
      </c>
      <c r="M1041" s="480"/>
      <c r="N1041" s="121"/>
      <c r="O1041" s="113" t="s">
        <v>3759</v>
      </c>
    </row>
    <row r="1042" spans="1:15">
      <c r="A1042" s="323" t="s">
        <v>4134</v>
      </c>
      <c r="B1042" s="323" t="s">
        <v>7616</v>
      </c>
      <c r="C1042" s="323" t="s">
        <v>4350</v>
      </c>
      <c r="D1042" s="11">
        <v>1</v>
      </c>
      <c r="E1042" s="10" t="s">
        <v>3981</v>
      </c>
      <c r="F1042" s="10" t="s">
        <v>3785</v>
      </c>
      <c r="G1042" s="129">
        <v>45943</v>
      </c>
      <c r="H1042" s="161" t="s">
        <v>3799</v>
      </c>
      <c r="I1042" s="633"/>
      <c r="J1042" s="648"/>
      <c r="K1042" s="633"/>
      <c r="L1042" s="522">
        <f t="shared" si="17"/>
        <v>0</v>
      </c>
      <c r="M1042" s="160"/>
      <c r="N1042" s="22"/>
      <c r="O1042" s="113" t="s">
        <v>3759</v>
      </c>
    </row>
    <row r="1043" spans="1:15">
      <c r="A1043" s="323" t="s">
        <v>4717</v>
      </c>
      <c r="B1043" s="323">
        <v>162504</v>
      </c>
      <c r="C1043" s="323" t="s">
        <v>7602</v>
      </c>
      <c r="D1043" s="11">
        <v>1</v>
      </c>
      <c r="E1043" s="10" t="s">
        <v>3855</v>
      </c>
      <c r="F1043" s="10" t="s">
        <v>3763</v>
      </c>
      <c r="G1043" s="129">
        <v>45941</v>
      </c>
      <c r="H1043" s="161" t="s">
        <v>8071</v>
      </c>
      <c r="I1043" s="160"/>
      <c r="J1043" s="633"/>
      <c r="K1043" s="160"/>
      <c r="L1043" s="701">
        <f t="shared" ref="L1043:L1051" si="18">IF(OR(I1043="", K1043=""), I1043 + K1043, I1043 + K1043)</f>
        <v>0</v>
      </c>
      <c r="M1043" s="160"/>
      <c r="N1043" s="22"/>
      <c r="O1043" s="113" t="s">
        <v>3759</v>
      </c>
    </row>
    <row r="1044" spans="1:15">
      <c r="A1044" s="10" t="s">
        <v>4951</v>
      </c>
      <c r="B1044" s="34">
        <v>36128</v>
      </c>
      <c r="C1044" s="10" t="s">
        <v>5761</v>
      </c>
      <c r="D1044" s="11">
        <v>1</v>
      </c>
      <c r="E1044" s="11" t="s">
        <v>3886</v>
      </c>
      <c r="F1044" s="11" t="s">
        <v>3798</v>
      </c>
      <c r="G1044" s="129">
        <v>45884</v>
      </c>
      <c r="H1044" s="161" t="s">
        <v>8075</v>
      </c>
      <c r="I1044" s="160"/>
      <c r="J1044" s="633"/>
      <c r="K1044" s="160"/>
      <c r="L1044" s="701">
        <f t="shared" si="18"/>
        <v>0</v>
      </c>
      <c r="M1044" s="160"/>
      <c r="N1044" s="22"/>
      <c r="O1044" s="113" t="s">
        <v>3759</v>
      </c>
    </row>
    <row r="1045" spans="1:15">
      <c r="A1045" s="10" t="s">
        <v>4155</v>
      </c>
      <c r="B1045" s="34" t="s">
        <v>8104</v>
      </c>
      <c r="C1045" s="10" t="s">
        <v>4157</v>
      </c>
      <c r="D1045" s="11">
        <v>1</v>
      </c>
      <c r="E1045" s="129" t="s">
        <v>4158</v>
      </c>
      <c r="F1045" s="11" t="s">
        <v>3785</v>
      </c>
      <c r="G1045" s="129">
        <v>44999</v>
      </c>
      <c r="H1045" s="161" t="s">
        <v>8105</v>
      </c>
      <c r="I1045" s="160"/>
      <c r="J1045" s="633"/>
      <c r="K1045" s="160"/>
      <c r="L1045" s="701">
        <f t="shared" si="18"/>
        <v>0</v>
      </c>
      <c r="M1045" s="160"/>
      <c r="N1045" s="22"/>
      <c r="O1045" s="113" t="s">
        <v>3759</v>
      </c>
    </row>
    <row r="1046" spans="1:15">
      <c r="A1046" s="10" t="s">
        <v>4951</v>
      </c>
      <c r="B1046" s="10">
        <v>145680</v>
      </c>
      <c r="C1046" s="10" t="s">
        <v>5761</v>
      </c>
      <c r="D1046" s="10">
        <v>1</v>
      </c>
      <c r="E1046" s="10" t="s">
        <v>3886</v>
      </c>
      <c r="F1046" s="10" t="s">
        <v>3798</v>
      </c>
      <c r="G1046" s="382">
        <v>45764</v>
      </c>
      <c r="H1046" s="161" t="s">
        <v>8106</v>
      </c>
      <c r="I1046" s="471"/>
      <c r="J1046" s="648"/>
      <c r="K1046" s="471"/>
      <c r="L1046" s="704">
        <f>IF(OR(I1046="", K1046=""), I1046 + K1046, I1046 + K1046)</f>
        <v>0</v>
      </c>
      <c r="M1046" s="471"/>
      <c r="N1046" s="22"/>
      <c r="O1046" s="113" t="s">
        <v>3759</v>
      </c>
    </row>
    <row r="1047" spans="1:15">
      <c r="A1047" s="7" t="s">
        <v>6104</v>
      </c>
      <c r="B1047" s="7">
        <v>12138518</v>
      </c>
      <c r="C1047" s="10" t="s">
        <v>6105</v>
      </c>
      <c r="D1047" s="10">
        <v>1</v>
      </c>
      <c r="E1047" s="11" t="s">
        <v>8110</v>
      </c>
      <c r="F1047" s="11" t="s">
        <v>3750</v>
      </c>
      <c r="G1047" s="11"/>
      <c r="H1047" s="161"/>
      <c r="I1047" s="160"/>
      <c r="J1047" s="633"/>
      <c r="K1047" s="160"/>
      <c r="L1047" s="701">
        <f t="shared" si="18"/>
        <v>0</v>
      </c>
      <c r="M1047" s="160"/>
      <c r="N1047" s="22"/>
      <c r="O1047" s="22">
        <v>106</v>
      </c>
    </row>
    <row r="1048" spans="1:15">
      <c r="A1048" s="7" t="s">
        <v>6104</v>
      </c>
      <c r="B1048" s="7">
        <v>12138519</v>
      </c>
      <c r="C1048" s="10" t="s">
        <v>6105</v>
      </c>
      <c r="D1048" s="10">
        <v>1</v>
      </c>
      <c r="E1048" s="10" t="s">
        <v>8110</v>
      </c>
      <c r="F1048" s="10" t="s">
        <v>3750</v>
      </c>
      <c r="G1048" s="10"/>
      <c r="H1048" s="161"/>
      <c r="I1048" s="471"/>
      <c r="J1048" s="648"/>
      <c r="K1048" s="471"/>
      <c r="L1048" s="704">
        <f>IF(OR(I1048="", K1048=""), I1048 + K1048, I1048 + K1048)</f>
        <v>0</v>
      </c>
      <c r="M1048" s="471"/>
      <c r="N1048" s="22"/>
      <c r="O1048" s="22">
        <v>106</v>
      </c>
    </row>
    <row r="1049" spans="1:15">
      <c r="A1049" s="7">
        <v>68282</v>
      </c>
      <c r="B1049" s="7">
        <v>633088201</v>
      </c>
      <c r="C1049" s="10" t="s">
        <v>6105</v>
      </c>
      <c r="D1049" s="10">
        <v>1</v>
      </c>
      <c r="E1049" s="11" t="s">
        <v>8110</v>
      </c>
      <c r="F1049" s="11" t="s">
        <v>3750</v>
      </c>
      <c r="G1049" s="11"/>
      <c r="H1049" s="161"/>
      <c r="I1049" s="160"/>
      <c r="J1049" s="633"/>
      <c r="K1049" s="160"/>
      <c r="L1049" s="701">
        <f t="shared" si="18"/>
        <v>0</v>
      </c>
      <c r="M1049" s="160"/>
      <c r="N1049" s="22"/>
      <c r="O1049" s="22">
        <v>106</v>
      </c>
    </row>
    <row r="1050" spans="1:15">
      <c r="A1050" s="10" t="s">
        <v>5068</v>
      </c>
      <c r="B1050" s="34">
        <v>10226</v>
      </c>
      <c r="C1050" s="10" t="s">
        <v>3852</v>
      </c>
      <c r="D1050" s="11">
        <v>1</v>
      </c>
      <c r="E1050" s="11" t="s">
        <v>3922</v>
      </c>
      <c r="F1050" s="11" t="s">
        <v>3785</v>
      </c>
      <c r="G1050" s="129">
        <v>45944</v>
      </c>
      <c r="H1050" s="161" t="s">
        <v>7993</v>
      </c>
      <c r="I1050" s="160"/>
      <c r="J1050" s="633"/>
      <c r="K1050" s="160"/>
      <c r="L1050" s="701">
        <f t="shared" si="18"/>
        <v>0</v>
      </c>
      <c r="M1050" s="160"/>
      <c r="N1050" s="22"/>
      <c r="O1050" s="22" t="s">
        <v>3759</v>
      </c>
    </row>
    <row r="1051" spans="1:15">
      <c r="A1051" s="10" t="s">
        <v>5068</v>
      </c>
      <c r="B1051" s="34">
        <v>15066</v>
      </c>
      <c r="C1051" s="10" t="s">
        <v>3852</v>
      </c>
      <c r="D1051" s="11">
        <v>1</v>
      </c>
      <c r="E1051" s="11" t="s">
        <v>3922</v>
      </c>
      <c r="F1051" s="11" t="s">
        <v>3785</v>
      </c>
      <c r="G1051" s="129">
        <v>45926</v>
      </c>
      <c r="H1051" s="161" t="s">
        <v>7993</v>
      </c>
      <c r="I1051" s="160"/>
      <c r="J1051" s="633"/>
      <c r="K1051" s="160"/>
      <c r="L1051" s="701">
        <f t="shared" si="18"/>
        <v>0</v>
      </c>
      <c r="M1051" s="160"/>
      <c r="N1051" s="22"/>
      <c r="O1051" s="22" t="s">
        <v>3759</v>
      </c>
    </row>
    <row r="1052" spans="1:15">
      <c r="A1052" s="323" t="s">
        <v>4575</v>
      </c>
      <c r="B1052" s="323">
        <v>1451</v>
      </c>
      <c r="C1052" s="323" t="s">
        <v>7548</v>
      </c>
      <c r="D1052" s="11">
        <v>1</v>
      </c>
      <c r="E1052" s="11" t="s">
        <v>5056</v>
      </c>
      <c r="F1052" s="11" t="s">
        <v>3785</v>
      </c>
      <c r="G1052" s="129">
        <v>45959</v>
      </c>
      <c r="H1052" s="161" t="s">
        <v>7993</v>
      </c>
      <c r="I1052" s="160"/>
      <c r="J1052" s="633"/>
      <c r="K1052" s="160"/>
      <c r="L1052" s="701">
        <f t="shared" ref="L1052:L1073" si="19">IF(OR(I1052="", K1052=""), I1052 + K1052, I1052 + K1052)</f>
        <v>0</v>
      </c>
      <c r="M1052" s="160"/>
      <c r="N1052" s="22"/>
      <c r="O1052" s="22" t="s">
        <v>3759</v>
      </c>
    </row>
    <row r="1053" spans="1:15">
      <c r="A1053" s="10" t="s">
        <v>4345</v>
      </c>
      <c r="B1053" s="34" t="s">
        <v>8031</v>
      </c>
      <c r="C1053" s="10" t="s">
        <v>207</v>
      </c>
      <c r="D1053" s="11">
        <v>1</v>
      </c>
      <c r="E1053" s="11" t="s">
        <v>5555</v>
      </c>
      <c r="F1053" s="11" t="s">
        <v>3785</v>
      </c>
      <c r="G1053" s="129">
        <v>45959</v>
      </c>
      <c r="H1053" s="161" t="s">
        <v>7993</v>
      </c>
      <c r="I1053" s="160"/>
      <c r="J1053" s="633"/>
      <c r="K1053" s="160"/>
      <c r="L1053" s="701">
        <f t="shared" si="19"/>
        <v>0</v>
      </c>
      <c r="M1053" s="160"/>
      <c r="N1053" s="22"/>
      <c r="O1053" s="22" t="s">
        <v>3759</v>
      </c>
    </row>
    <row r="1054" spans="1:15">
      <c r="A1054" s="10" t="s">
        <v>7584</v>
      </c>
      <c r="B1054" s="34" t="s">
        <v>8133</v>
      </c>
      <c r="C1054" s="10" t="s">
        <v>8134</v>
      </c>
      <c r="D1054" s="11">
        <v>1</v>
      </c>
      <c r="E1054" s="11" t="s">
        <v>4809</v>
      </c>
      <c r="F1054" s="11" t="s">
        <v>3785</v>
      </c>
      <c r="G1054" s="129">
        <v>42816</v>
      </c>
      <c r="H1054" s="161" t="s">
        <v>8135</v>
      </c>
      <c r="I1054" s="160"/>
      <c r="J1054" s="633"/>
      <c r="K1054" s="160">
        <v>3300</v>
      </c>
      <c r="L1054" s="701">
        <f t="shared" si="19"/>
        <v>3300</v>
      </c>
      <c r="M1054" s="160"/>
      <c r="N1054" s="22"/>
      <c r="O1054" s="22" t="s">
        <v>3759</v>
      </c>
    </row>
    <row r="1055" spans="1:15">
      <c r="A1055" s="10" t="s">
        <v>7541</v>
      </c>
      <c r="B1055" s="34" t="s">
        <v>8159</v>
      </c>
      <c r="C1055" s="10" t="s">
        <v>6343</v>
      </c>
      <c r="D1055" s="11">
        <v>1</v>
      </c>
      <c r="E1055" s="11" t="s">
        <v>8160</v>
      </c>
      <c r="F1055" s="11" t="s">
        <v>3798</v>
      </c>
      <c r="G1055" s="129">
        <v>42853</v>
      </c>
      <c r="H1055" s="161" t="s">
        <v>8181</v>
      </c>
      <c r="I1055" s="160"/>
      <c r="J1055" s="633"/>
      <c r="K1055" s="160"/>
      <c r="L1055" s="701">
        <f t="shared" si="19"/>
        <v>0</v>
      </c>
      <c r="M1055" s="160"/>
      <c r="N1055" s="22" t="s">
        <v>8178</v>
      </c>
      <c r="O1055" s="22" t="s">
        <v>3759</v>
      </c>
    </row>
    <row r="1056" spans="1:15">
      <c r="A1056" s="10" t="s">
        <v>8161</v>
      </c>
      <c r="B1056" s="34" t="s">
        <v>8162</v>
      </c>
      <c r="C1056" s="10" t="s">
        <v>690</v>
      </c>
      <c r="D1056" s="11">
        <v>1</v>
      </c>
      <c r="E1056" s="11" t="s">
        <v>8160</v>
      </c>
      <c r="F1056" s="11"/>
      <c r="G1056" s="11"/>
      <c r="H1056" s="161"/>
      <c r="I1056" s="160"/>
      <c r="J1056" s="633"/>
      <c r="K1056" s="160"/>
      <c r="L1056" s="701">
        <f t="shared" si="19"/>
        <v>0</v>
      </c>
      <c r="M1056" s="160"/>
      <c r="N1056" s="22" t="s">
        <v>8184</v>
      </c>
      <c r="O1056" s="22" t="s">
        <v>3754</v>
      </c>
    </row>
    <row r="1057" spans="1:15" hidden="1">
      <c r="A1057" s="10" t="s">
        <v>8164</v>
      </c>
      <c r="B1057" s="34" t="s">
        <v>8165</v>
      </c>
      <c r="C1057" s="10" t="s">
        <v>2701</v>
      </c>
      <c r="D1057" s="11">
        <v>1</v>
      </c>
      <c r="E1057" s="11" t="s">
        <v>8171</v>
      </c>
      <c r="F1057" s="11" t="s">
        <v>3763</v>
      </c>
      <c r="G1057" s="129">
        <v>45708</v>
      </c>
      <c r="H1057" s="161" t="s">
        <v>8180</v>
      </c>
      <c r="I1057" s="160">
        <v>25000</v>
      </c>
      <c r="J1057" s="633"/>
      <c r="K1057" s="160"/>
      <c r="L1057" s="701">
        <f t="shared" si="19"/>
        <v>25000</v>
      </c>
      <c r="M1057" s="160"/>
      <c r="N1057" s="22" t="s">
        <v>8183</v>
      </c>
      <c r="O1057" s="22" t="s">
        <v>3759</v>
      </c>
    </row>
    <row r="1058" spans="1:15">
      <c r="A1058" s="10" t="s">
        <v>8166</v>
      </c>
      <c r="B1058" s="34">
        <v>165</v>
      </c>
      <c r="C1058" s="10" t="s">
        <v>7487</v>
      </c>
      <c r="D1058" s="11">
        <v>1</v>
      </c>
      <c r="E1058" s="11" t="s">
        <v>8175</v>
      </c>
      <c r="F1058" s="11" t="s">
        <v>3763</v>
      </c>
      <c r="G1058" s="129">
        <v>44817</v>
      </c>
      <c r="H1058" s="161" t="s">
        <v>8174</v>
      </c>
      <c r="I1058" s="160"/>
      <c r="J1058" s="633"/>
      <c r="K1058" s="160"/>
      <c r="L1058" s="701">
        <f t="shared" si="19"/>
        <v>0</v>
      </c>
      <c r="M1058" s="160"/>
      <c r="N1058" s="22" t="s">
        <v>8178</v>
      </c>
      <c r="O1058" s="22" t="s">
        <v>3759</v>
      </c>
    </row>
    <row r="1059" spans="1:15">
      <c r="A1059" s="10" t="s">
        <v>8167</v>
      </c>
      <c r="B1059" s="34" t="s">
        <v>8168</v>
      </c>
      <c r="C1059" s="10" t="s">
        <v>8170</v>
      </c>
      <c r="D1059" s="11">
        <v>1</v>
      </c>
      <c r="E1059" s="11" t="s">
        <v>8172</v>
      </c>
      <c r="F1059" s="11" t="s">
        <v>3785</v>
      </c>
      <c r="G1059" s="129">
        <v>45777</v>
      </c>
      <c r="H1059" s="161" t="s">
        <v>8177</v>
      </c>
      <c r="I1059" s="160">
        <v>10500</v>
      </c>
      <c r="J1059" s="633"/>
      <c r="K1059" s="160"/>
      <c r="L1059" s="701">
        <f t="shared" si="19"/>
        <v>10500</v>
      </c>
      <c r="M1059" s="160"/>
      <c r="N1059" s="22" t="s">
        <v>8179</v>
      </c>
      <c r="O1059" s="22" t="s">
        <v>3759</v>
      </c>
    </row>
    <row r="1060" spans="1:15">
      <c r="A1060" s="10" t="s">
        <v>8167</v>
      </c>
      <c r="B1060" s="34" t="s">
        <v>8169</v>
      </c>
      <c r="C1060" s="10" t="s">
        <v>8170</v>
      </c>
      <c r="D1060" s="11">
        <v>1</v>
      </c>
      <c r="E1060" s="11" t="s">
        <v>8173</v>
      </c>
      <c r="F1060" s="11" t="s">
        <v>3785</v>
      </c>
      <c r="G1060" s="129">
        <v>45670</v>
      </c>
      <c r="H1060" s="161" t="s">
        <v>8177</v>
      </c>
      <c r="I1060" s="160">
        <v>10500</v>
      </c>
      <c r="J1060" s="633"/>
      <c r="K1060" s="160"/>
      <c r="L1060" s="701">
        <f t="shared" si="19"/>
        <v>10500</v>
      </c>
      <c r="M1060" s="160"/>
      <c r="N1060" s="22" t="s">
        <v>8179</v>
      </c>
      <c r="O1060" s="22" t="s">
        <v>3759</v>
      </c>
    </row>
    <row r="1061" spans="1:15">
      <c r="A1061" s="3" t="s">
        <v>4844</v>
      </c>
      <c r="B1061" s="3" t="s">
        <v>4845</v>
      </c>
      <c r="C1061" s="33" t="s">
        <v>8086</v>
      </c>
      <c r="D1061" s="11">
        <v>1</v>
      </c>
      <c r="E1061" s="11" t="s">
        <v>4071</v>
      </c>
      <c r="F1061" s="11" t="s">
        <v>3785</v>
      </c>
      <c r="G1061" s="129">
        <v>45965</v>
      </c>
      <c r="H1061" s="161" t="s">
        <v>7993</v>
      </c>
      <c r="I1061" s="160"/>
      <c r="J1061" s="633"/>
      <c r="K1061" s="160"/>
      <c r="L1061" s="701">
        <f t="shared" si="19"/>
        <v>0</v>
      </c>
      <c r="M1061" s="160"/>
      <c r="N1061" s="22"/>
      <c r="O1061" s="22" t="s">
        <v>3759</v>
      </c>
    </row>
    <row r="1062" spans="1:15">
      <c r="A1062" s="323" t="s">
        <v>4849</v>
      </c>
      <c r="B1062" s="323">
        <v>792132</v>
      </c>
      <c r="C1062" s="323" t="s">
        <v>4668</v>
      </c>
      <c r="D1062" s="11">
        <v>1</v>
      </c>
      <c r="E1062" s="11" t="s">
        <v>4857</v>
      </c>
      <c r="F1062" s="11" t="s">
        <v>3785</v>
      </c>
      <c r="G1062" s="129">
        <v>45965</v>
      </c>
      <c r="H1062" s="161" t="s">
        <v>7993</v>
      </c>
      <c r="I1062" s="160"/>
      <c r="J1062" s="633"/>
      <c r="K1062" s="160"/>
      <c r="L1062" s="701">
        <f t="shared" si="19"/>
        <v>0</v>
      </c>
      <c r="M1062" s="160"/>
      <c r="N1062" s="22"/>
      <c r="O1062" s="22" t="s">
        <v>3759</v>
      </c>
    </row>
    <row r="1063" spans="1:15">
      <c r="A1063" s="323">
        <v>47649</v>
      </c>
      <c r="B1063" s="323">
        <v>1072</v>
      </c>
      <c r="C1063" s="323" t="s">
        <v>3775</v>
      </c>
      <c r="D1063" s="11">
        <v>1</v>
      </c>
      <c r="E1063" s="11" t="s">
        <v>4595</v>
      </c>
      <c r="F1063" s="11" t="s">
        <v>3763</v>
      </c>
      <c r="G1063" s="129">
        <v>45868</v>
      </c>
      <c r="H1063" s="161" t="s">
        <v>5166</v>
      </c>
      <c r="I1063" s="160"/>
      <c r="J1063" s="633"/>
      <c r="K1063" s="160"/>
      <c r="L1063" s="701">
        <f t="shared" si="19"/>
        <v>0</v>
      </c>
      <c r="M1063" s="160"/>
      <c r="N1063" s="22"/>
      <c r="O1063" s="22" t="s">
        <v>3759</v>
      </c>
    </row>
    <row r="1064" spans="1:15">
      <c r="A1064" s="7" t="s">
        <v>6609</v>
      </c>
      <c r="B1064" s="7">
        <v>1624</v>
      </c>
      <c r="C1064" s="10" t="s">
        <v>5172</v>
      </c>
      <c r="D1064" s="11">
        <v>1</v>
      </c>
      <c r="E1064" s="11" t="s">
        <v>8185</v>
      </c>
      <c r="F1064" s="11" t="s">
        <v>3763</v>
      </c>
      <c r="G1064" s="129">
        <v>45961</v>
      </c>
      <c r="H1064" s="161" t="s">
        <v>3951</v>
      </c>
      <c r="I1064" s="160"/>
      <c r="J1064" s="633"/>
      <c r="K1064" s="160"/>
      <c r="L1064" s="701">
        <f t="shared" si="19"/>
        <v>0</v>
      </c>
      <c r="M1064" s="160"/>
      <c r="N1064" s="22"/>
      <c r="O1064" s="22" t="s">
        <v>3759</v>
      </c>
    </row>
    <row r="1065" spans="1:15">
      <c r="A1065" s="16" t="s">
        <v>3265</v>
      </c>
      <c r="B1065" s="34">
        <v>80872</v>
      </c>
      <c r="C1065" s="10" t="s">
        <v>1521</v>
      </c>
      <c r="D1065" s="11">
        <v>1</v>
      </c>
      <c r="E1065" s="11" t="s">
        <v>4141</v>
      </c>
      <c r="F1065" s="11" t="s">
        <v>3785</v>
      </c>
      <c r="G1065" s="129">
        <v>45960</v>
      </c>
      <c r="H1065" s="161" t="s">
        <v>3834</v>
      </c>
      <c r="I1065" s="160"/>
      <c r="J1065" s="633"/>
      <c r="K1065" s="160"/>
      <c r="L1065" s="701">
        <f t="shared" si="19"/>
        <v>0</v>
      </c>
      <c r="M1065" s="160"/>
      <c r="N1065" s="22"/>
      <c r="O1065" s="22" t="s">
        <v>3759</v>
      </c>
    </row>
    <row r="1066" spans="1:15">
      <c r="A1066" s="7" t="s">
        <v>6035</v>
      </c>
      <c r="B1066" s="34" t="s">
        <v>8187</v>
      </c>
      <c r="C1066" s="10" t="s">
        <v>1521</v>
      </c>
      <c r="D1066" s="11">
        <v>1</v>
      </c>
      <c r="E1066" s="11" t="s">
        <v>4141</v>
      </c>
      <c r="F1066" s="11" t="s">
        <v>3785</v>
      </c>
      <c r="G1066" s="129">
        <v>45960</v>
      </c>
      <c r="H1066" s="161" t="s">
        <v>3834</v>
      </c>
      <c r="I1066" s="160"/>
      <c r="J1066" s="633"/>
      <c r="K1066" s="160"/>
      <c r="L1066" s="701">
        <f t="shared" si="19"/>
        <v>0</v>
      </c>
      <c r="M1066" s="160"/>
      <c r="N1066" s="22"/>
      <c r="O1066" s="22" t="s">
        <v>3759</v>
      </c>
    </row>
    <row r="1067" spans="1:15">
      <c r="A1067" s="203" t="s">
        <v>8189</v>
      </c>
      <c r="B1067" s="204" t="s">
        <v>8190</v>
      </c>
      <c r="C1067" s="75" t="s">
        <v>8191</v>
      </c>
      <c r="D1067" s="11">
        <v>1</v>
      </c>
      <c r="E1067" s="11" t="s">
        <v>4391</v>
      </c>
      <c r="F1067" s="11" t="s">
        <v>3785</v>
      </c>
      <c r="G1067" s="129">
        <v>45961</v>
      </c>
      <c r="H1067" s="161" t="s">
        <v>3834</v>
      </c>
      <c r="I1067" s="160"/>
      <c r="J1067" s="633"/>
      <c r="K1067" s="160"/>
      <c r="L1067" s="701">
        <f t="shared" si="19"/>
        <v>0</v>
      </c>
      <c r="M1067" s="160"/>
      <c r="N1067" s="22"/>
      <c r="O1067" s="22" t="s">
        <v>3759</v>
      </c>
    </row>
    <row r="1068" spans="1:15">
      <c r="A1068" s="222" t="s">
        <v>5538</v>
      </c>
      <c r="B1068" s="222" t="s">
        <v>6459</v>
      </c>
      <c r="C1068" s="33" t="s">
        <v>1423</v>
      </c>
      <c r="D1068" s="11">
        <v>1</v>
      </c>
      <c r="E1068" s="11" t="s">
        <v>4794</v>
      </c>
      <c r="F1068" s="11" t="s">
        <v>3785</v>
      </c>
      <c r="G1068" s="129">
        <v>45968</v>
      </c>
      <c r="H1068" s="161" t="s">
        <v>3834</v>
      </c>
      <c r="I1068" s="160"/>
      <c r="J1068" s="633"/>
      <c r="K1068" s="160"/>
      <c r="L1068" s="701">
        <f t="shared" si="19"/>
        <v>0</v>
      </c>
      <c r="M1068" s="160"/>
      <c r="N1068" s="22"/>
      <c r="O1068" s="22" t="s">
        <v>3759</v>
      </c>
    </row>
    <row r="1069" spans="1:15">
      <c r="A1069" s="3" t="s">
        <v>5131</v>
      </c>
      <c r="B1069" s="3">
        <v>6047</v>
      </c>
      <c r="C1069" s="33" t="s">
        <v>8087</v>
      </c>
      <c r="D1069" s="11">
        <v>1</v>
      </c>
      <c r="E1069" s="129" t="s">
        <v>3944</v>
      </c>
      <c r="F1069" s="11" t="s">
        <v>3785</v>
      </c>
      <c r="G1069" s="129">
        <v>45972</v>
      </c>
      <c r="H1069" s="161" t="s">
        <v>5135</v>
      </c>
      <c r="I1069" s="160"/>
      <c r="J1069" s="633"/>
      <c r="K1069" s="160"/>
      <c r="L1069" s="701">
        <f t="shared" si="19"/>
        <v>0</v>
      </c>
      <c r="M1069" s="160"/>
      <c r="N1069" s="22"/>
      <c r="O1069" s="22" t="s">
        <v>3759</v>
      </c>
    </row>
    <row r="1070" spans="1:15">
      <c r="A1070" s="323" t="s">
        <v>7826</v>
      </c>
      <c r="B1070" s="323">
        <v>12072827</v>
      </c>
      <c r="C1070" s="323" t="s">
        <v>3779</v>
      </c>
      <c r="D1070" s="11">
        <v>1</v>
      </c>
      <c r="E1070" s="11" t="s">
        <v>5012</v>
      </c>
      <c r="F1070" s="11" t="s">
        <v>3785</v>
      </c>
      <c r="G1070" s="129">
        <v>45968</v>
      </c>
      <c r="H1070" s="161" t="s">
        <v>4138</v>
      </c>
      <c r="I1070" s="160"/>
      <c r="J1070" s="633"/>
      <c r="K1070" s="160"/>
      <c r="L1070" s="701">
        <f t="shared" si="19"/>
        <v>0</v>
      </c>
      <c r="M1070" s="160"/>
      <c r="N1070" s="22"/>
      <c r="O1070" s="22" t="s">
        <v>3759</v>
      </c>
    </row>
    <row r="1071" spans="1:15">
      <c r="A1071" s="323" t="s">
        <v>4209</v>
      </c>
      <c r="B1071" s="323" t="s">
        <v>8004</v>
      </c>
      <c r="C1071" s="323" t="s">
        <v>5746</v>
      </c>
      <c r="D1071" s="11">
        <v>1</v>
      </c>
      <c r="E1071" s="129" t="s">
        <v>3944</v>
      </c>
      <c r="F1071" s="11" t="s">
        <v>3763</v>
      </c>
      <c r="G1071" s="129">
        <v>45961</v>
      </c>
      <c r="H1071" s="161" t="s">
        <v>8195</v>
      </c>
      <c r="I1071" s="160"/>
      <c r="J1071" s="633"/>
      <c r="K1071" s="160"/>
      <c r="L1071" s="701">
        <f t="shared" si="19"/>
        <v>0</v>
      </c>
      <c r="M1071" s="160"/>
      <c r="N1071" s="22"/>
      <c r="O1071" s="22" t="s">
        <v>3759</v>
      </c>
    </row>
    <row r="1072" spans="1:15">
      <c r="A1072" s="7" t="s">
        <v>4537</v>
      </c>
      <c r="B1072" s="13" t="s">
        <v>7456</v>
      </c>
      <c r="C1072" s="3" t="s">
        <v>207</v>
      </c>
      <c r="D1072" s="11">
        <v>1</v>
      </c>
      <c r="E1072" s="11" t="s">
        <v>4604</v>
      </c>
      <c r="F1072" s="11" t="s">
        <v>3785</v>
      </c>
      <c r="G1072" s="129">
        <v>45971</v>
      </c>
      <c r="H1072" s="161" t="s">
        <v>7993</v>
      </c>
      <c r="I1072" s="160"/>
      <c r="J1072" s="633"/>
      <c r="K1072" s="160"/>
      <c r="L1072" s="701">
        <f t="shared" si="19"/>
        <v>0</v>
      </c>
      <c r="M1072" s="160"/>
      <c r="N1072" s="22"/>
      <c r="O1072" s="22" t="s">
        <v>3759</v>
      </c>
    </row>
    <row r="1073" spans="1:15">
      <c r="A1073" s="167">
        <v>731753</v>
      </c>
      <c r="B1073" s="204">
        <v>16035</v>
      </c>
      <c r="C1073" s="255" t="s">
        <v>5070</v>
      </c>
      <c r="D1073" s="11">
        <v>1</v>
      </c>
      <c r="E1073" s="11" t="s">
        <v>3831</v>
      </c>
      <c r="F1073" s="11" t="s">
        <v>3785</v>
      </c>
      <c r="G1073" s="129">
        <v>45971</v>
      </c>
      <c r="H1073" s="161" t="s">
        <v>7993</v>
      </c>
      <c r="I1073" s="160"/>
      <c r="J1073" s="633"/>
      <c r="K1073" s="160"/>
      <c r="L1073" s="701">
        <f t="shared" si="19"/>
        <v>0</v>
      </c>
      <c r="M1073" s="160"/>
      <c r="N1073" s="22"/>
      <c r="O1073" s="22" t="s">
        <v>3759</v>
      </c>
    </row>
    <row r="1074" spans="1:15">
      <c r="A1074" s="323" t="s">
        <v>4688</v>
      </c>
      <c r="B1074" s="748" t="s">
        <v>4720</v>
      </c>
      <c r="C1074" s="323" t="s">
        <v>8007</v>
      </c>
      <c r="D1074" s="11">
        <v>1</v>
      </c>
      <c r="E1074" s="11" t="s">
        <v>4744</v>
      </c>
      <c r="F1074" s="11" t="s">
        <v>3798</v>
      </c>
      <c r="G1074" s="129">
        <v>45971</v>
      </c>
      <c r="H1074" s="161" t="s">
        <v>8071</v>
      </c>
      <c r="I1074" s="160"/>
      <c r="J1074" s="633"/>
      <c r="K1074" s="160"/>
      <c r="L1074" s="701">
        <f t="shared" ref="L1074:L1082" si="20">IF(OR(I1074="", K1074=""), I1074 + K1074, I1074 + K1074)</f>
        <v>0</v>
      </c>
      <c r="M1074" s="160"/>
      <c r="N1074" s="22"/>
      <c r="O1074" s="22" t="s">
        <v>3759</v>
      </c>
    </row>
    <row r="1075" spans="1:15">
      <c r="A1075" s="10"/>
      <c r="B1075" s="34"/>
      <c r="C1075" s="10"/>
      <c r="D1075" s="11"/>
      <c r="E1075" s="11"/>
      <c r="F1075" s="11"/>
      <c r="G1075" s="11"/>
      <c r="H1075" s="161"/>
      <c r="I1075" s="160"/>
      <c r="J1075" s="633"/>
      <c r="K1075" s="160"/>
      <c r="L1075" s="701">
        <f t="shared" si="20"/>
        <v>0</v>
      </c>
      <c r="M1075" s="160"/>
      <c r="N1075" s="22"/>
      <c r="O1075" s="22"/>
    </row>
    <row r="1076" spans="1:15">
      <c r="A1076" s="10"/>
      <c r="B1076" s="34"/>
      <c r="C1076" s="10"/>
      <c r="D1076" s="11"/>
      <c r="E1076" s="11"/>
      <c r="F1076" s="11"/>
      <c r="G1076" s="11"/>
      <c r="H1076" s="161"/>
      <c r="I1076" s="160"/>
      <c r="J1076" s="633"/>
      <c r="K1076" s="160"/>
      <c r="L1076" s="701">
        <f t="shared" si="20"/>
        <v>0</v>
      </c>
      <c r="M1076" s="160"/>
      <c r="N1076" s="22"/>
      <c r="O1076" s="22"/>
    </row>
    <row r="1077" spans="1:15">
      <c r="A1077" s="10"/>
      <c r="B1077" s="34"/>
      <c r="C1077" s="10"/>
      <c r="D1077" s="11"/>
      <c r="E1077" s="11"/>
      <c r="F1077" s="11"/>
      <c r="G1077" s="11"/>
      <c r="H1077" s="161"/>
      <c r="I1077" s="160"/>
      <c r="J1077" s="633"/>
      <c r="K1077" s="160"/>
      <c r="L1077" s="701">
        <f t="shared" si="20"/>
        <v>0</v>
      </c>
      <c r="M1077" s="160"/>
      <c r="N1077" s="22"/>
      <c r="O1077" s="22"/>
    </row>
    <row r="1078" spans="1:15">
      <c r="A1078" s="10"/>
      <c r="B1078" s="34"/>
      <c r="C1078" s="10"/>
      <c r="D1078" s="11"/>
      <c r="E1078" s="11"/>
      <c r="F1078" s="11"/>
      <c r="G1078" s="11"/>
      <c r="H1078" s="161"/>
      <c r="I1078" s="160"/>
      <c r="J1078" s="633"/>
      <c r="K1078" s="160"/>
      <c r="L1078" s="701">
        <f t="shared" si="20"/>
        <v>0</v>
      </c>
      <c r="M1078" s="160"/>
      <c r="N1078" s="22"/>
      <c r="O1078" s="22"/>
    </row>
    <row r="1079" spans="1:15">
      <c r="A1079" s="10"/>
      <c r="B1079" s="34"/>
      <c r="C1079" s="10"/>
      <c r="D1079" s="11"/>
      <c r="E1079" s="11"/>
      <c r="F1079" s="11"/>
      <c r="G1079" s="11"/>
      <c r="H1079" s="161"/>
      <c r="I1079" s="160"/>
      <c r="J1079" s="633"/>
      <c r="K1079" s="160"/>
      <c r="L1079" s="701">
        <f t="shared" si="20"/>
        <v>0</v>
      </c>
      <c r="M1079" s="160"/>
      <c r="N1079" s="22"/>
      <c r="O1079" s="22"/>
    </row>
    <row r="1080" spans="1:15">
      <c r="A1080" s="10"/>
      <c r="B1080" s="34"/>
      <c r="C1080" s="10"/>
      <c r="D1080" s="11"/>
      <c r="E1080" s="11"/>
      <c r="F1080" s="11"/>
      <c r="G1080" s="11"/>
      <c r="H1080" s="161"/>
      <c r="I1080" s="160"/>
      <c r="J1080" s="633"/>
      <c r="K1080" s="160"/>
      <c r="L1080" s="701">
        <f t="shared" si="20"/>
        <v>0</v>
      </c>
      <c r="M1080" s="160"/>
      <c r="N1080" s="22"/>
      <c r="O1080" s="22"/>
    </row>
    <row r="1081" spans="1:15">
      <c r="A1081" s="10"/>
      <c r="B1081" s="34"/>
      <c r="C1081" s="10"/>
      <c r="D1081" s="11"/>
      <c r="E1081" s="11"/>
      <c r="F1081" s="11"/>
      <c r="G1081" s="11"/>
      <c r="H1081" s="161"/>
      <c r="I1081" s="160"/>
      <c r="J1081" s="633"/>
      <c r="K1081" s="160"/>
      <c r="L1081" s="701">
        <f t="shared" si="20"/>
        <v>0</v>
      </c>
      <c r="M1081" s="160"/>
      <c r="N1081" s="22"/>
      <c r="O1081" s="22"/>
    </row>
    <row r="1082" spans="1:15">
      <c r="A1082" s="10"/>
      <c r="B1082" s="34"/>
      <c r="C1082" s="10"/>
      <c r="D1082" s="11"/>
      <c r="E1082" s="11"/>
      <c r="F1082" s="11"/>
      <c r="G1082" s="11"/>
      <c r="H1082" s="161"/>
      <c r="I1082" s="160"/>
      <c r="J1082" s="633"/>
      <c r="K1082" s="160"/>
      <c r="L1082" s="701">
        <f t="shared" si="20"/>
        <v>0</v>
      </c>
      <c r="M1082" s="160"/>
      <c r="N1082" s="22"/>
      <c r="O1082" s="22"/>
    </row>
    <row r="1048571" spans="9:9">
      <c r="I1048571" s="139">
        <f ca="1">SUM(I1:I1048570)</f>
        <v>602269.13</v>
      </c>
    </row>
  </sheetData>
  <mergeCells count="1">
    <mergeCell ref="A1:O2"/>
  </mergeCells>
  <phoneticPr fontId="1" type="noConversion"/>
  <conditionalFormatting sqref="C726">
    <cfRule type="containsText" dxfId="143" priority="49" operator="containsText" text="NO">
      <formula>NOT(ISERROR(SEARCH("NO",C726)))</formula>
    </cfRule>
    <cfRule type="containsText" dxfId="142" priority="50" operator="containsText" text="NO">
      <formula>NOT(ISERROR(SEARCH("NO",C726)))</formula>
    </cfRule>
    <cfRule type="containsText" dxfId="141" priority="51" operator="containsText" text="NO">
      <formula>NOT(ISERROR(SEARCH("NO",C726)))</formula>
    </cfRule>
    <cfRule type="containsText" dxfId="140" priority="52" operator="containsText" text="NO">
      <formula>NOT(ISERROR(SEARCH("NO",C726)))</formula>
    </cfRule>
    <cfRule type="containsText" dxfId="139" priority="53" operator="containsText" text="SI">
      <formula>NOT(ISERROR(SEARCH("SI",C726)))</formula>
    </cfRule>
  </conditionalFormatting>
  <conditionalFormatting sqref="F452">
    <cfRule type="containsText" dxfId="138" priority="42" operator="containsText" text="OK">
      <formula>NOT(ISERROR(SEARCH("OK",F452)))</formula>
    </cfRule>
    <cfRule type="containsText" dxfId="137" priority="41" operator="containsText" text="MISSING">
      <formula>NOT(ISERROR(SEARCH("MISSING",F452)))</formula>
    </cfRule>
  </conditionalFormatting>
  <conditionalFormatting sqref="F3:K6 M4:M6 F7:M7 F8:G8 F9:H9 F10:G10 F11:H11 F12:G12 F13:K13 M13 F14:H14 F15:G16 F17:H17 F18:K18 M18 F19:M19 F20:H24 F25:M25 F26:H27 F28:M28 E29:G29 F30:H30 F31:K31 M31 F32:H32 F33:K33 M33 F34:H34 F35:K35 M35 F36:G36 F37:K38 M37:M38 F39:H40 F41:M41 F42:H42 F43:K44 M43:M44 F45:M45 F46:H47 F48:K48 M48 F49:H49 F50:G51 F52:H52 F53:K55 M53:M55 F56:H57 F58:K58 M58 F59:H62 F63:K63 M63 F64:H65 F66:M66 F67:G67 F68:H68 F69:K69 M69 F70:H74 F75:M75 F76:G76 F77:M77 F78:H79 F80:M80 F81:K81 M81 F82:M82 F83:H89 F90:K92 M90:M92 F93:H93 F94:M94 F95:K97 M95:M97 F98:H98 F99:K99 M99 F100:H109 F110:K110 M110 F111:H111 F112:K112 M112 F113:H130 F131:K131 M131:M132 I132:K132 F132:H133 F134:M135 F136:H220 I138:J140 K140 M140 I144:J447 K150:M150 K155:K156 M155:M156 K163:M163 K172 M172 K175 M175 K178:M178 K180 M180 K182:M183 K187 M187 K189:M189 K190 M190 K191:M195 K199:M199 K202:M202 K206:K207 M206:M207 K217 M217 K218:M218 F221:G221 F222:H447 K226 K233 M233 K242 M242 K243:M243 K246:M247 K248 M248 K249:M249 K251:M251 K252 M252 K265 M265 K267:M267 K271 M271 K273:K275 M273:M275 K278 M278 K281:M281 K285:M285 K286 M286 K288:M288 K291 M291 K296:M296 K297 M297 K298:M300 K304 M304 K324 M324 K327:M330 K332 M332 K338 M338 K341 M341 K348:M348 K349 M349 K352 M352 K359:M360 K366:M367 K369:M369 K370 M370 K371:M372 K376:M376 K379:M379 K380 M380 K383:M384 K388 M388 K389:M389 K395 M395 K397:M397 K405:M405 K407:M408 K412:M414 K417:M419 K420 M420 K422 M422 K423:M423 K424 M424 K425:M425 K430:M433 K435:M435 K436 M436 K438 M438 K440:M441 K444:M444 F449:H451 I449:J485 F453:H462 K457 M457 K459:M460 K462 F463:G464 F465:H465 K465:M466 F466:G466 F467:H485 K468:M468 K470 M470 K475:M476 K482 M482 K484 M484 F487:H507 I487:J588 K490:M490 K495:M495 K500 M500 K506:M506 F508:G508 F509:H588 K512:M512 K522:M522 K523:K524 M523:M524 K526:M526 K528 M528 K530:K532 M530:M532 K535:M535 K539 M539 K543 M543 K544:M545 K547:M547 K552:M553 K554:K556 M554:M556 K558:M558 K561 M561 K562:M562 K563:K564 M563:M566 K566 K572 M572 K580:K581 M580:M581 K586 M586 J590 K591:M591 F591:J594 K596:M596 F596:H633 I596:J664 K599 M599 K607:M607 K610:M610 K613:K614 M613:M614 K615:M615 K622:M622 K625:M626 K635:M635 F635:H664 K638:M638 K639 M639 K641:M641 K643:M643 K646:M647 K651 M651 K652:M653 K655 M655 K658:M658 K660 M660 K666:K667 M666:M667 F666:H715 I666:J761 K668:M668 K674 M674 K678:M678 K686:M686 K687 M687 K691:M691 K697 M697 K701 M701 K703 M703 K711:M712 F716:G716 F717:H724 K718 M718 F725:G726 F727:H747 K731:M731 K733 M733 K745:M745 F748:G749 K749 M749 F750:H761 K751 M751 K753 M753 K755 M755 K757:K759 M757:M759 L763:M763 M764 F765:H773 I765:J858 K771 M771 K772:M773 F775:H858 K787 M787 K790:K794 M790:M794 K795:M795 K796 M796 K797:M799 K800:K801 M800:M801 K802:M803 K804 M804 K805:M809 K810:K811 M810:M811 K812:M813 K814 M814 K815:M815 K816 M816 K817:M817 K818 M818 K819:M820 K821:K825 M821:M825 K826:M827 K828:K836 M828:M836 K837:M841 K842 M842 K843:M843 K844:K846 M844:M846 K847:M850 K851 M851 K852:M852 K853:K855 M853:M855 K856:M857 K858 M858:M866 F859:K866 F867:M867 F868:K868 M868 F869:M869 F870:K872 M870:M872 F873:M876 F877:K878 M877:M878 F879:M881 F882:K883 M882:M883 F884:M885 F886:K889 M886:M889 F890:M891 F892:K893 M892:M893 F894:M894 F895:K899 M895:M899 F900:M901 F902:K903 M902:M903 F904:M906 F907:K909 M907:M909 F910:M912 F913:K922 M913:M922 F923:M923 F924:K929 M924:M929 F930:M930 F931:K935 M931:M935 F936:M937 F938:K945 M938:M945 F946:M948 F949:K954 M949:M954 F955:M955 F956:K956 M956 F957:M957 F958:K960 M958:M960 F961:M965 F966:K974 M966:M974 F975:M975 F976:K976 M976 F977:M977 F978:K980 M978:M980 F981:M982 F983:G983 I983:K983 M983:M1001 F984:K1000 F1001:G1001 I1001:K1001 F1002:M1002 F1003:K1003 M1003 F1004:M1004 F1005:G1006 I1005:K1006 M1005:M1009 F1007:K1009 F1010:M1010 F1011:K1015 M1011:M1015 F1016:G1016 I1016:M1016 F1017:M1017 F1018:K1020 M1018:M1020 F1021:M1021 F1022:K1042 M1022:M1042 F1043:M1048576">
    <cfRule type="containsText" dxfId="136" priority="18" operator="containsText" text="MISSING">
      <formula>NOT(ISERROR(SEARCH("MISSING",E3)))</formula>
    </cfRule>
  </conditionalFormatting>
  <conditionalFormatting sqref="G452:H452">
    <cfRule type="containsText" dxfId="135" priority="27" operator="containsText" text="MISSING">
      <formula>NOT(ISERROR(SEARCH("MISSING",G452)))</formula>
    </cfRule>
  </conditionalFormatting>
  <conditionalFormatting sqref="H8 H10 H12 H15:H16 H36 H50:H51 H67 H76 H221 G634:H634 F774 H774">
    <cfRule type="containsText" dxfId="134" priority="45" operator="containsText" text="MISSING">
      <formula>NOT(ISERROR(SEARCH("MISSING",F8)))</formula>
    </cfRule>
  </conditionalFormatting>
  <conditionalFormatting sqref="H466">
    <cfRule type="containsText" dxfId="133" priority="13" operator="containsText" text="MISSING">
      <formula>NOT(ISERROR(SEARCH("MISSING",H466)))</formula>
    </cfRule>
  </conditionalFormatting>
  <conditionalFormatting sqref="H508">
    <cfRule type="containsText" dxfId="132" priority="11" operator="containsText" text="MISSING">
      <formula>NOT(ISERROR(SEARCH("MISSING",H508)))</formula>
    </cfRule>
  </conditionalFormatting>
  <conditionalFormatting sqref="H716">
    <cfRule type="containsText" dxfId="131" priority="12" operator="containsText" text="MISSING">
      <formula>NOT(ISERROR(SEARCH("MISSING",H716)))</formula>
    </cfRule>
  </conditionalFormatting>
  <conditionalFormatting sqref="H725:H726 H748:H749 H983 H1001 H1005:H1006 H1016">
    <cfRule type="containsText" dxfId="130" priority="10" operator="containsText" text="MISSING">
      <formula>NOT(ISERROR(SEARCH("MISSING",H725)))</formula>
    </cfRule>
  </conditionalFormatting>
  <conditionalFormatting sqref="M762">
    <cfRule type="containsText" dxfId="129" priority="8" operator="containsText" text="MISSING">
      <formula>NOT(ISERROR(SEARCH("MISSING",M762)))</formula>
    </cfRule>
  </conditionalFormatting>
  <conditionalFormatting sqref="N1:N1048576">
    <cfRule type="containsText" dxfId="128" priority="1" operator="containsText" text="CRATE">
      <formula>NOT(ISERROR(SEARCH("CRATE",N1)))</formula>
    </cfRule>
  </conditionalFormatting>
  <conditionalFormatting sqref="N3:N451 N494 N598:N599">
    <cfRule type="containsText" dxfId="127" priority="34" operator="containsText" text="CAMBIO">
      <formula>NOT(ISERROR(SEARCH("CAMBIO",N3)))</formula>
    </cfRule>
  </conditionalFormatting>
  <conditionalFormatting sqref="N29:N30 N35 N50 N69 N273 N453:N462 N464:N485 N487:N573 N575:N593 N595:N762 N827 N837 N847 N857:N1048576">
    <cfRule type="containsText" dxfId="126" priority="60" operator="containsText" text="CAMBIO">
      <formula>NOT(ISERROR(SEARCH("CAMBIO",N29)))</formula>
    </cfRule>
  </conditionalFormatting>
  <conditionalFormatting sqref="N464:N1048576 N3:N462">
    <cfRule type="containsText" dxfId="125" priority="19" operator="containsText" text="VENDIDO">
      <formula>NOT(ISERROR(SEARCH("VENDIDO",N3)))</formula>
    </cfRule>
  </conditionalFormatting>
  <conditionalFormatting sqref="N486">
    <cfRule type="containsText" dxfId="124" priority="4" operator="containsText" text="NO SISTEMA">
      <formula>NOT(ISERROR(SEARCH("NO SISTEMA",N486)))</formula>
    </cfRule>
    <cfRule type="containsText" dxfId="123" priority="5" operator="containsText" text="CAMBIO">
      <formula>NOT(ISERROR(SEARCH("CAMBIO",N486)))</formula>
    </cfRule>
  </conditionalFormatting>
  <conditionalFormatting sqref="N494 N598:N599 N3:N451">
    <cfRule type="containsText" dxfId="122" priority="33" operator="containsText" text="NO SISTEMA">
      <formula>NOT(ISERROR(SEARCH("NO SISTEMA",N3)))</formula>
    </cfRule>
  </conditionalFormatting>
  <conditionalFormatting sqref="N494 N598:N599">
    <cfRule type="containsText" dxfId="121" priority="32" operator="containsText" text="VENDIDO">
      <formula>NOT(ISERROR(SEARCH("VENDIDO",N494)))</formula>
    </cfRule>
  </conditionalFormatting>
  <conditionalFormatting sqref="N575:N593 N595:N855 N857:N1048576 N29:N30 N35 N50 N69 N273 N487:N573 N453:N462 N464:N485">
    <cfRule type="containsText" dxfId="120" priority="59" operator="containsText" text="NO SISTEMA">
      <formula>NOT(ISERROR(SEARCH("NO SISTEMA",N29)))</formula>
    </cfRule>
  </conditionalFormatting>
  <conditionalFormatting sqref="N575:N762 N827 N837 N847 N900:N901 N923">
    <cfRule type="containsText" dxfId="119" priority="57" operator="containsText" text="VENDIDO">
      <formula>NOT(ISERROR(SEARCH("VENDIDO",N575)))</formula>
    </cfRule>
  </conditionalFormatting>
  <conditionalFormatting sqref="N594">
    <cfRule type="containsText" dxfId="118" priority="56" operator="containsText" text="NO SISTEMA">
      <formula>NOT(ISERROR(SEARCH("NO SISTEMA",N594)))</formula>
    </cfRule>
    <cfRule type="containsText" dxfId="117" priority="58" operator="containsText" text="CAMBIO">
      <formula>NOT(ISERROR(SEARCH("CAMBIO",N594)))</formula>
    </cfRule>
  </conditionalFormatting>
  <conditionalFormatting sqref="N665">
    <cfRule type="containsText" dxfId="116" priority="2" operator="containsText" text="NO SISTEMA">
      <formula>NOT(ISERROR(SEARCH("NO SISTEMA",N665)))</formula>
    </cfRule>
    <cfRule type="containsText" dxfId="115" priority="3" operator="containsText" text="CAMBIO">
      <formula>NOT(ISERROR(SEARCH("CAMBIO",N665)))</formula>
    </cfRule>
  </conditionalFormatting>
  <conditionalFormatting sqref="N746:N748 N763 N765:N798 N800:N855">
    <cfRule type="containsText" dxfId="114" priority="102" operator="containsText" text="CAMBIO">
      <formula>NOT(ISERROR(SEARCH("CAMBIO",N746)))</formula>
    </cfRule>
  </conditionalFormatting>
  <conditionalFormatting sqref="N746:N748 N800:N855 N763 N765:N798">
    <cfRule type="containsText" dxfId="113" priority="101" operator="containsText" text="VENDIDO">
      <formula>NOT(ISERROR(SEARCH("VENDIDO",N746)))</formula>
    </cfRule>
  </conditionalFormatting>
  <conditionalFormatting sqref="N764">
    <cfRule type="containsText" dxfId="112" priority="7" operator="containsText" text="CAMBIO">
      <formula>NOT(ISERROR(SEARCH("CAMBIO",N764)))</formula>
    </cfRule>
    <cfRule type="containsText" dxfId="111" priority="6" operator="containsText" text="VENDIDO">
      <formula>NOT(ISERROR(SEARCH("VENDIDO",N764)))</formula>
    </cfRule>
  </conditionalFormatting>
  <conditionalFormatting sqref="N799">
    <cfRule type="containsText" dxfId="110" priority="24" operator="containsText" text="CAMBIO">
      <formula>NOT(ISERROR(SEARCH("CAMBIO",N799)))</formula>
    </cfRule>
    <cfRule type="containsText" dxfId="109" priority="23" operator="containsText" text="VENDIDO">
      <formula>NOT(ISERROR(SEARCH("VENDIDO",N799)))</formula>
    </cfRule>
  </conditionalFormatting>
  <conditionalFormatting sqref="N856 H463:H464 F634">
    <cfRule type="containsText" dxfId="108" priority="31" operator="containsText" text="MISSING">
      <formula>NOT(ISERROR(SEARCH("MISSING",F463)))</formula>
    </cfRule>
  </conditionalFormatting>
  <conditionalFormatting sqref="O3:O1048576">
    <cfRule type="containsText" dxfId="107" priority="29" operator="containsText" text="MISSING">
      <formula>NOT(ISERROR(SEARCH("MISSING",O3)))</formula>
    </cfRule>
    <cfRule type="containsText" dxfId="106" priority="28" operator="containsText" text="OK">
      <formula>NOT(ISERROR(SEARCH("OK",O3)))</formula>
    </cfRule>
    <cfRule type="containsText" dxfId="105" priority="30" operator="containsText" text="OK">
      <formula>NOT(ISERROR(SEARCH("OK",O3)))</formula>
    </cfRule>
  </conditionalFormatting>
  <pageMargins left="0.25" right="0.25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0EA0-9E55-4FDB-8665-576262BDD19E}">
  <sheetPr filterMode="1">
    <tabColor rgb="FFFFC000"/>
  </sheetPr>
  <dimension ref="A1:K603"/>
  <sheetViews>
    <sheetView zoomScaleNormal="100" workbookViewId="0">
      <pane ySplit="1" topLeftCell="A411" activePane="bottomLeft" state="frozen"/>
      <selection activeCell="M1001" sqref="M1001"/>
      <selection pane="bottomLeft" activeCell="A428" sqref="A1:K603"/>
    </sheetView>
  </sheetViews>
  <sheetFormatPr defaultColWidth="9.109375" defaultRowHeight="14.4"/>
  <cols>
    <col min="1" max="1" width="30" style="103" bestFit="1" customWidth="1"/>
    <col min="2" max="2" width="26.33203125" style="103" customWidth="1"/>
    <col min="3" max="3" width="26.44140625" style="103" customWidth="1"/>
    <col min="4" max="4" width="10.109375" style="26" customWidth="1"/>
    <col min="5" max="5" width="17.6640625" style="24" bestFit="1" customWidth="1"/>
    <col min="6" max="6" width="14.6640625" style="26" bestFit="1" customWidth="1"/>
    <col min="7" max="7" width="8.6640625" style="26" bestFit="1" customWidth="1"/>
    <col min="8" max="8" width="15.33203125" style="26" bestFit="1" customWidth="1"/>
    <col min="9" max="9" width="11.33203125" style="103" bestFit="1" customWidth="1"/>
    <col min="10" max="10" width="10.88671875" style="224" customWidth="1"/>
    <col min="11" max="12" width="9.109375" style="103"/>
    <col min="13" max="13" width="0" style="103" hidden="1" customWidth="1"/>
    <col min="14" max="16384" width="9.109375" style="103"/>
  </cols>
  <sheetData>
    <row r="1" spans="1:10" s="102" customFormat="1" ht="23.25" customHeight="1">
      <c r="A1" s="39" t="s">
        <v>5804</v>
      </c>
      <c r="B1" s="38" t="s">
        <v>3740</v>
      </c>
      <c r="C1" s="36" t="s">
        <v>3741</v>
      </c>
      <c r="D1" s="36" t="s">
        <v>3742</v>
      </c>
      <c r="E1" s="37" t="s">
        <v>5805</v>
      </c>
      <c r="F1" s="36" t="s">
        <v>3743</v>
      </c>
      <c r="G1" s="36" t="s">
        <v>5806</v>
      </c>
      <c r="H1" s="36" t="s">
        <v>3746</v>
      </c>
      <c r="I1" s="123" t="s">
        <v>5807</v>
      </c>
      <c r="J1" s="224"/>
    </row>
    <row r="2" spans="1:10">
      <c r="A2" s="7" t="s">
        <v>3975</v>
      </c>
      <c r="B2" s="8" t="s">
        <v>5748</v>
      </c>
      <c r="C2" s="11" t="s">
        <v>5812</v>
      </c>
      <c r="D2" s="12">
        <v>1</v>
      </c>
      <c r="E2" s="22">
        <v>0</v>
      </c>
      <c r="F2" s="12" t="s">
        <v>5810</v>
      </c>
      <c r="G2" s="12" t="s">
        <v>5811</v>
      </c>
      <c r="H2" s="12"/>
      <c r="I2" s="47"/>
    </row>
    <row r="3" spans="1:10">
      <c r="A3" s="7" t="s">
        <v>5813</v>
      </c>
      <c r="B3" s="8" t="s">
        <v>3748</v>
      </c>
      <c r="C3" s="11" t="s">
        <v>5814</v>
      </c>
      <c r="D3" s="12">
        <v>1</v>
      </c>
      <c r="E3" s="22">
        <v>0</v>
      </c>
      <c r="F3" s="12" t="s">
        <v>5810</v>
      </c>
      <c r="G3" s="12" t="s">
        <v>5811</v>
      </c>
      <c r="H3" s="12"/>
      <c r="I3" s="47" t="s">
        <v>3759</v>
      </c>
      <c r="J3" s="224">
        <v>75225</v>
      </c>
    </row>
    <row r="4" spans="1:10">
      <c r="A4" s="7" t="s">
        <v>5815</v>
      </c>
      <c r="B4" s="8" t="s">
        <v>5816</v>
      </c>
      <c r="C4" s="11" t="s">
        <v>2205</v>
      </c>
      <c r="D4" s="12">
        <v>1</v>
      </c>
      <c r="E4" s="22">
        <v>0</v>
      </c>
      <c r="F4" s="12" t="s">
        <v>5810</v>
      </c>
      <c r="G4" s="12" t="s">
        <v>5811</v>
      </c>
      <c r="H4" s="12"/>
      <c r="I4" s="47" t="s">
        <v>3759</v>
      </c>
      <c r="J4" s="224">
        <v>75225</v>
      </c>
    </row>
    <row r="5" spans="1:10">
      <c r="A5" s="7" t="s">
        <v>5818</v>
      </c>
      <c r="B5" s="8" t="s">
        <v>5819</v>
      </c>
      <c r="C5" s="11" t="s">
        <v>2205</v>
      </c>
      <c r="D5" s="12">
        <v>1</v>
      </c>
      <c r="E5" s="22">
        <v>0</v>
      </c>
      <c r="F5" s="12" t="s">
        <v>5810</v>
      </c>
      <c r="G5" s="12" t="s">
        <v>5811</v>
      </c>
      <c r="H5" s="12"/>
      <c r="I5" s="47" t="s">
        <v>3759</v>
      </c>
      <c r="J5" s="224">
        <v>75178</v>
      </c>
    </row>
    <row r="6" spans="1:10">
      <c r="A6" s="7" t="s">
        <v>5820</v>
      </c>
      <c r="B6" s="13" t="s">
        <v>5821</v>
      </c>
      <c r="C6" s="11" t="s">
        <v>5822</v>
      </c>
      <c r="D6" s="12">
        <v>1</v>
      </c>
      <c r="E6" s="22">
        <v>0</v>
      </c>
      <c r="F6" s="12" t="s">
        <v>5810</v>
      </c>
      <c r="G6" s="12" t="s">
        <v>5811</v>
      </c>
      <c r="H6" s="12"/>
      <c r="I6" s="47" t="s">
        <v>3759</v>
      </c>
      <c r="J6" s="224">
        <v>75225</v>
      </c>
    </row>
    <row r="7" spans="1:10">
      <c r="A7" s="7" t="s">
        <v>5825</v>
      </c>
      <c r="B7" s="8">
        <v>708545</v>
      </c>
      <c r="C7" s="11" t="s">
        <v>350</v>
      </c>
      <c r="D7" s="12">
        <v>1</v>
      </c>
      <c r="E7" s="22">
        <v>0</v>
      </c>
      <c r="F7" s="12" t="s">
        <v>5810</v>
      </c>
      <c r="G7" s="12" t="s">
        <v>5811</v>
      </c>
      <c r="H7" s="12"/>
      <c r="I7" s="47" t="s">
        <v>3807</v>
      </c>
      <c r="J7" s="224">
        <v>75196</v>
      </c>
    </row>
    <row r="8" spans="1:10">
      <c r="A8" s="7" t="s">
        <v>5830</v>
      </c>
      <c r="B8" s="8" t="s">
        <v>3748</v>
      </c>
      <c r="C8" s="11" t="s">
        <v>5831</v>
      </c>
      <c r="D8" s="12">
        <v>1</v>
      </c>
      <c r="E8" s="22">
        <v>0</v>
      </c>
      <c r="F8" s="12" t="s">
        <v>5810</v>
      </c>
      <c r="G8" s="12" t="s">
        <v>5811</v>
      </c>
      <c r="H8" s="12"/>
      <c r="I8" s="47" t="s">
        <v>3759</v>
      </c>
      <c r="J8" s="224">
        <v>75202</v>
      </c>
    </row>
    <row r="9" spans="1:10">
      <c r="A9" s="7" t="s">
        <v>5834</v>
      </c>
      <c r="B9" s="8">
        <v>3742</v>
      </c>
      <c r="C9" s="11" t="s">
        <v>5835</v>
      </c>
      <c r="D9" s="12">
        <v>1</v>
      </c>
      <c r="E9" s="22">
        <v>0</v>
      </c>
      <c r="F9" s="12" t="s">
        <v>5810</v>
      </c>
      <c r="G9" s="12" t="s">
        <v>5811</v>
      </c>
      <c r="H9" s="12"/>
      <c r="I9" s="47" t="s">
        <v>3807</v>
      </c>
      <c r="J9" s="224">
        <v>75179</v>
      </c>
    </row>
    <row r="10" spans="1:10">
      <c r="A10" s="7" t="s">
        <v>5836</v>
      </c>
      <c r="B10" s="8" t="s">
        <v>5837</v>
      </c>
      <c r="C10" s="11" t="s">
        <v>5833</v>
      </c>
      <c r="D10" s="12">
        <v>2</v>
      </c>
      <c r="E10" s="22">
        <v>0</v>
      </c>
      <c r="F10" s="12" t="s">
        <v>5810</v>
      </c>
      <c r="G10" s="12" t="s">
        <v>5811</v>
      </c>
      <c r="H10" s="12"/>
      <c r="I10" s="47" t="s">
        <v>3759</v>
      </c>
      <c r="J10" s="224">
        <v>75179</v>
      </c>
    </row>
    <row r="11" spans="1:10">
      <c r="A11" s="7" t="s">
        <v>5841</v>
      </c>
      <c r="B11" s="8">
        <v>1071244</v>
      </c>
      <c r="C11" s="11" t="s">
        <v>5842</v>
      </c>
      <c r="D11" s="12">
        <v>1</v>
      </c>
      <c r="E11" s="22">
        <v>0</v>
      </c>
      <c r="F11" s="12" t="s">
        <v>5810</v>
      </c>
      <c r="G11" s="12" t="s">
        <v>5811</v>
      </c>
      <c r="H11" s="12"/>
      <c r="I11" s="47" t="s">
        <v>3759</v>
      </c>
      <c r="J11" s="224">
        <v>75179</v>
      </c>
    </row>
    <row r="12" spans="1:10">
      <c r="A12" s="7" t="s">
        <v>5843</v>
      </c>
      <c r="B12" s="13" t="s">
        <v>5844</v>
      </c>
      <c r="C12" s="11" t="s">
        <v>2205</v>
      </c>
      <c r="D12" s="12">
        <v>1</v>
      </c>
      <c r="E12" s="22">
        <v>0</v>
      </c>
      <c r="F12" s="12" t="s">
        <v>5810</v>
      </c>
      <c r="G12" s="12" t="s">
        <v>5811</v>
      </c>
      <c r="H12" s="12"/>
      <c r="I12" s="47" t="s">
        <v>3807</v>
      </c>
      <c r="J12" s="224">
        <v>75180</v>
      </c>
    </row>
    <row r="13" spans="1:10">
      <c r="A13" s="9" t="s">
        <v>5845</v>
      </c>
      <c r="B13" s="13" t="s">
        <v>5846</v>
      </c>
      <c r="C13" s="11" t="s">
        <v>2205</v>
      </c>
      <c r="D13" s="12">
        <v>1</v>
      </c>
      <c r="E13" s="22">
        <v>0</v>
      </c>
      <c r="F13" s="12" t="s">
        <v>5810</v>
      </c>
      <c r="G13" s="12" t="s">
        <v>5811</v>
      </c>
      <c r="H13" s="12"/>
      <c r="I13" s="47" t="s">
        <v>3807</v>
      </c>
      <c r="J13" s="224">
        <v>75180</v>
      </c>
    </row>
    <row r="14" spans="1:10">
      <c r="A14" s="7" t="s">
        <v>5847</v>
      </c>
      <c r="B14" s="8">
        <v>225</v>
      </c>
      <c r="C14" s="11" t="s">
        <v>207</v>
      </c>
      <c r="D14" s="12">
        <v>1</v>
      </c>
      <c r="E14" s="22">
        <v>0</v>
      </c>
      <c r="F14" s="12" t="s">
        <v>5810</v>
      </c>
      <c r="G14" s="12" t="s">
        <v>5811</v>
      </c>
      <c r="H14" s="12"/>
      <c r="I14" s="47" t="s">
        <v>3759</v>
      </c>
      <c r="J14" s="224">
        <v>75196</v>
      </c>
    </row>
    <row r="15" spans="1:10">
      <c r="A15" s="9"/>
      <c r="B15" s="8"/>
      <c r="C15" s="11"/>
      <c r="D15" s="12"/>
      <c r="E15" s="22"/>
      <c r="F15" s="12"/>
      <c r="G15" s="12"/>
      <c r="H15" s="12"/>
      <c r="I15" s="76"/>
    </row>
    <row r="16" spans="1:10">
      <c r="A16" s="7" t="s">
        <v>5849</v>
      </c>
      <c r="B16" s="8" t="s">
        <v>5850</v>
      </c>
      <c r="C16" s="11" t="s">
        <v>5851</v>
      </c>
      <c r="D16" s="12">
        <v>1</v>
      </c>
      <c r="E16" s="22">
        <v>0</v>
      </c>
      <c r="F16" s="12" t="s">
        <v>5852</v>
      </c>
      <c r="G16" s="12" t="s">
        <v>5853</v>
      </c>
      <c r="H16" s="12"/>
      <c r="I16" s="47" t="s">
        <v>3759</v>
      </c>
      <c r="J16" s="224">
        <v>75202</v>
      </c>
    </row>
    <row r="17" spans="1:10">
      <c r="A17" s="9" t="s">
        <v>5818</v>
      </c>
      <c r="B17" s="8" t="s">
        <v>5854</v>
      </c>
      <c r="C17" s="11" t="s">
        <v>2205</v>
      </c>
      <c r="D17" s="12">
        <v>1</v>
      </c>
      <c r="E17" s="22">
        <v>0</v>
      </c>
      <c r="F17" s="12" t="s">
        <v>5852</v>
      </c>
      <c r="G17" s="12" t="s">
        <v>5853</v>
      </c>
      <c r="H17" s="12"/>
      <c r="I17" s="47" t="s">
        <v>3759</v>
      </c>
      <c r="J17" s="224">
        <v>75178</v>
      </c>
    </row>
    <row r="18" spans="1:10">
      <c r="A18" s="9" t="s">
        <v>5818</v>
      </c>
      <c r="B18" s="8" t="s">
        <v>5855</v>
      </c>
      <c r="C18" s="11" t="s">
        <v>2205</v>
      </c>
      <c r="D18" s="12">
        <v>1</v>
      </c>
      <c r="E18" s="22">
        <v>0</v>
      </c>
      <c r="F18" s="12" t="s">
        <v>5852</v>
      </c>
      <c r="G18" s="12" t="s">
        <v>5853</v>
      </c>
      <c r="H18" s="12"/>
      <c r="I18" s="47" t="s">
        <v>3759</v>
      </c>
      <c r="J18" s="224">
        <v>75178</v>
      </c>
    </row>
    <row r="19" spans="1:10">
      <c r="A19" s="7" t="s">
        <v>5861</v>
      </c>
      <c r="B19" s="8" t="s">
        <v>5862</v>
      </c>
      <c r="C19" s="11" t="s">
        <v>2205</v>
      </c>
      <c r="D19" s="12">
        <v>1</v>
      </c>
      <c r="E19" s="22">
        <v>0</v>
      </c>
      <c r="F19" s="12" t="s">
        <v>5852</v>
      </c>
      <c r="G19" s="12" t="s">
        <v>5853</v>
      </c>
      <c r="H19" s="12"/>
      <c r="I19" s="47" t="s">
        <v>3759</v>
      </c>
      <c r="J19" s="224">
        <v>75180</v>
      </c>
    </row>
    <row r="20" spans="1:10">
      <c r="A20" s="7" t="s">
        <v>5865</v>
      </c>
      <c r="B20" s="8" t="s">
        <v>5866</v>
      </c>
      <c r="C20" s="11" t="s">
        <v>2205</v>
      </c>
      <c r="D20" s="12">
        <v>1</v>
      </c>
      <c r="E20" s="22">
        <v>0</v>
      </c>
      <c r="F20" s="12" t="s">
        <v>5852</v>
      </c>
      <c r="G20" s="12" t="s">
        <v>5853</v>
      </c>
      <c r="H20" s="12"/>
      <c r="I20" s="47" t="s">
        <v>3759</v>
      </c>
      <c r="J20" s="224">
        <v>75180</v>
      </c>
    </row>
    <row r="21" spans="1:10">
      <c r="A21" s="9" t="s">
        <v>5861</v>
      </c>
      <c r="B21" s="8" t="s">
        <v>5867</v>
      </c>
      <c r="C21" s="11" t="s">
        <v>2205</v>
      </c>
      <c r="D21" s="12">
        <v>1</v>
      </c>
      <c r="E21" s="22">
        <v>0</v>
      </c>
      <c r="F21" s="12" t="s">
        <v>5852</v>
      </c>
      <c r="G21" s="12" t="s">
        <v>5853</v>
      </c>
      <c r="H21" s="12"/>
      <c r="I21" s="47" t="s">
        <v>3759</v>
      </c>
      <c r="J21" s="224">
        <v>75180</v>
      </c>
    </row>
    <row r="22" spans="1:10">
      <c r="A22" s="9" t="s">
        <v>5818</v>
      </c>
      <c r="B22" s="8" t="s">
        <v>5868</v>
      </c>
      <c r="C22" s="11" t="s">
        <v>2205</v>
      </c>
      <c r="D22" s="12">
        <v>1</v>
      </c>
      <c r="E22" s="22">
        <v>0</v>
      </c>
      <c r="F22" s="12" t="s">
        <v>5852</v>
      </c>
      <c r="G22" s="12" t="s">
        <v>5853</v>
      </c>
      <c r="H22" s="12"/>
      <c r="I22" s="47" t="s">
        <v>3759</v>
      </c>
      <c r="J22" s="224">
        <v>75178</v>
      </c>
    </row>
    <row r="23" spans="1:10">
      <c r="A23" s="9" t="s">
        <v>5865</v>
      </c>
      <c r="B23" s="8" t="s">
        <v>5869</v>
      </c>
      <c r="C23" s="11" t="s">
        <v>2205</v>
      </c>
      <c r="D23" s="12">
        <v>1</v>
      </c>
      <c r="E23" s="22">
        <v>0</v>
      </c>
      <c r="F23" s="12" t="s">
        <v>5852</v>
      </c>
      <c r="G23" s="12" t="s">
        <v>5853</v>
      </c>
      <c r="H23" s="12"/>
      <c r="I23" s="47" t="s">
        <v>3759</v>
      </c>
      <c r="J23" s="224">
        <v>75225</v>
      </c>
    </row>
    <row r="24" spans="1:10">
      <c r="A24" s="7" t="s">
        <v>5870</v>
      </c>
      <c r="B24" s="8">
        <v>10749</v>
      </c>
      <c r="C24" s="11" t="s">
        <v>5871</v>
      </c>
      <c r="D24" s="12">
        <v>1</v>
      </c>
      <c r="E24" s="22">
        <v>0</v>
      </c>
      <c r="F24" s="12" t="s">
        <v>5852</v>
      </c>
      <c r="G24" s="12" t="s">
        <v>5853</v>
      </c>
      <c r="H24" s="12"/>
      <c r="I24" s="47" t="s">
        <v>3759</v>
      </c>
      <c r="J24" s="224">
        <v>75195</v>
      </c>
    </row>
    <row r="25" spans="1:10">
      <c r="A25" s="9" t="s">
        <v>5872</v>
      </c>
      <c r="B25" s="8" t="s">
        <v>5873</v>
      </c>
      <c r="C25" s="11" t="s">
        <v>2205</v>
      </c>
      <c r="D25" s="12">
        <v>1</v>
      </c>
      <c r="E25" s="22">
        <v>0</v>
      </c>
      <c r="F25" s="12" t="s">
        <v>5852</v>
      </c>
      <c r="G25" s="12" t="s">
        <v>5853</v>
      </c>
      <c r="H25" s="12"/>
      <c r="I25" s="47" t="s">
        <v>3759</v>
      </c>
      <c r="J25" s="224">
        <v>75178</v>
      </c>
    </row>
    <row r="26" spans="1:10">
      <c r="A26" s="7" t="s">
        <v>5874</v>
      </c>
      <c r="B26" s="13" t="s">
        <v>5875</v>
      </c>
      <c r="C26" s="11" t="s">
        <v>2205</v>
      </c>
      <c r="D26" s="12">
        <v>1</v>
      </c>
      <c r="E26" s="22">
        <v>0</v>
      </c>
      <c r="F26" s="12" t="s">
        <v>5852</v>
      </c>
      <c r="G26" s="12" t="s">
        <v>5853</v>
      </c>
      <c r="H26" s="12"/>
      <c r="I26" s="47" t="s">
        <v>3759</v>
      </c>
      <c r="J26" s="224">
        <v>75179</v>
      </c>
    </row>
    <row r="27" spans="1:10">
      <c r="A27" s="9" t="s">
        <v>5861</v>
      </c>
      <c r="B27" s="8" t="s">
        <v>5876</v>
      </c>
      <c r="C27" s="11" t="s">
        <v>2205</v>
      </c>
      <c r="D27" s="12">
        <v>1</v>
      </c>
      <c r="E27" s="22">
        <v>0</v>
      </c>
      <c r="F27" s="12" t="s">
        <v>5852</v>
      </c>
      <c r="G27" s="12" t="s">
        <v>5853</v>
      </c>
      <c r="H27" s="12"/>
      <c r="I27" s="47" t="s">
        <v>3759</v>
      </c>
      <c r="J27" s="224">
        <v>75180</v>
      </c>
    </row>
    <row r="28" spans="1:10">
      <c r="A28" s="9" t="s">
        <v>5877</v>
      </c>
      <c r="B28" s="8" t="s">
        <v>5878</v>
      </c>
      <c r="C28" s="11" t="s">
        <v>2205</v>
      </c>
      <c r="D28" s="12">
        <v>1</v>
      </c>
      <c r="E28" s="22">
        <v>0</v>
      </c>
      <c r="F28" s="12" t="s">
        <v>5852</v>
      </c>
      <c r="G28" s="12" t="s">
        <v>5853</v>
      </c>
      <c r="H28" s="12"/>
      <c r="I28" s="47" t="s">
        <v>3807</v>
      </c>
      <c r="J28" s="224">
        <v>75180</v>
      </c>
    </row>
    <row r="29" spans="1:10">
      <c r="A29" s="9" t="s">
        <v>5872</v>
      </c>
      <c r="B29" s="8" t="s">
        <v>5879</v>
      </c>
      <c r="C29" s="11" t="s">
        <v>2205</v>
      </c>
      <c r="D29" s="12">
        <v>1</v>
      </c>
      <c r="E29" s="22">
        <v>0</v>
      </c>
      <c r="F29" s="12" t="s">
        <v>5852</v>
      </c>
      <c r="G29" s="12" t="s">
        <v>5853</v>
      </c>
      <c r="H29" s="12"/>
      <c r="I29" s="47" t="s">
        <v>3759</v>
      </c>
      <c r="J29" s="224">
        <v>75178</v>
      </c>
    </row>
    <row r="30" spans="1:10">
      <c r="A30" s="7" t="s">
        <v>5880</v>
      </c>
      <c r="B30" s="8" t="s">
        <v>5881</v>
      </c>
      <c r="C30" s="11" t="s">
        <v>2205</v>
      </c>
      <c r="D30" s="12">
        <v>1</v>
      </c>
      <c r="E30" s="22">
        <v>0</v>
      </c>
      <c r="F30" s="12" t="s">
        <v>5852</v>
      </c>
      <c r="G30" s="12" t="s">
        <v>5853</v>
      </c>
      <c r="H30" s="12"/>
      <c r="I30" s="47" t="s">
        <v>3759</v>
      </c>
      <c r="J30" s="224">
        <v>75225</v>
      </c>
    </row>
    <row r="31" spans="1:10">
      <c r="A31" s="9"/>
      <c r="B31" s="8"/>
      <c r="C31" s="11"/>
      <c r="D31" s="12"/>
      <c r="E31" s="22"/>
      <c r="F31" s="12"/>
      <c r="G31" s="12"/>
      <c r="H31" s="12"/>
      <c r="I31" s="76"/>
    </row>
    <row r="32" spans="1:10">
      <c r="A32" s="7" t="s">
        <v>5885</v>
      </c>
      <c r="B32" s="8" t="s">
        <v>5886</v>
      </c>
      <c r="C32" s="11" t="s">
        <v>5887</v>
      </c>
      <c r="D32" s="12">
        <v>1</v>
      </c>
      <c r="E32" s="22">
        <v>0</v>
      </c>
      <c r="F32" s="12" t="s">
        <v>5883</v>
      </c>
      <c r="G32" s="12" t="s">
        <v>5884</v>
      </c>
      <c r="H32" s="12"/>
      <c r="I32" s="47" t="s">
        <v>3759</v>
      </c>
      <c r="J32" s="224">
        <v>75179</v>
      </c>
    </row>
    <row r="33" spans="1:10">
      <c r="A33" s="9" t="s">
        <v>5870</v>
      </c>
      <c r="B33" s="8">
        <v>4594</v>
      </c>
      <c r="C33" s="11" t="s">
        <v>5871</v>
      </c>
      <c r="D33" s="12">
        <v>1</v>
      </c>
      <c r="E33" s="22">
        <v>0</v>
      </c>
      <c r="F33" s="12" t="s">
        <v>5883</v>
      </c>
      <c r="G33" s="12" t="s">
        <v>5884</v>
      </c>
      <c r="H33" s="12"/>
      <c r="I33" s="47" t="s">
        <v>3759</v>
      </c>
      <c r="J33" s="224">
        <v>75196</v>
      </c>
    </row>
    <row r="34" spans="1:10">
      <c r="A34" s="9" t="s">
        <v>5861</v>
      </c>
      <c r="B34" s="8" t="s">
        <v>5890</v>
      </c>
      <c r="C34" s="11" t="s">
        <v>2205</v>
      </c>
      <c r="D34" s="12">
        <v>1</v>
      </c>
      <c r="E34" s="22">
        <v>0</v>
      </c>
      <c r="F34" s="12" t="s">
        <v>5883</v>
      </c>
      <c r="G34" s="12" t="s">
        <v>5884</v>
      </c>
      <c r="H34" s="12"/>
      <c r="I34" s="47" t="s">
        <v>3759</v>
      </c>
      <c r="J34" s="224">
        <v>75180</v>
      </c>
    </row>
    <row r="35" spans="1:10">
      <c r="A35" s="7" t="s">
        <v>5891</v>
      </c>
      <c r="B35" s="8">
        <v>102761</v>
      </c>
      <c r="C35" s="11" t="s">
        <v>5892</v>
      </c>
      <c r="D35" s="12">
        <v>1</v>
      </c>
      <c r="E35" s="22">
        <v>0</v>
      </c>
      <c r="F35" s="12" t="s">
        <v>5883</v>
      </c>
      <c r="G35" s="12" t="s">
        <v>5884</v>
      </c>
      <c r="H35" s="12"/>
      <c r="I35" s="47" t="s">
        <v>3759</v>
      </c>
      <c r="J35" s="224">
        <v>75776</v>
      </c>
    </row>
    <row r="36" spans="1:10">
      <c r="A36" s="7" t="s">
        <v>5894</v>
      </c>
      <c r="B36" s="8">
        <v>138</v>
      </c>
      <c r="C36" s="11" t="s">
        <v>5895</v>
      </c>
      <c r="D36" s="12">
        <v>1</v>
      </c>
      <c r="E36" s="22">
        <v>0</v>
      </c>
      <c r="F36" s="12" t="s">
        <v>5883</v>
      </c>
      <c r="G36" s="12" t="s">
        <v>5884</v>
      </c>
      <c r="H36" s="12"/>
      <c r="I36" s="47" t="s">
        <v>3759</v>
      </c>
      <c r="J36" s="224">
        <v>75202</v>
      </c>
    </row>
    <row r="37" spans="1:10">
      <c r="A37" s="9" t="s">
        <v>5865</v>
      </c>
      <c r="B37" s="8" t="s">
        <v>5896</v>
      </c>
      <c r="C37" s="11" t="s">
        <v>2205</v>
      </c>
      <c r="D37" s="12">
        <v>1</v>
      </c>
      <c r="E37" s="22">
        <v>0</v>
      </c>
      <c r="F37" s="12" t="s">
        <v>5883</v>
      </c>
      <c r="G37" s="12" t="s">
        <v>5884</v>
      </c>
      <c r="H37" s="12"/>
      <c r="I37" s="47" t="s">
        <v>3759</v>
      </c>
      <c r="J37" s="224">
        <v>75180</v>
      </c>
    </row>
    <row r="38" spans="1:10">
      <c r="A38" s="9" t="s">
        <v>5872</v>
      </c>
      <c r="B38" s="8" t="s">
        <v>5897</v>
      </c>
      <c r="C38" s="11" t="s">
        <v>2205</v>
      </c>
      <c r="D38" s="12">
        <v>1</v>
      </c>
      <c r="E38" s="22">
        <v>0</v>
      </c>
      <c r="F38" s="12" t="s">
        <v>5883</v>
      </c>
      <c r="G38" s="12" t="s">
        <v>5884</v>
      </c>
      <c r="H38" s="12"/>
      <c r="I38" s="47" t="s">
        <v>3807</v>
      </c>
      <c r="J38" s="224">
        <v>75178</v>
      </c>
    </row>
    <row r="39" spans="1:10">
      <c r="A39" s="7" t="s">
        <v>5898</v>
      </c>
      <c r="B39" s="8" t="s">
        <v>5899</v>
      </c>
      <c r="C39" s="11" t="s">
        <v>5900</v>
      </c>
      <c r="D39" s="12">
        <v>2</v>
      </c>
      <c r="E39" s="22">
        <v>0</v>
      </c>
      <c r="F39" s="12" t="s">
        <v>5883</v>
      </c>
      <c r="G39" s="12" t="s">
        <v>5884</v>
      </c>
      <c r="H39" s="12"/>
      <c r="I39" s="47" t="s">
        <v>3759</v>
      </c>
      <c r="J39" s="224">
        <v>75225</v>
      </c>
    </row>
    <row r="40" spans="1:10">
      <c r="A40" s="9" t="s">
        <v>5861</v>
      </c>
      <c r="B40" s="8" t="s">
        <v>5901</v>
      </c>
      <c r="C40" s="11" t="s">
        <v>2205</v>
      </c>
      <c r="D40" s="12">
        <v>1</v>
      </c>
      <c r="E40" s="22">
        <v>0</v>
      </c>
      <c r="F40" s="12" t="s">
        <v>5883</v>
      </c>
      <c r="G40" s="12" t="s">
        <v>5884</v>
      </c>
      <c r="H40" s="12"/>
      <c r="I40" s="47" t="s">
        <v>3759</v>
      </c>
      <c r="J40" s="224">
        <v>75180</v>
      </c>
    </row>
    <row r="41" spans="1:10">
      <c r="A41" s="7" t="s">
        <v>5902</v>
      </c>
      <c r="B41" s="8" t="s">
        <v>5903</v>
      </c>
      <c r="C41" s="11" t="s">
        <v>5196</v>
      </c>
      <c r="D41" s="12">
        <v>1</v>
      </c>
      <c r="E41" s="22">
        <v>0</v>
      </c>
      <c r="F41" s="12" t="s">
        <v>5883</v>
      </c>
      <c r="G41" s="12" t="s">
        <v>5884</v>
      </c>
      <c r="H41" s="12"/>
      <c r="I41" s="47" t="s">
        <v>3759</v>
      </c>
      <c r="J41" s="224">
        <v>75196</v>
      </c>
    </row>
    <row r="42" spans="1:10">
      <c r="A42" s="9"/>
      <c r="B42" s="8"/>
      <c r="C42" s="11"/>
      <c r="D42" s="12"/>
      <c r="E42" s="22"/>
      <c r="F42" s="12"/>
      <c r="G42" s="12"/>
      <c r="H42" s="12"/>
      <c r="I42" s="76"/>
    </row>
    <row r="43" spans="1:10">
      <c r="A43" s="9" t="s">
        <v>5898</v>
      </c>
      <c r="B43" s="8">
        <v>2865</v>
      </c>
      <c r="C43" s="11" t="s">
        <v>5900</v>
      </c>
      <c r="D43" s="12">
        <v>1</v>
      </c>
      <c r="E43" s="22">
        <v>0</v>
      </c>
      <c r="F43" s="12" t="s">
        <v>5883</v>
      </c>
      <c r="G43" s="12" t="s">
        <v>5905</v>
      </c>
      <c r="H43" s="12"/>
      <c r="I43" s="47" t="s">
        <v>3759</v>
      </c>
      <c r="J43" s="224">
        <v>75225</v>
      </c>
    </row>
    <row r="44" spans="1:10">
      <c r="A44" s="7" t="s">
        <v>5907</v>
      </c>
      <c r="B44" s="8">
        <v>1535</v>
      </c>
      <c r="C44" s="11" t="s">
        <v>5908</v>
      </c>
      <c r="D44" s="12">
        <v>1</v>
      </c>
      <c r="E44" s="22">
        <v>0</v>
      </c>
      <c r="F44" s="12" t="s">
        <v>5883</v>
      </c>
      <c r="G44" s="12" t="s">
        <v>5905</v>
      </c>
      <c r="H44" s="12"/>
      <c r="I44" s="47" t="s">
        <v>3807</v>
      </c>
      <c r="J44" s="224">
        <v>75197</v>
      </c>
    </row>
    <row r="45" spans="1:10">
      <c r="A45" s="7" t="s">
        <v>4707</v>
      </c>
      <c r="B45" s="8" t="s">
        <v>5909</v>
      </c>
      <c r="C45" s="11" t="s">
        <v>4034</v>
      </c>
      <c r="D45" s="12">
        <v>1</v>
      </c>
      <c r="E45" s="100">
        <v>2</v>
      </c>
      <c r="F45" s="99" t="s">
        <v>5883</v>
      </c>
      <c r="G45" s="99" t="s">
        <v>5905</v>
      </c>
      <c r="H45" s="99"/>
      <c r="I45" s="47" t="s">
        <v>3759</v>
      </c>
      <c r="J45" s="224">
        <v>75192</v>
      </c>
    </row>
    <row r="46" spans="1:10">
      <c r="A46" s="7" t="s">
        <v>5910</v>
      </c>
      <c r="B46" s="8">
        <v>9444</v>
      </c>
      <c r="C46" s="11" t="s">
        <v>4095</v>
      </c>
      <c r="D46" s="12">
        <v>1</v>
      </c>
      <c r="E46" s="22">
        <v>0</v>
      </c>
      <c r="F46" s="12" t="s">
        <v>5883</v>
      </c>
      <c r="G46" s="12" t="s">
        <v>5905</v>
      </c>
      <c r="H46" s="12"/>
      <c r="I46" s="47" t="s">
        <v>3759</v>
      </c>
      <c r="J46" s="224">
        <v>75207</v>
      </c>
    </row>
    <row r="47" spans="1:10">
      <c r="A47" s="7" t="s">
        <v>5911</v>
      </c>
      <c r="B47" s="8">
        <v>3978</v>
      </c>
      <c r="C47" s="11" t="s">
        <v>5900</v>
      </c>
      <c r="D47" s="12">
        <v>1</v>
      </c>
      <c r="E47" s="22">
        <v>0</v>
      </c>
      <c r="F47" s="12" t="s">
        <v>5883</v>
      </c>
      <c r="G47" s="12" t="s">
        <v>5905</v>
      </c>
      <c r="H47" s="12"/>
      <c r="I47" s="47" t="s">
        <v>3759</v>
      </c>
      <c r="J47" s="224">
        <v>75196</v>
      </c>
    </row>
    <row r="48" spans="1:10">
      <c r="A48" s="7" t="s">
        <v>5912</v>
      </c>
      <c r="B48" s="8" t="s">
        <v>5913</v>
      </c>
      <c r="C48" s="11" t="s">
        <v>5914</v>
      </c>
      <c r="D48" s="12">
        <v>1</v>
      </c>
      <c r="E48" s="22">
        <v>1</v>
      </c>
      <c r="F48" s="12" t="s">
        <v>5883</v>
      </c>
      <c r="G48" s="12" t="s">
        <v>5905</v>
      </c>
      <c r="H48" s="12"/>
      <c r="I48" s="47" t="s">
        <v>3759</v>
      </c>
      <c r="J48" s="224">
        <v>75196</v>
      </c>
    </row>
    <row r="49" spans="1:10">
      <c r="A49" s="9" t="s">
        <v>5912</v>
      </c>
      <c r="B49" s="13" t="s">
        <v>5915</v>
      </c>
      <c r="C49" s="11" t="s">
        <v>5914</v>
      </c>
      <c r="D49" s="12">
        <v>1</v>
      </c>
      <c r="E49" s="22">
        <v>0</v>
      </c>
      <c r="F49" s="12" t="s">
        <v>5883</v>
      </c>
      <c r="G49" s="12" t="s">
        <v>5905</v>
      </c>
      <c r="H49" s="12"/>
      <c r="I49" s="47" t="s">
        <v>3759</v>
      </c>
      <c r="J49" s="224">
        <v>75196</v>
      </c>
    </row>
    <row r="50" spans="1:10">
      <c r="A50" s="7" t="s">
        <v>5916</v>
      </c>
      <c r="B50" s="8">
        <v>4007</v>
      </c>
      <c r="C50" s="11" t="s">
        <v>4095</v>
      </c>
      <c r="D50" s="12">
        <v>1</v>
      </c>
      <c r="E50" s="22">
        <v>0</v>
      </c>
      <c r="F50" s="12" t="s">
        <v>5883</v>
      </c>
      <c r="G50" s="12" t="s">
        <v>5905</v>
      </c>
      <c r="H50" s="12"/>
      <c r="I50" s="47" t="s">
        <v>3759</v>
      </c>
      <c r="J50" s="224">
        <v>76909</v>
      </c>
    </row>
    <row r="51" spans="1:10">
      <c r="A51" s="9"/>
      <c r="B51" s="8"/>
      <c r="C51" s="11"/>
      <c r="D51" s="12"/>
      <c r="E51" s="22"/>
      <c r="F51" s="12"/>
      <c r="G51" s="12"/>
      <c r="H51" s="12"/>
      <c r="I51" s="76"/>
    </row>
    <row r="52" spans="1:10">
      <c r="A52" s="7" t="s">
        <v>5917</v>
      </c>
      <c r="B52" s="8">
        <v>580</v>
      </c>
      <c r="C52" s="11" t="s">
        <v>690</v>
      </c>
      <c r="D52" s="12">
        <v>1</v>
      </c>
      <c r="E52" s="22">
        <v>0</v>
      </c>
      <c r="F52" s="12" t="s">
        <v>5918</v>
      </c>
      <c r="G52" s="12" t="s">
        <v>5884</v>
      </c>
      <c r="H52" s="12"/>
      <c r="I52" s="47" t="s">
        <v>3759</v>
      </c>
      <c r="J52" s="224">
        <v>75197</v>
      </c>
    </row>
    <row r="53" spans="1:10">
      <c r="A53" s="9" t="s">
        <v>5917</v>
      </c>
      <c r="B53" s="8">
        <v>565</v>
      </c>
      <c r="C53" s="11" t="s">
        <v>690</v>
      </c>
      <c r="D53" s="12">
        <v>1</v>
      </c>
      <c r="E53" s="22">
        <v>0</v>
      </c>
      <c r="F53" s="12" t="s">
        <v>5918</v>
      </c>
      <c r="G53" s="12" t="s">
        <v>5884</v>
      </c>
      <c r="H53" s="12"/>
      <c r="I53" s="47" t="s">
        <v>3759</v>
      </c>
      <c r="J53" s="224">
        <v>75197</v>
      </c>
    </row>
    <row r="54" spans="1:10">
      <c r="A54" s="9" t="s">
        <v>5917</v>
      </c>
      <c r="B54" s="8">
        <v>1492</v>
      </c>
      <c r="C54" s="11" t="s">
        <v>690</v>
      </c>
      <c r="D54" s="12">
        <v>1</v>
      </c>
      <c r="E54" s="22">
        <v>0</v>
      </c>
      <c r="F54" s="12" t="s">
        <v>5918</v>
      </c>
      <c r="G54" s="12" t="s">
        <v>5884</v>
      </c>
      <c r="H54" s="12"/>
      <c r="I54" s="47" t="s">
        <v>3759</v>
      </c>
      <c r="J54" s="224">
        <v>75197</v>
      </c>
    </row>
    <row r="55" spans="1:10">
      <c r="A55" s="7" t="s">
        <v>5919</v>
      </c>
      <c r="B55" s="13" t="s">
        <v>5920</v>
      </c>
      <c r="C55" s="11" t="s">
        <v>690</v>
      </c>
      <c r="D55" s="12">
        <v>1</v>
      </c>
      <c r="E55" s="22">
        <v>0</v>
      </c>
      <c r="F55" s="12" t="s">
        <v>5918</v>
      </c>
      <c r="G55" s="12" t="s">
        <v>5884</v>
      </c>
      <c r="H55" s="12"/>
      <c r="I55" s="47" t="s">
        <v>3807</v>
      </c>
      <c r="J55" s="356">
        <v>75197</v>
      </c>
    </row>
    <row r="56" spans="1:10" ht="15.6">
      <c r="A56" s="421" t="s">
        <v>5921</v>
      </c>
      <c r="B56" s="431" t="s">
        <v>3748</v>
      </c>
      <c r="C56" s="74" t="s">
        <v>5922</v>
      </c>
      <c r="D56" s="12">
        <v>1</v>
      </c>
      <c r="E56" s="22">
        <v>0</v>
      </c>
      <c r="F56" s="12" t="s">
        <v>5918</v>
      </c>
      <c r="G56" s="12" t="s">
        <v>5884</v>
      </c>
      <c r="H56" s="12"/>
      <c r="I56" s="47"/>
      <c r="J56" s="356"/>
    </row>
    <row r="57" spans="1:10">
      <c r="A57" s="7" t="s">
        <v>5923</v>
      </c>
      <c r="B57" s="8" t="s">
        <v>5924</v>
      </c>
      <c r="C57" s="11" t="s">
        <v>5925</v>
      </c>
      <c r="D57" s="12">
        <v>1</v>
      </c>
      <c r="E57" s="22">
        <v>0</v>
      </c>
      <c r="F57" s="12" t="s">
        <v>5918</v>
      </c>
      <c r="G57" s="12" t="s">
        <v>5884</v>
      </c>
      <c r="H57" s="12"/>
      <c r="I57" s="47" t="s">
        <v>3759</v>
      </c>
      <c r="J57" s="224">
        <v>75178</v>
      </c>
    </row>
    <row r="58" spans="1:10">
      <c r="A58" s="9"/>
      <c r="B58" s="8"/>
      <c r="C58" s="11"/>
      <c r="D58" s="12"/>
      <c r="E58" s="22"/>
      <c r="F58" s="12"/>
      <c r="G58" s="12"/>
      <c r="H58" s="12"/>
      <c r="I58" s="76"/>
    </row>
    <row r="59" spans="1:10">
      <c r="A59" s="7" t="s">
        <v>5912</v>
      </c>
      <c r="B59" s="126" t="s">
        <v>5926</v>
      </c>
      <c r="C59" s="34" t="s">
        <v>5927</v>
      </c>
      <c r="D59" s="12">
        <v>5</v>
      </c>
      <c r="E59" s="99">
        <v>1</v>
      </c>
      <c r="F59" s="438" t="s">
        <v>5928</v>
      </c>
      <c r="G59" s="99" t="s">
        <v>5929</v>
      </c>
      <c r="H59" s="12"/>
      <c r="I59" s="47" t="s">
        <v>3759</v>
      </c>
      <c r="J59" s="224" t="s">
        <v>5930</v>
      </c>
    </row>
    <row r="60" spans="1:10">
      <c r="A60" s="7" t="s">
        <v>5912</v>
      </c>
      <c r="B60" s="13" t="s">
        <v>5931</v>
      </c>
      <c r="C60" s="11" t="s">
        <v>5914</v>
      </c>
      <c r="D60" s="12">
        <v>1</v>
      </c>
      <c r="E60" s="12">
        <v>0</v>
      </c>
      <c r="F60" s="98" t="s">
        <v>5928</v>
      </c>
      <c r="G60" s="12" t="s">
        <v>5929</v>
      </c>
      <c r="H60" s="12"/>
      <c r="I60" s="47" t="s">
        <v>3759</v>
      </c>
      <c r="J60" s="224">
        <v>75196</v>
      </c>
    </row>
    <row r="61" spans="1:10">
      <c r="A61" s="7" t="s">
        <v>5932</v>
      </c>
      <c r="B61" s="13" t="s">
        <v>5933</v>
      </c>
      <c r="C61" s="11" t="s">
        <v>5934</v>
      </c>
      <c r="D61" s="12">
        <v>1</v>
      </c>
      <c r="E61" s="12">
        <v>0</v>
      </c>
      <c r="F61" s="98" t="s">
        <v>5928</v>
      </c>
      <c r="G61" s="12" t="s">
        <v>5929</v>
      </c>
      <c r="H61" s="12"/>
      <c r="I61" s="47" t="s">
        <v>3759</v>
      </c>
      <c r="J61" s="224">
        <v>75195</v>
      </c>
    </row>
    <row r="62" spans="1:10">
      <c r="A62" s="7" t="s">
        <v>5935</v>
      </c>
      <c r="B62" s="8">
        <v>9911016</v>
      </c>
      <c r="C62" s="11" t="s">
        <v>5042</v>
      </c>
      <c r="D62" s="12">
        <v>1</v>
      </c>
      <c r="E62" s="12">
        <v>0</v>
      </c>
      <c r="F62" s="98" t="s">
        <v>5928</v>
      </c>
      <c r="G62" s="12" t="s">
        <v>5929</v>
      </c>
      <c r="H62" s="12"/>
      <c r="I62" s="47" t="s">
        <v>3807</v>
      </c>
      <c r="J62" s="356" t="s">
        <v>5936</v>
      </c>
    </row>
    <row r="63" spans="1:10">
      <c r="A63" s="9" t="s">
        <v>5865</v>
      </c>
      <c r="B63" s="8" t="s">
        <v>5937</v>
      </c>
      <c r="C63" s="11" t="s">
        <v>2205</v>
      </c>
      <c r="D63" s="12">
        <v>1</v>
      </c>
      <c r="E63" s="12">
        <v>0</v>
      </c>
      <c r="F63" s="98" t="s">
        <v>5928</v>
      </c>
      <c r="G63" s="12" t="s">
        <v>5929</v>
      </c>
      <c r="H63" s="12"/>
      <c r="I63" s="47" t="s">
        <v>3759</v>
      </c>
      <c r="J63" s="224">
        <v>75180</v>
      </c>
    </row>
    <row r="64" spans="1:10">
      <c r="A64" s="46" t="s">
        <v>5872</v>
      </c>
      <c r="B64" s="8" t="s">
        <v>5939</v>
      </c>
      <c r="C64" s="11" t="s">
        <v>2205</v>
      </c>
      <c r="D64" s="12">
        <v>1</v>
      </c>
      <c r="E64" s="12">
        <v>0</v>
      </c>
      <c r="F64" s="98" t="s">
        <v>5928</v>
      </c>
      <c r="G64" s="12" t="s">
        <v>5929</v>
      </c>
      <c r="H64" s="12"/>
      <c r="I64" s="47" t="s">
        <v>3759</v>
      </c>
      <c r="J64" s="224">
        <v>75178</v>
      </c>
    </row>
    <row r="66" spans="1:10">
      <c r="A66" s="7" t="s">
        <v>5941</v>
      </c>
      <c r="B66" s="8" t="s">
        <v>5942</v>
      </c>
      <c r="C66" s="11" t="s">
        <v>5943</v>
      </c>
      <c r="D66" s="12">
        <v>1</v>
      </c>
      <c r="E66" s="12">
        <v>0</v>
      </c>
      <c r="F66" s="12" t="s">
        <v>5918</v>
      </c>
      <c r="G66" s="12" t="s">
        <v>5944</v>
      </c>
      <c r="H66" s="12"/>
      <c r="I66" s="47" t="s">
        <v>3759</v>
      </c>
      <c r="J66" s="224">
        <v>75197</v>
      </c>
    </row>
    <row r="67" spans="1:10">
      <c r="A67" s="9">
        <v>320115</v>
      </c>
      <c r="B67" s="8">
        <v>1262</v>
      </c>
      <c r="C67" s="11" t="s">
        <v>207</v>
      </c>
      <c r="D67" s="12">
        <v>1</v>
      </c>
      <c r="E67" s="12">
        <v>0</v>
      </c>
      <c r="F67" s="12" t="s">
        <v>5918</v>
      </c>
      <c r="G67" s="12" t="s">
        <v>5944</v>
      </c>
      <c r="H67" s="12"/>
      <c r="I67" s="47" t="s">
        <v>3807</v>
      </c>
      <c r="J67" s="224">
        <v>77092</v>
      </c>
    </row>
    <row r="68" spans="1:10">
      <c r="A68" s="9" t="s">
        <v>5912</v>
      </c>
      <c r="B68" s="8" t="s">
        <v>5947</v>
      </c>
      <c r="C68" s="11" t="s">
        <v>5914</v>
      </c>
      <c r="D68" s="12">
        <v>1</v>
      </c>
      <c r="E68" s="12">
        <v>0</v>
      </c>
      <c r="F68" s="12" t="s">
        <v>5918</v>
      </c>
      <c r="G68" s="12" t="s">
        <v>5944</v>
      </c>
      <c r="H68" s="12"/>
      <c r="I68" s="47" t="s">
        <v>3759</v>
      </c>
      <c r="J68" s="224">
        <v>75196</v>
      </c>
    </row>
    <row r="69" spans="1:10">
      <c r="A69" s="9"/>
      <c r="B69" s="8"/>
      <c r="C69" s="11"/>
      <c r="D69" s="12"/>
      <c r="E69" s="12"/>
      <c r="F69" s="12"/>
      <c r="G69" s="12"/>
      <c r="H69" s="12"/>
      <c r="I69" s="76"/>
    </row>
    <row r="70" spans="1:10">
      <c r="A70" s="9" t="s">
        <v>5948</v>
      </c>
      <c r="B70" s="8" t="s">
        <v>5949</v>
      </c>
      <c r="C70" s="11" t="s">
        <v>5943</v>
      </c>
      <c r="D70" s="12">
        <v>1</v>
      </c>
      <c r="E70" s="22">
        <v>0</v>
      </c>
      <c r="F70" s="12" t="s">
        <v>5928</v>
      </c>
      <c r="G70" s="12" t="s">
        <v>5944</v>
      </c>
      <c r="H70" s="12"/>
      <c r="I70" s="47" t="s">
        <v>3759</v>
      </c>
      <c r="J70" s="224">
        <v>75197</v>
      </c>
    </row>
    <row r="71" spans="1:10">
      <c r="A71" s="46" t="s">
        <v>5861</v>
      </c>
      <c r="B71" s="8" t="s">
        <v>5950</v>
      </c>
      <c r="C71" s="11" t="s">
        <v>2205</v>
      </c>
      <c r="D71" s="12">
        <v>1</v>
      </c>
      <c r="E71" s="22">
        <v>0</v>
      </c>
      <c r="F71" s="12" t="s">
        <v>5928</v>
      </c>
      <c r="G71" s="12" t="s">
        <v>5944</v>
      </c>
      <c r="H71" s="12"/>
      <c r="I71" s="47" t="s">
        <v>3759</v>
      </c>
      <c r="J71" s="224">
        <v>75180</v>
      </c>
    </row>
    <row r="72" spans="1:10">
      <c r="A72" s="9" t="s">
        <v>5872</v>
      </c>
      <c r="B72" s="8" t="s">
        <v>5951</v>
      </c>
      <c r="C72" s="11" t="s">
        <v>2205</v>
      </c>
      <c r="D72" s="12">
        <v>1</v>
      </c>
      <c r="E72" s="22">
        <v>0</v>
      </c>
      <c r="F72" s="12" t="s">
        <v>5928</v>
      </c>
      <c r="G72" s="12" t="s">
        <v>5944</v>
      </c>
      <c r="H72" s="12"/>
      <c r="I72" s="47" t="s">
        <v>3759</v>
      </c>
      <c r="J72" s="224">
        <v>75178</v>
      </c>
    </row>
    <row r="73" spans="1:10">
      <c r="A73" s="7" t="s">
        <v>5956</v>
      </c>
      <c r="B73" s="8">
        <v>1576</v>
      </c>
      <c r="C73" s="11" t="s">
        <v>2205</v>
      </c>
      <c r="D73" s="12">
        <v>1</v>
      </c>
      <c r="E73" s="22">
        <v>0</v>
      </c>
      <c r="F73" s="12" t="s">
        <v>5928</v>
      </c>
      <c r="G73" s="12" t="s">
        <v>5944</v>
      </c>
      <c r="H73" s="12"/>
      <c r="I73" s="47" t="s">
        <v>3759</v>
      </c>
      <c r="J73" s="224">
        <v>75176</v>
      </c>
    </row>
    <row r="74" spans="1:10">
      <c r="A74" s="9" t="s">
        <v>5954</v>
      </c>
      <c r="B74" s="8" t="s">
        <v>5957</v>
      </c>
      <c r="C74" s="11" t="s">
        <v>2205</v>
      </c>
      <c r="D74" s="12">
        <v>1</v>
      </c>
      <c r="E74" s="22">
        <v>0</v>
      </c>
      <c r="F74" s="12" t="s">
        <v>5928</v>
      </c>
      <c r="G74" s="12" t="s">
        <v>5944</v>
      </c>
      <c r="H74" s="12"/>
      <c r="I74" s="47" t="s">
        <v>3807</v>
      </c>
      <c r="J74" s="439">
        <v>75176</v>
      </c>
    </row>
    <row r="75" spans="1:10">
      <c r="A75" s="11" t="s">
        <v>5956</v>
      </c>
      <c r="B75" s="34">
        <v>1147</v>
      </c>
      <c r="C75" s="11" t="s">
        <v>2205</v>
      </c>
      <c r="D75" s="12">
        <v>1</v>
      </c>
      <c r="E75" s="22">
        <v>0</v>
      </c>
      <c r="F75" s="12" t="s">
        <v>5928</v>
      </c>
      <c r="G75" s="12" t="s">
        <v>5944</v>
      </c>
      <c r="H75" s="12"/>
      <c r="I75" s="47" t="s">
        <v>3759</v>
      </c>
      <c r="J75" s="224">
        <v>75176</v>
      </c>
    </row>
    <row r="76" spans="1:10" hidden="1">
      <c r="A76" s="7" t="s">
        <v>2490</v>
      </c>
      <c r="B76" s="13" t="s">
        <v>3748</v>
      </c>
      <c r="C76" s="13" t="s">
        <v>19</v>
      </c>
      <c r="D76" s="12">
        <v>1</v>
      </c>
      <c r="E76" s="22">
        <v>0</v>
      </c>
      <c r="F76" s="12" t="s">
        <v>5918</v>
      </c>
      <c r="G76" s="12" t="s">
        <v>5884</v>
      </c>
      <c r="H76" s="12" t="s">
        <v>84</v>
      </c>
      <c r="I76" s="47"/>
      <c r="J76" s="356"/>
    </row>
    <row r="77" spans="1:10">
      <c r="A77" s="9" t="s">
        <v>5954</v>
      </c>
      <c r="B77" s="8" t="s">
        <v>5958</v>
      </c>
      <c r="C77" s="11" t="s">
        <v>2205</v>
      </c>
      <c r="D77" s="12">
        <v>1</v>
      </c>
      <c r="E77" s="22">
        <v>0</v>
      </c>
      <c r="F77" s="12" t="s">
        <v>5928</v>
      </c>
      <c r="G77" s="12" t="s">
        <v>5944</v>
      </c>
      <c r="H77" s="12"/>
      <c r="I77" s="47" t="s">
        <v>3807</v>
      </c>
      <c r="J77" s="224">
        <v>75176</v>
      </c>
    </row>
    <row r="78" spans="1:10">
      <c r="A78" s="9"/>
      <c r="B78" s="8"/>
      <c r="C78" s="11"/>
      <c r="D78" s="12"/>
      <c r="E78" s="12"/>
      <c r="F78" s="12"/>
      <c r="G78" s="12"/>
      <c r="H78" s="12"/>
      <c r="I78" s="76"/>
    </row>
    <row r="79" spans="1:10">
      <c r="A79" s="9"/>
      <c r="B79" s="8"/>
      <c r="C79" s="9"/>
      <c r="D79" s="12"/>
      <c r="E79" s="22"/>
      <c r="F79" s="116"/>
      <c r="G79" s="12"/>
      <c r="H79" s="12"/>
      <c r="I79" s="76"/>
    </row>
    <row r="80" spans="1:10">
      <c r="A80" s="7" t="s">
        <v>5961</v>
      </c>
      <c r="B80" s="8" t="s">
        <v>5962</v>
      </c>
      <c r="C80" s="11" t="s">
        <v>3947</v>
      </c>
      <c r="D80" s="12">
        <v>1</v>
      </c>
      <c r="E80" s="22">
        <v>0</v>
      </c>
      <c r="F80" s="116" t="s">
        <v>5918</v>
      </c>
      <c r="G80" s="12" t="s">
        <v>5929</v>
      </c>
      <c r="H80" s="12"/>
      <c r="I80" s="47" t="s">
        <v>3759</v>
      </c>
      <c r="J80" s="224">
        <v>75207</v>
      </c>
    </row>
    <row r="81" spans="1:10">
      <c r="A81" s="7" t="s">
        <v>5963</v>
      </c>
      <c r="B81" s="8">
        <v>6647833</v>
      </c>
      <c r="C81" s="11" t="s">
        <v>4440</v>
      </c>
      <c r="D81" s="12">
        <v>1</v>
      </c>
      <c r="E81" s="22">
        <v>0</v>
      </c>
      <c r="F81" s="116" t="s">
        <v>5918</v>
      </c>
      <c r="G81" s="12" t="s">
        <v>5929</v>
      </c>
      <c r="H81" s="12"/>
      <c r="I81" s="47" t="s">
        <v>3759</v>
      </c>
      <c r="J81" s="224">
        <v>75205</v>
      </c>
    </row>
    <row r="82" spans="1:10">
      <c r="A82" s="9" t="s">
        <v>5963</v>
      </c>
      <c r="B82" s="8" t="s">
        <v>5964</v>
      </c>
      <c r="C82" s="11" t="s">
        <v>4440</v>
      </c>
      <c r="D82" s="12">
        <v>1</v>
      </c>
      <c r="E82" s="22">
        <v>0</v>
      </c>
      <c r="F82" s="116" t="s">
        <v>5918</v>
      </c>
      <c r="G82" s="12" t="s">
        <v>5929</v>
      </c>
      <c r="H82" s="12"/>
      <c r="I82" s="47" t="s">
        <v>3759</v>
      </c>
      <c r="J82" s="439">
        <v>75205</v>
      </c>
    </row>
    <row r="83" spans="1:10">
      <c r="A83" s="9"/>
      <c r="B83" s="8"/>
      <c r="C83" s="11"/>
      <c r="D83" s="12"/>
      <c r="E83" s="22"/>
      <c r="F83" s="116"/>
      <c r="G83" s="12"/>
      <c r="H83" s="12"/>
      <c r="I83" s="76"/>
    </row>
    <row r="84" spans="1:10">
      <c r="A84" s="7" t="s">
        <v>5965</v>
      </c>
      <c r="B84" s="8">
        <v>718</v>
      </c>
      <c r="C84" s="11" t="s">
        <v>5966</v>
      </c>
      <c r="D84" s="12">
        <v>1</v>
      </c>
      <c r="E84" s="12">
        <v>0</v>
      </c>
      <c r="F84" s="116" t="s">
        <v>5928</v>
      </c>
      <c r="G84" s="12" t="s">
        <v>5967</v>
      </c>
      <c r="H84" s="12"/>
      <c r="I84" s="47" t="s">
        <v>3759</v>
      </c>
      <c r="J84" s="224">
        <v>75207</v>
      </c>
    </row>
    <row r="85" spans="1:10">
      <c r="A85" s="7" t="s">
        <v>5968</v>
      </c>
      <c r="B85" s="8" t="s">
        <v>5969</v>
      </c>
      <c r="C85" s="11" t="s">
        <v>5970</v>
      </c>
      <c r="D85" s="12">
        <v>1</v>
      </c>
      <c r="E85" s="12">
        <v>0</v>
      </c>
      <c r="F85" s="116" t="s">
        <v>5928</v>
      </c>
      <c r="G85" s="12" t="s">
        <v>5967</v>
      </c>
      <c r="H85" s="12"/>
      <c r="I85" s="47" t="s">
        <v>3759</v>
      </c>
      <c r="J85" s="224">
        <v>75225</v>
      </c>
    </row>
    <row r="86" spans="1:10">
      <c r="A86" s="7" t="s">
        <v>5971</v>
      </c>
      <c r="B86" s="8" t="s">
        <v>5972</v>
      </c>
      <c r="C86" s="11" t="s">
        <v>5973</v>
      </c>
      <c r="D86" s="12">
        <v>1</v>
      </c>
      <c r="E86" s="12">
        <v>0</v>
      </c>
      <c r="F86" s="116" t="s">
        <v>5928</v>
      </c>
      <c r="G86" s="12" t="s">
        <v>5967</v>
      </c>
      <c r="H86" s="12"/>
      <c r="I86" s="47" t="s">
        <v>3759</v>
      </c>
      <c r="J86" s="224">
        <v>75197</v>
      </c>
    </row>
    <row r="87" spans="1:10">
      <c r="A87" s="7" t="s">
        <v>5974</v>
      </c>
      <c r="B87" s="13" t="s">
        <v>5975</v>
      </c>
      <c r="C87" s="11" t="s">
        <v>5976</v>
      </c>
      <c r="D87" s="12">
        <v>1</v>
      </c>
      <c r="E87" s="12">
        <v>0</v>
      </c>
      <c r="F87" s="12" t="s">
        <v>5928</v>
      </c>
      <c r="G87" s="12" t="s">
        <v>5967</v>
      </c>
      <c r="H87" s="12"/>
      <c r="I87" s="47" t="s">
        <v>3759</v>
      </c>
      <c r="J87" s="224">
        <v>75197</v>
      </c>
    </row>
    <row r="88" spans="1:10">
      <c r="A88" s="9"/>
      <c r="B88" s="8"/>
      <c r="C88" s="11"/>
      <c r="D88" s="12"/>
      <c r="E88" s="22"/>
      <c r="F88" s="12"/>
      <c r="G88" s="12"/>
      <c r="H88" s="12"/>
      <c r="I88" s="76"/>
    </row>
    <row r="89" spans="1:10">
      <c r="A89" s="7" t="s">
        <v>5977</v>
      </c>
      <c r="B89" s="8" t="s">
        <v>5978</v>
      </c>
      <c r="C89" s="11" t="s">
        <v>5979</v>
      </c>
      <c r="D89" s="12">
        <v>1</v>
      </c>
      <c r="E89" s="12">
        <v>0</v>
      </c>
      <c r="F89" s="12" t="s">
        <v>5928</v>
      </c>
      <c r="G89" s="12" t="s">
        <v>5905</v>
      </c>
      <c r="H89" s="12"/>
      <c r="I89" s="47" t="s">
        <v>3759</v>
      </c>
      <c r="J89" s="224">
        <v>75226</v>
      </c>
    </row>
    <row r="90" spans="1:10">
      <c r="A90" s="9">
        <v>623337</v>
      </c>
      <c r="B90" s="8" t="s">
        <v>5980</v>
      </c>
      <c r="C90" s="11" t="s">
        <v>5979</v>
      </c>
      <c r="D90" s="12">
        <v>1</v>
      </c>
      <c r="E90" s="12">
        <v>0</v>
      </c>
      <c r="F90" s="12" t="s">
        <v>5928</v>
      </c>
      <c r="G90" s="12" t="s">
        <v>5905</v>
      </c>
      <c r="H90" s="12"/>
      <c r="I90" s="47" t="s">
        <v>3759</v>
      </c>
      <c r="J90" s="224">
        <v>75226</v>
      </c>
    </row>
    <row r="91" spans="1:10">
      <c r="A91" s="9"/>
      <c r="B91" s="8"/>
      <c r="C91" s="11"/>
      <c r="D91" s="12"/>
      <c r="E91" s="22"/>
      <c r="F91" s="12"/>
      <c r="G91" s="12"/>
      <c r="H91" s="12"/>
      <c r="I91" s="76"/>
    </row>
    <row r="92" spans="1:10">
      <c r="A92" s="7" t="s">
        <v>5981</v>
      </c>
      <c r="B92" s="8" t="s">
        <v>5982</v>
      </c>
      <c r="C92" s="11" t="s">
        <v>5983</v>
      </c>
      <c r="D92" s="12">
        <v>1</v>
      </c>
      <c r="E92" s="12">
        <v>0</v>
      </c>
      <c r="F92" s="12" t="s">
        <v>5928</v>
      </c>
      <c r="G92" s="12" t="s">
        <v>5984</v>
      </c>
      <c r="H92" s="12"/>
      <c r="I92" s="47" t="s">
        <v>3759</v>
      </c>
      <c r="J92" s="224">
        <v>75207</v>
      </c>
    </row>
    <row r="93" spans="1:10">
      <c r="A93" s="9">
        <v>623337</v>
      </c>
      <c r="B93" s="8" t="s">
        <v>5985</v>
      </c>
      <c r="C93" s="11" t="s">
        <v>5979</v>
      </c>
      <c r="D93" s="12">
        <v>1</v>
      </c>
      <c r="E93" s="22">
        <v>0</v>
      </c>
      <c r="F93" s="12" t="s">
        <v>5928</v>
      </c>
      <c r="G93" s="12" t="s">
        <v>5984</v>
      </c>
      <c r="H93" s="12"/>
      <c r="I93" s="47" t="s">
        <v>3759</v>
      </c>
      <c r="J93" s="224">
        <v>75226</v>
      </c>
    </row>
    <row r="94" spans="1:10">
      <c r="A94" s="9"/>
      <c r="B94" s="8"/>
      <c r="C94" s="11"/>
      <c r="D94" s="12"/>
      <c r="E94" s="22"/>
      <c r="F94" s="12"/>
      <c r="G94" s="12"/>
      <c r="H94" s="12"/>
      <c r="I94" s="76"/>
    </row>
    <row r="95" spans="1:10">
      <c r="A95" s="9">
        <v>42074</v>
      </c>
      <c r="B95" s="8">
        <v>3643</v>
      </c>
      <c r="C95" s="11" t="s">
        <v>3775</v>
      </c>
      <c r="D95" s="12">
        <v>1</v>
      </c>
      <c r="E95" s="22">
        <v>0</v>
      </c>
      <c r="F95" s="12" t="s">
        <v>5918</v>
      </c>
      <c r="G95" s="12" t="s">
        <v>5967</v>
      </c>
      <c r="H95" s="12"/>
      <c r="I95" s="47" t="s">
        <v>3759</v>
      </c>
      <c r="J95" s="224">
        <v>75195</v>
      </c>
    </row>
    <row r="96" spans="1:10">
      <c r="A96" s="9">
        <v>49988</v>
      </c>
      <c r="B96" s="8">
        <v>7911</v>
      </c>
      <c r="C96" s="11" t="s">
        <v>3775</v>
      </c>
      <c r="D96" s="12">
        <v>1</v>
      </c>
      <c r="E96" s="22">
        <v>0</v>
      </c>
      <c r="F96" s="12" t="s">
        <v>5918</v>
      </c>
      <c r="G96" s="12" t="s">
        <v>5967</v>
      </c>
      <c r="H96" s="12"/>
      <c r="I96" s="47" t="s">
        <v>3759</v>
      </c>
      <c r="J96" s="224">
        <v>75195</v>
      </c>
    </row>
    <row r="97" spans="1:10">
      <c r="A97" s="9">
        <v>42074</v>
      </c>
      <c r="B97" s="8">
        <v>2870</v>
      </c>
      <c r="C97" s="11" t="s">
        <v>3775</v>
      </c>
      <c r="D97" s="12">
        <v>1</v>
      </c>
      <c r="E97" s="22">
        <v>0</v>
      </c>
      <c r="F97" s="12" t="s">
        <v>5918</v>
      </c>
      <c r="G97" s="12" t="s">
        <v>5967</v>
      </c>
      <c r="H97" s="12"/>
      <c r="I97" s="47" t="s">
        <v>3759</v>
      </c>
      <c r="J97" s="224">
        <v>75195</v>
      </c>
    </row>
    <row r="98" spans="1:10">
      <c r="A98" s="9">
        <v>49988</v>
      </c>
      <c r="B98" s="8">
        <v>6950</v>
      </c>
      <c r="C98" s="11" t="s">
        <v>3775</v>
      </c>
      <c r="D98" s="12">
        <v>1</v>
      </c>
      <c r="E98" s="22">
        <v>0</v>
      </c>
      <c r="F98" s="12" t="s">
        <v>5918</v>
      </c>
      <c r="G98" s="12" t="s">
        <v>5967</v>
      </c>
      <c r="H98" s="12"/>
      <c r="I98" s="47" t="s">
        <v>3759</v>
      </c>
      <c r="J98" s="224">
        <v>75195</v>
      </c>
    </row>
    <row r="99" spans="1:10">
      <c r="A99" s="9">
        <v>42074</v>
      </c>
      <c r="B99" s="8">
        <v>3396</v>
      </c>
      <c r="C99" s="11" t="s">
        <v>3775</v>
      </c>
      <c r="D99" s="12">
        <v>1</v>
      </c>
      <c r="E99" s="22">
        <v>0</v>
      </c>
      <c r="F99" s="12" t="s">
        <v>5918</v>
      </c>
      <c r="G99" s="12" t="s">
        <v>5967</v>
      </c>
      <c r="H99" s="12"/>
      <c r="I99" s="47" t="s">
        <v>3759</v>
      </c>
      <c r="J99" s="224">
        <v>75195</v>
      </c>
    </row>
    <row r="100" spans="1:10">
      <c r="A100" s="9">
        <v>42074</v>
      </c>
      <c r="B100" s="8">
        <v>2679</v>
      </c>
      <c r="C100" s="11" t="s">
        <v>3775</v>
      </c>
      <c r="D100" s="12">
        <v>1</v>
      </c>
      <c r="E100" s="22">
        <v>0</v>
      </c>
      <c r="F100" s="12" t="s">
        <v>5918</v>
      </c>
      <c r="G100" s="12" t="s">
        <v>5967</v>
      </c>
      <c r="H100" s="12"/>
      <c r="I100" s="47" t="s">
        <v>3759</v>
      </c>
      <c r="J100" s="224">
        <v>75195</v>
      </c>
    </row>
    <row r="101" spans="1:10">
      <c r="A101" s="9"/>
      <c r="B101" s="8"/>
      <c r="C101" s="11"/>
      <c r="D101" s="12"/>
      <c r="E101" s="22"/>
      <c r="F101" s="12"/>
      <c r="G101" s="12"/>
      <c r="H101" s="12"/>
      <c r="I101" s="76"/>
    </row>
    <row r="102" spans="1:10">
      <c r="A102" s="7" t="s">
        <v>5986</v>
      </c>
      <c r="B102" s="8">
        <v>98187851</v>
      </c>
      <c r="C102" s="11" t="s">
        <v>3775</v>
      </c>
      <c r="D102" s="12">
        <v>1</v>
      </c>
      <c r="E102" s="22">
        <v>0</v>
      </c>
      <c r="F102" s="12" t="s">
        <v>5928</v>
      </c>
      <c r="G102" s="12" t="s">
        <v>5884</v>
      </c>
      <c r="H102" s="12"/>
      <c r="I102" s="47" t="s">
        <v>3807</v>
      </c>
      <c r="J102" s="356">
        <v>75195</v>
      </c>
    </row>
    <row r="103" spans="1:10">
      <c r="A103" s="9" t="s">
        <v>5986</v>
      </c>
      <c r="B103" s="8">
        <v>221745</v>
      </c>
      <c r="C103" s="11" t="s">
        <v>3775</v>
      </c>
      <c r="D103" s="12">
        <v>1</v>
      </c>
      <c r="E103" s="22">
        <v>0</v>
      </c>
      <c r="F103" s="12" t="s">
        <v>5928</v>
      </c>
      <c r="G103" s="12" t="s">
        <v>5884</v>
      </c>
      <c r="H103" s="12"/>
      <c r="I103" s="47" t="s">
        <v>3807</v>
      </c>
      <c r="J103" s="356">
        <v>75195</v>
      </c>
    </row>
    <row r="104" spans="1:10">
      <c r="A104" s="11" t="s">
        <v>5986</v>
      </c>
      <c r="B104" s="8">
        <v>253328</v>
      </c>
      <c r="C104" s="11" t="s">
        <v>3775</v>
      </c>
      <c r="D104" s="12">
        <v>1</v>
      </c>
      <c r="E104" s="22">
        <v>0</v>
      </c>
      <c r="F104" s="12" t="s">
        <v>5928</v>
      </c>
      <c r="G104" s="12" t="s">
        <v>5884</v>
      </c>
      <c r="H104" s="12"/>
      <c r="I104" s="47" t="s">
        <v>3807</v>
      </c>
      <c r="J104" s="356">
        <v>75195</v>
      </c>
    </row>
    <row r="105" spans="1:10">
      <c r="A105" s="9" t="s">
        <v>5986</v>
      </c>
      <c r="B105" s="8">
        <v>98187849</v>
      </c>
      <c r="C105" s="11" t="s">
        <v>3775</v>
      </c>
      <c r="D105" s="12">
        <v>1</v>
      </c>
      <c r="E105" s="22">
        <v>0</v>
      </c>
      <c r="F105" s="12" t="s">
        <v>5928</v>
      </c>
      <c r="G105" s="12" t="s">
        <v>5884</v>
      </c>
      <c r="H105" s="12"/>
      <c r="I105" s="47" t="s">
        <v>3807</v>
      </c>
      <c r="J105" s="356">
        <v>75195</v>
      </c>
    </row>
    <row r="106" spans="1:10">
      <c r="A106" s="9">
        <v>49988</v>
      </c>
      <c r="B106" s="8">
        <v>4157</v>
      </c>
      <c r="C106" s="11" t="s">
        <v>3775</v>
      </c>
      <c r="D106" s="12">
        <v>1</v>
      </c>
      <c r="E106" s="22">
        <v>0</v>
      </c>
      <c r="F106" s="12" t="s">
        <v>5928</v>
      </c>
      <c r="G106" s="12" t="s">
        <v>5884</v>
      </c>
      <c r="H106" s="12"/>
      <c r="I106" s="47" t="s">
        <v>3759</v>
      </c>
      <c r="J106" s="224">
        <v>75195</v>
      </c>
    </row>
    <row r="107" spans="1:10">
      <c r="A107" s="9"/>
      <c r="B107" s="8"/>
      <c r="C107" s="11"/>
      <c r="D107" s="12"/>
      <c r="E107" s="12"/>
      <c r="F107" s="12"/>
      <c r="G107" s="12"/>
      <c r="H107" s="12"/>
      <c r="I107" s="76"/>
    </row>
    <row r="108" spans="1:10">
      <c r="A108" s="7" t="s">
        <v>5475</v>
      </c>
      <c r="B108" s="8" t="s">
        <v>5992</v>
      </c>
      <c r="C108" s="11" t="s">
        <v>207</v>
      </c>
      <c r="D108" s="12">
        <v>1</v>
      </c>
      <c r="E108" s="22">
        <v>0</v>
      </c>
      <c r="F108" s="12" t="s">
        <v>5989</v>
      </c>
      <c r="G108" s="12" t="s">
        <v>5811</v>
      </c>
      <c r="H108" s="12"/>
      <c r="I108" s="47" t="s">
        <v>3807</v>
      </c>
      <c r="J108" s="224">
        <v>75191</v>
      </c>
    </row>
    <row r="109" spans="1:10">
      <c r="A109" s="7" t="s">
        <v>5475</v>
      </c>
      <c r="B109" s="8" t="s">
        <v>3748</v>
      </c>
      <c r="C109" s="11" t="s">
        <v>207</v>
      </c>
      <c r="D109" s="12">
        <v>1</v>
      </c>
      <c r="E109" s="22">
        <v>0</v>
      </c>
      <c r="F109" s="12" t="s">
        <v>5989</v>
      </c>
      <c r="G109" s="12" t="s">
        <v>5811</v>
      </c>
      <c r="H109" s="12"/>
      <c r="I109" s="47" t="s">
        <v>3807</v>
      </c>
      <c r="J109" s="356" t="s">
        <v>5936</v>
      </c>
    </row>
    <row r="110" spans="1:10">
      <c r="A110" s="7" t="s">
        <v>5993</v>
      </c>
      <c r="B110" s="8" t="s">
        <v>5994</v>
      </c>
      <c r="C110" s="11" t="s">
        <v>207</v>
      </c>
      <c r="D110" s="12">
        <v>1</v>
      </c>
      <c r="E110" s="22">
        <v>0</v>
      </c>
      <c r="F110" s="12" t="s">
        <v>5989</v>
      </c>
      <c r="G110" s="12" t="s">
        <v>5811</v>
      </c>
      <c r="H110" s="12"/>
      <c r="I110" s="47" t="s">
        <v>3807</v>
      </c>
      <c r="J110" s="224">
        <v>75193</v>
      </c>
    </row>
    <row r="111" spans="1:10">
      <c r="A111" s="9"/>
      <c r="B111" s="8"/>
      <c r="C111" s="11"/>
      <c r="D111" s="12"/>
      <c r="E111" s="12"/>
      <c r="F111" s="12"/>
      <c r="G111" s="12"/>
      <c r="H111" s="12"/>
      <c r="I111" s="76"/>
    </row>
    <row r="112" spans="1:10">
      <c r="A112" s="7" t="s">
        <v>5995</v>
      </c>
      <c r="B112" s="8" t="s">
        <v>5996</v>
      </c>
      <c r="C112" s="11" t="s">
        <v>4034</v>
      </c>
      <c r="D112" s="12">
        <v>1</v>
      </c>
      <c r="E112" s="12">
        <v>0</v>
      </c>
      <c r="F112" s="12" t="s">
        <v>5989</v>
      </c>
      <c r="G112" s="12" t="s">
        <v>5997</v>
      </c>
      <c r="H112" s="12"/>
      <c r="I112" s="47" t="s">
        <v>3759</v>
      </c>
      <c r="J112" s="224">
        <v>75193</v>
      </c>
    </row>
    <row r="113" spans="1:10">
      <c r="A113" s="7" t="s">
        <v>5998</v>
      </c>
      <c r="B113" s="8" t="s">
        <v>5999</v>
      </c>
      <c r="C113" s="11" t="s">
        <v>5887</v>
      </c>
      <c r="D113" s="12">
        <v>1</v>
      </c>
      <c r="E113" s="12">
        <v>0</v>
      </c>
      <c r="F113" s="12" t="s">
        <v>5989</v>
      </c>
      <c r="G113" s="12" t="s">
        <v>5997</v>
      </c>
      <c r="H113" s="12"/>
      <c r="I113" s="47" t="s">
        <v>3759</v>
      </c>
      <c r="J113" s="224">
        <v>75193</v>
      </c>
    </row>
    <row r="114" spans="1:10">
      <c r="A114" s="7" t="s">
        <v>6000</v>
      </c>
      <c r="B114" s="8" t="s">
        <v>6001</v>
      </c>
      <c r="C114" s="11" t="s">
        <v>5887</v>
      </c>
      <c r="D114" s="12">
        <v>1</v>
      </c>
      <c r="E114" s="12">
        <v>0</v>
      </c>
      <c r="F114" s="12" t="s">
        <v>5989</v>
      </c>
      <c r="G114" s="12" t="s">
        <v>5997</v>
      </c>
      <c r="H114" s="12"/>
      <c r="I114" s="47" t="s">
        <v>3759</v>
      </c>
      <c r="J114" s="224">
        <v>75191</v>
      </c>
    </row>
    <row r="115" spans="1:10">
      <c r="A115" s="7" t="s">
        <v>6002</v>
      </c>
      <c r="B115" s="8" t="s">
        <v>6003</v>
      </c>
      <c r="C115" s="11" t="s">
        <v>5887</v>
      </c>
      <c r="D115" s="12">
        <v>1</v>
      </c>
      <c r="E115" s="12">
        <v>0</v>
      </c>
      <c r="F115" s="12" t="s">
        <v>5989</v>
      </c>
      <c r="G115" s="12" t="s">
        <v>5997</v>
      </c>
      <c r="H115" s="12"/>
      <c r="I115" s="47" t="s">
        <v>3759</v>
      </c>
      <c r="J115" s="224">
        <v>75191</v>
      </c>
    </row>
    <row r="116" spans="1:10">
      <c r="A116" s="46" t="s">
        <v>6002</v>
      </c>
      <c r="B116" s="8" t="s">
        <v>6004</v>
      </c>
      <c r="C116" s="11" t="s">
        <v>5887</v>
      </c>
      <c r="D116" s="12">
        <v>1</v>
      </c>
      <c r="E116" s="12">
        <v>0</v>
      </c>
      <c r="F116" s="12" t="s">
        <v>5989</v>
      </c>
      <c r="G116" s="12" t="s">
        <v>5997</v>
      </c>
      <c r="H116" s="12"/>
      <c r="I116" s="47" t="s">
        <v>3759</v>
      </c>
      <c r="J116" s="224">
        <v>75191</v>
      </c>
    </row>
    <row r="117" spans="1:10">
      <c r="A117" s="9"/>
      <c r="B117" s="8"/>
      <c r="C117" s="11"/>
      <c r="D117" s="12"/>
      <c r="E117" s="22"/>
      <c r="F117" s="12"/>
      <c r="G117" s="12"/>
      <c r="H117" s="12"/>
      <c r="I117" s="76"/>
    </row>
    <row r="118" spans="1:10">
      <c r="A118" s="7" t="s">
        <v>6006</v>
      </c>
      <c r="B118" s="8" t="s">
        <v>6007</v>
      </c>
      <c r="C118" s="11" t="s">
        <v>207</v>
      </c>
      <c r="D118" s="12">
        <v>1</v>
      </c>
      <c r="E118" s="12">
        <v>0</v>
      </c>
      <c r="F118" s="12" t="s">
        <v>5989</v>
      </c>
      <c r="G118" s="12" t="s">
        <v>6005</v>
      </c>
      <c r="H118" s="12"/>
      <c r="I118" s="47" t="s">
        <v>3807</v>
      </c>
      <c r="J118" s="224">
        <v>75193</v>
      </c>
    </row>
    <row r="119" spans="1:10">
      <c r="A119" s="7" t="s">
        <v>6008</v>
      </c>
      <c r="B119" s="8">
        <v>478621</v>
      </c>
      <c r="C119" s="11" t="s">
        <v>207</v>
      </c>
      <c r="D119" s="12">
        <v>1</v>
      </c>
      <c r="E119" s="12">
        <v>0</v>
      </c>
      <c r="F119" s="12" t="s">
        <v>5989</v>
      </c>
      <c r="G119" s="12" t="s">
        <v>6005</v>
      </c>
      <c r="H119" s="12"/>
      <c r="I119" s="47" t="s">
        <v>3759</v>
      </c>
      <c r="J119" s="224">
        <v>75192</v>
      </c>
    </row>
    <row r="120" spans="1:10">
      <c r="A120" s="9" t="s">
        <v>5995</v>
      </c>
      <c r="B120" s="8" t="s">
        <v>6009</v>
      </c>
      <c r="C120" s="11" t="s">
        <v>207</v>
      </c>
      <c r="D120" s="12">
        <v>1</v>
      </c>
      <c r="E120" s="12">
        <v>0</v>
      </c>
      <c r="F120" s="12" t="s">
        <v>5989</v>
      </c>
      <c r="G120" s="12" t="s">
        <v>6005</v>
      </c>
      <c r="H120" s="12"/>
      <c r="I120" s="47" t="s">
        <v>3759</v>
      </c>
      <c r="J120" s="224">
        <v>75193</v>
      </c>
    </row>
    <row r="121" spans="1:10">
      <c r="A121" s="9" t="s">
        <v>4707</v>
      </c>
      <c r="B121" s="8" t="s">
        <v>6010</v>
      </c>
      <c r="C121" s="11" t="s">
        <v>207</v>
      </c>
      <c r="D121" s="12">
        <v>1</v>
      </c>
      <c r="E121" s="99">
        <v>2</v>
      </c>
      <c r="F121" s="99" t="s">
        <v>5989</v>
      </c>
      <c r="G121" s="99" t="s">
        <v>6005</v>
      </c>
      <c r="H121" s="12"/>
      <c r="I121" s="47" t="s">
        <v>3759</v>
      </c>
      <c r="J121" s="224">
        <v>75192</v>
      </c>
    </row>
    <row r="122" spans="1:10">
      <c r="A122" s="7" t="s">
        <v>6011</v>
      </c>
      <c r="B122" s="8" t="s">
        <v>6012</v>
      </c>
      <c r="C122" s="11" t="s">
        <v>207</v>
      </c>
      <c r="D122" s="12">
        <v>1</v>
      </c>
      <c r="E122" s="12">
        <v>0</v>
      </c>
      <c r="F122" s="12" t="s">
        <v>5989</v>
      </c>
      <c r="G122" s="12" t="s">
        <v>6005</v>
      </c>
      <c r="H122" s="12"/>
      <c r="I122" s="47" t="s">
        <v>3807</v>
      </c>
      <c r="J122" s="356" t="s">
        <v>5936</v>
      </c>
    </row>
    <row r="123" spans="1:10">
      <c r="A123" s="9"/>
      <c r="B123" s="8"/>
      <c r="C123" s="11"/>
      <c r="D123" s="12"/>
      <c r="E123" s="12"/>
      <c r="F123" s="12"/>
      <c r="G123" s="12"/>
      <c r="H123" s="12"/>
      <c r="I123" s="76"/>
    </row>
    <row r="124" spans="1:10">
      <c r="A124" s="7" t="s">
        <v>6013</v>
      </c>
      <c r="B124" s="8" t="s">
        <v>3748</v>
      </c>
      <c r="C124" s="11" t="s">
        <v>207</v>
      </c>
      <c r="D124" s="12">
        <v>1</v>
      </c>
      <c r="E124" s="12">
        <v>0</v>
      </c>
      <c r="F124" s="12" t="s">
        <v>5918</v>
      </c>
      <c r="G124" s="12" t="s">
        <v>5984</v>
      </c>
      <c r="H124" s="12"/>
      <c r="I124" s="47" t="s">
        <v>3807</v>
      </c>
      <c r="J124" s="356" t="s">
        <v>5936</v>
      </c>
    </row>
    <row r="125" spans="1:10">
      <c r="A125" s="9" t="s">
        <v>5475</v>
      </c>
      <c r="B125" s="8" t="s">
        <v>6014</v>
      </c>
      <c r="C125" s="11" t="s">
        <v>207</v>
      </c>
      <c r="D125" s="12">
        <v>1</v>
      </c>
      <c r="E125" s="12">
        <v>0</v>
      </c>
      <c r="F125" s="12" t="s">
        <v>5918</v>
      </c>
      <c r="G125" s="12" t="s">
        <v>5984</v>
      </c>
      <c r="H125" s="12"/>
      <c r="I125" s="47" t="s">
        <v>3759</v>
      </c>
      <c r="J125" s="224">
        <v>75191</v>
      </c>
    </row>
    <row r="126" spans="1:10">
      <c r="A126" s="7" t="s">
        <v>6015</v>
      </c>
      <c r="B126" s="8" t="s">
        <v>6016</v>
      </c>
      <c r="C126" s="11" t="s">
        <v>4709</v>
      </c>
      <c r="D126" s="12">
        <v>1</v>
      </c>
      <c r="E126" s="12">
        <v>0</v>
      </c>
      <c r="F126" s="12" t="s">
        <v>5918</v>
      </c>
      <c r="G126" s="12" t="s">
        <v>5984</v>
      </c>
      <c r="H126" s="12"/>
      <c r="I126" s="47" t="s">
        <v>3759</v>
      </c>
      <c r="J126" s="224">
        <v>75193</v>
      </c>
    </row>
    <row r="127" spans="1:10">
      <c r="A127" s="9" t="s">
        <v>6000</v>
      </c>
      <c r="B127" s="8" t="s">
        <v>6018</v>
      </c>
      <c r="C127" s="11" t="s">
        <v>207</v>
      </c>
      <c r="D127" s="12">
        <v>1</v>
      </c>
      <c r="E127" s="12">
        <v>0</v>
      </c>
      <c r="F127" s="12" t="s">
        <v>5918</v>
      </c>
      <c r="G127" s="12" t="s">
        <v>5984</v>
      </c>
      <c r="H127" s="12"/>
      <c r="I127" s="47" t="s">
        <v>3759</v>
      </c>
      <c r="J127" s="224">
        <v>75191</v>
      </c>
    </row>
    <row r="129" spans="1:10">
      <c r="A129" s="9" t="s">
        <v>5998</v>
      </c>
      <c r="B129" s="8" t="s">
        <v>6019</v>
      </c>
      <c r="C129" s="11" t="s">
        <v>6020</v>
      </c>
      <c r="D129" s="12">
        <v>1</v>
      </c>
      <c r="E129" s="22">
        <v>0</v>
      </c>
      <c r="F129" s="12" t="s">
        <v>5989</v>
      </c>
      <c r="G129" s="12" t="s">
        <v>5853</v>
      </c>
      <c r="H129" s="12"/>
      <c r="I129" s="47" t="s">
        <v>3759</v>
      </c>
      <c r="J129" s="224">
        <v>75191</v>
      </c>
    </row>
    <row r="130" spans="1:10">
      <c r="A130" s="7" t="s">
        <v>6021</v>
      </c>
      <c r="B130" s="8" t="s">
        <v>6022</v>
      </c>
      <c r="C130" s="11" t="s">
        <v>6020</v>
      </c>
      <c r="D130" s="12">
        <v>1</v>
      </c>
      <c r="E130" s="22">
        <v>0</v>
      </c>
      <c r="F130" s="12" t="s">
        <v>5989</v>
      </c>
      <c r="G130" s="12" t="s">
        <v>5853</v>
      </c>
      <c r="H130" s="12"/>
      <c r="I130" s="47" t="s">
        <v>3759</v>
      </c>
      <c r="J130" s="439">
        <v>75193</v>
      </c>
    </row>
    <row r="131" spans="1:10">
      <c r="A131" s="7" t="s">
        <v>6023</v>
      </c>
      <c r="B131" s="8" t="s">
        <v>3748</v>
      </c>
      <c r="C131" s="11" t="s">
        <v>207</v>
      </c>
      <c r="D131" s="12">
        <v>1</v>
      </c>
      <c r="E131" s="22">
        <v>0</v>
      </c>
      <c r="F131" s="12" t="s">
        <v>5989</v>
      </c>
      <c r="G131" s="12" t="s">
        <v>5853</v>
      </c>
      <c r="H131" s="12"/>
      <c r="I131" s="47" t="s">
        <v>3759</v>
      </c>
      <c r="J131" s="439">
        <v>75193</v>
      </c>
    </row>
    <row r="132" spans="1:10">
      <c r="A132" s="9" t="s">
        <v>6023</v>
      </c>
      <c r="B132" s="8" t="s">
        <v>3748</v>
      </c>
      <c r="C132" s="11" t="s">
        <v>207</v>
      </c>
      <c r="D132" s="12">
        <v>1</v>
      </c>
      <c r="E132" s="22">
        <v>0</v>
      </c>
      <c r="F132" s="12" t="s">
        <v>5989</v>
      </c>
      <c r="G132" s="12" t="s">
        <v>5853</v>
      </c>
      <c r="H132" s="12"/>
      <c r="I132" s="47" t="s">
        <v>3759</v>
      </c>
      <c r="J132" s="439">
        <v>75193</v>
      </c>
    </row>
    <row r="133" spans="1:10">
      <c r="A133" s="9" t="s">
        <v>6023</v>
      </c>
      <c r="B133" s="13" t="s">
        <v>6024</v>
      </c>
      <c r="C133" s="11" t="s">
        <v>207</v>
      </c>
      <c r="D133" s="12">
        <v>1</v>
      </c>
      <c r="E133" s="22">
        <v>0</v>
      </c>
      <c r="F133" s="12" t="s">
        <v>5989</v>
      </c>
      <c r="G133" s="12" t="s">
        <v>5853</v>
      </c>
      <c r="H133" s="12"/>
      <c r="I133" s="47" t="s">
        <v>3759</v>
      </c>
      <c r="J133" s="439">
        <v>75193</v>
      </c>
    </row>
    <row r="134" spans="1:10">
      <c r="A134" s="9"/>
      <c r="B134" s="8"/>
      <c r="C134" s="11"/>
      <c r="D134" s="12"/>
      <c r="E134" s="20"/>
      <c r="F134" s="12"/>
      <c r="G134" s="12"/>
      <c r="H134" s="12"/>
      <c r="I134" s="76"/>
    </row>
    <row r="135" spans="1:10">
      <c r="A135" s="9" t="s">
        <v>5998</v>
      </c>
      <c r="B135" s="8" t="s">
        <v>3748</v>
      </c>
      <c r="C135" s="11" t="s">
        <v>207</v>
      </c>
      <c r="D135" s="12">
        <v>1</v>
      </c>
      <c r="E135" s="20">
        <v>0</v>
      </c>
      <c r="F135" s="12" t="s">
        <v>5883</v>
      </c>
      <c r="G135" s="12" t="s">
        <v>5984</v>
      </c>
      <c r="H135" s="12"/>
      <c r="I135" s="47" t="s">
        <v>3759</v>
      </c>
      <c r="J135" s="224">
        <v>75191</v>
      </c>
    </row>
    <row r="136" spans="1:10">
      <c r="A136" s="7" t="s">
        <v>4707</v>
      </c>
      <c r="B136" s="13" t="s">
        <v>6025</v>
      </c>
      <c r="C136" s="11" t="s">
        <v>207</v>
      </c>
      <c r="D136" s="12">
        <v>1</v>
      </c>
      <c r="E136" s="99">
        <v>2</v>
      </c>
      <c r="F136" s="99" t="s">
        <v>5883</v>
      </c>
      <c r="G136" s="99" t="s">
        <v>5984</v>
      </c>
      <c r="H136" s="12"/>
      <c r="I136" s="47" t="s">
        <v>3759</v>
      </c>
      <c r="J136" s="224">
        <v>75192</v>
      </c>
    </row>
    <row r="137" spans="1:10">
      <c r="A137" s="7" t="s">
        <v>6026</v>
      </c>
      <c r="B137" s="8" t="s">
        <v>3748</v>
      </c>
      <c r="C137" s="11" t="s">
        <v>207</v>
      </c>
      <c r="D137" s="12">
        <v>1</v>
      </c>
      <c r="E137" s="20">
        <v>0</v>
      </c>
      <c r="F137" s="12" t="s">
        <v>5883</v>
      </c>
      <c r="G137" s="12" t="s">
        <v>5984</v>
      </c>
      <c r="H137" s="12"/>
      <c r="I137" s="47" t="s">
        <v>3807</v>
      </c>
      <c r="J137" s="356" t="s">
        <v>5936</v>
      </c>
    </row>
    <row r="138" spans="1:10">
      <c r="A138" s="7" t="s">
        <v>6027</v>
      </c>
      <c r="B138" s="8">
        <v>8626</v>
      </c>
      <c r="C138" s="11" t="s">
        <v>6028</v>
      </c>
      <c r="D138" s="12">
        <v>1</v>
      </c>
      <c r="E138" s="20">
        <v>0</v>
      </c>
      <c r="F138" s="12" t="s">
        <v>5883</v>
      </c>
      <c r="G138" s="12" t="s">
        <v>5984</v>
      </c>
      <c r="H138" s="12"/>
      <c r="I138" s="47" t="s">
        <v>3759</v>
      </c>
      <c r="J138" s="224">
        <v>75202</v>
      </c>
    </row>
    <row r="139" spans="1:10">
      <c r="A139" s="9">
        <v>813201</v>
      </c>
      <c r="B139" s="8">
        <v>117319</v>
      </c>
      <c r="C139" s="11" t="s">
        <v>6029</v>
      </c>
      <c r="D139" s="12">
        <v>1</v>
      </c>
      <c r="E139" s="20">
        <v>0</v>
      </c>
      <c r="F139" s="12" t="s">
        <v>5883</v>
      </c>
      <c r="G139" s="12" t="s">
        <v>5984</v>
      </c>
      <c r="H139" s="12"/>
      <c r="I139" s="47" t="s">
        <v>3759</v>
      </c>
      <c r="J139" s="439">
        <v>75202</v>
      </c>
    </row>
    <row r="140" spans="1:10">
      <c r="A140" s="7" t="s">
        <v>6030</v>
      </c>
      <c r="B140" s="8" t="s">
        <v>6031</v>
      </c>
      <c r="C140" s="11" t="s">
        <v>6032</v>
      </c>
      <c r="D140" s="12">
        <v>1</v>
      </c>
      <c r="E140" s="20">
        <v>0</v>
      </c>
      <c r="F140" s="12" t="s">
        <v>5883</v>
      </c>
      <c r="G140" s="12" t="s">
        <v>5984</v>
      </c>
      <c r="H140" s="12"/>
      <c r="I140" s="47" t="s">
        <v>3759</v>
      </c>
      <c r="J140" s="224">
        <v>75197</v>
      </c>
    </row>
    <row r="141" spans="1:10">
      <c r="A141" s="9"/>
      <c r="B141" s="8"/>
      <c r="C141" s="11"/>
      <c r="D141" s="12"/>
      <c r="E141" s="22"/>
      <c r="F141" s="12"/>
      <c r="G141" s="12"/>
      <c r="H141" s="12"/>
      <c r="I141" s="76"/>
    </row>
    <row r="142" spans="1:10">
      <c r="A142" s="7" t="s">
        <v>4895</v>
      </c>
      <c r="B142" s="8">
        <v>1780</v>
      </c>
      <c r="C142" s="11" t="s">
        <v>4440</v>
      </c>
      <c r="D142" s="12">
        <v>1</v>
      </c>
      <c r="E142" s="23">
        <v>0</v>
      </c>
      <c r="F142" s="29" t="s">
        <v>5883</v>
      </c>
      <c r="G142" s="29" t="s">
        <v>5967</v>
      </c>
      <c r="H142" s="12"/>
      <c r="I142" s="47" t="s">
        <v>3807</v>
      </c>
      <c r="J142" s="224">
        <v>76486</v>
      </c>
    </row>
    <row r="143" spans="1:10">
      <c r="A143" s="7" t="s">
        <v>6033</v>
      </c>
      <c r="B143" s="8" t="s">
        <v>6034</v>
      </c>
      <c r="C143" s="11" t="s">
        <v>4247</v>
      </c>
      <c r="D143" s="12">
        <v>4</v>
      </c>
      <c r="E143" s="22">
        <v>0</v>
      </c>
      <c r="F143" s="12" t="s">
        <v>5883</v>
      </c>
      <c r="G143" s="12" t="s">
        <v>5967</v>
      </c>
      <c r="H143" s="12"/>
      <c r="I143" s="47" t="s">
        <v>3807</v>
      </c>
      <c r="J143" s="224">
        <v>75776</v>
      </c>
    </row>
    <row r="144" spans="1:10" ht="28.8">
      <c r="A144" s="16" t="s">
        <v>3265</v>
      </c>
      <c r="B144" s="152" t="s">
        <v>8186</v>
      </c>
      <c r="C144" s="15" t="s">
        <v>4140</v>
      </c>
      <c r="D144" s="30">
        <v>6</v>
      </c>
      <c r="E144" s="35">
        <v>1</v>
      </c>
      <c r="F144" s="35" t="s">
        <v>5883</v>
      </c>
      <c r="G144" s="35" t="s">
        <v>5967</v>
      </c>
      <c r="H144" s="246"/>
      <c r="I144" s="332" t="s">
        <v>3807</v>
      </c>
      <c r="J144" s="224">
        <v>79596</v>
      </c>
    </row>
    <row r="146" spans="1:10" ht="28.8">
      <c r="A146" s="16" t="s">
        <v>6036</v>
      </c>
      <c r="B146" s="104" t="s">
        <v>6037</v>
      </c>
      <c r="C146" s="15" t="s">
        <v>6038</v>
      </c>
      <c r="D146" s="30">
        <v>3</v>
      </c>
      <c r="E146" s="31">
        <v>0</v>
      </c>
      <c r="F146" s="30" t="s">
        <v>5883</v>
      </c>
      <c r="G146" s="30" t="s">
        <v>5929</v>
      </c>
      <c r="H146" s="30"/>
      <c r="I146" s="48" t="s">
        <v>3759</v>
      </c>
      <c r="J146" s="224">
        <v>79830</v>
      </c>
    </row>
    <row r="147" spans="1:10">
      <c r="A147" s="7" t="s">
        <v>4143</v>
      </c>
      <c r="B147" s="8" t="s">
        <v>6039</v>
      </c>
      <c r="C147" s="11" t="s">
        <v>6040</v>
      </c>
      <c r="D147" s="12">
        <v>3</v>
      </c>
      <c r="E147" s="23">
        <v>1</v>
      </c>
      <c r="F147" s="29" t="s">
        <v>5883</v>
      </c>
      <c r="G147" s="29" t="s">
        <v>5929</v>
      </c>
      <c r="H147" s="12"/>
      <c r="I147" s="47" t="s">
        <v>3807</v>
      </c>
      <c r="J147" s="224" t="s">
        <v>5936</v>
      </c>
    </row>
    <row r="148" spans="1:10">
      <c r="A148" s="7" t="s">
        <v>6041</v>
      </c>
      <c r="B148" s="8">
        <v>11145</v>
      </c>
      <c r="C148" s="11" t="s">
        <v>6040</v>
      </c>
      <c r="D148" s="12">
        <v>1</v>
      </c>
      <c r="E148" s="31">
        <v>0</v>
      </c>
      <c r="F148" s="30" t="s">
        <v>5883</v>
      </c>
      <c r="G148" s="30" t="s">
        <v>5929</v>
      </c>
      <c r="H148" s="30"/>
      <c r="I148" s="47" t="s">
        <v>3807</v>
      </c>
      <c r="J148" s="356" t="s">
        <v>5936</v>
      </c>
    </row>
    <row r="149" spans="1:10">
      <c r="A149" s="7" t="s">
        <v>6042</v>
      </c>
      <c r="B149" s="8">
        <v>49101988</v>
      </c>
      <c r="C149" s="11" t="s">
        <v>6043</v>
      </c>
      <c r="D149" s="12">
        <v>1</v>
      </c>
      <c r="E149" s="31">
        <v>0</v>
      </c>
      <c r="F149" s="30" t="s">
        <v>5883</v>
      </c>
      <c r="G149" s="30" t="s">
        <v>5929</v>
      </c>
      <c r="H149" s="30"/>
      <c r="I149" s="47" t="s">
        <v>3807</v>
      </c>
      <c r="J149" s="356" t="s">
        <v>5936</v>
      </c>
    </row>
    <row r="150" spans="1:10">
      <c r="A150" s="7" t="s">
        <v>6044</v>
      </c>
      <c r="B150" s="8" t="s">
        <v>6045</v>
      </c>
      <c r="C150" s="11" t="s">
        <v>6046</v>
      </c>
      <c r="D150" s="12">
        <v>1</v>
      </c>
      <c r="E150" s="31">
        <v>0</v>
      </c>
      <c r="F150" s="30" t="s">
        <v>5883</v>
      </c>
      <c r="G150" s="30" t="s">
        <v>5929</v>
      </c>
      <c r="H150" s="30"/>
      <c r="I150" s="47" t="s">
        <v>3807</v>
      </c>
      <c r="J150" s="356" t="s">
        <v>5936</v>
      </c>
    </row>
    <row r="151" spans="1:10">
      <c r="A151" s="7" t="s">
        <v>6047</v>
      </c>
      <c r="B151" s="8">
        <v>10516</v>
      </c>
      <c r="C151" s="11" t="s">
        <v>6048</v>
      </c>
      <c r="D151" s="12">
        <v>1</v>
      </c>
      <c r="E151" s="31">
        <v>0</v>
      </c>
      <c r="F151" s="30" t="s">
        <v>5883</v>
      </c>
      <c r="G151" s="30" t="s">
        <v>5929</v>
      </c>
      <c r="H151" s="30"/>
      <c r="I151" s="47" t="s">
        <v>3759</v>
      </c>
      <c r="J151" s="224">
        <v>77784</v>
      </c>
    </row>
    <row r="152" spans="1:10">
      <c r="A152" s="7" t="s">
        <v>5574</v>
      </c>
      <c r="B152" s="8" t="s">
        <v>6049</v>
      </c>
      <c r="C152" s="11" t="s">
        <v>707</v>
      </c>
      <c r="D152" s="12">
        <v>1</v>
      </c>
      <c r="E152" s="25">
        <v>3</v>
      </c>
      <c r="F152" s="29" t="s">
        <v>5883</v>
      </c>
      <c r="G152" s="29" t="s">
        <v>5929</v>
      </c>
      <c r="H152" s="12"/>
      <c r="I152" s="47" t="s">
        <v>3759</v>
      </c>
      <c r="J152" s="439">
        <v>77642</v>
      </c>
    </row>
    <row r="153" spans="1:10">
      <c r="A153" s="9"/>
      <c r="B153" s="8"/>
      <c r="C153" s="11"/>
      <c r="D153" s="12"/>
      <c r="E153" s="20"/>
      <c r="F153" s="12"/>
      <c r="G153" s="12"/>
      <c r="H153" s="12"/>
      <c r="I153" s="76"/>
    </row>
    <row r="154" spans="1:10">
      <c r="A154" s="9">
        <v>571219</v>
      </c>
      <c r="B154" s="8">
        <v>86391</v>
      </c>
      <c r="C154" s="11" t="s">
        <v>3775</v>
      </c>
      <c r="D154" s="12">
        <v>1</v>
      </c>
      <c r="E154" s="20">
        <v>0</v>
      </c>
      <c r="F154" s="12" t="s">
        <v>5883</v>
      </c>
      <c r="G154" s="12" t="s">
        <v>6005</v>
      </c>
      <c r="H154" s="12"/>
      <c r="I154" s="47" t="s">
        <v>3807</v>
      </c>
      <c r="J154" s="225" t="s">
        <v>5936</v>
      </c>
    </row>
    <row r="155" spans="1:10">
      <c r="A155" s="7" t="s">
        <v>5635</v>
      </c>
      <c r="B155" s="8">
        <v>3266</v>
      </c>
      <c r="C155" s="11" t="s">
        <v>6050</v>
      </c>
      <c r="D155" s="12">
        <v>1</v>
      </c>
      <c r="E155" s="23">
        <v>1</v>
      </c>
      <c r="F155" s="29" t="s">
        <v>5883</v>
      </c>
      <c r="G155" s="29" t="s">
        <v>6005</v>
      </c>
      <c r="H155" s="12"/>
      <c r="I155" s="47" t="s">
        <v>3759</v>
      </c>
      <c r="J155" s="224">
        <v>76905</v>
      </c>
    </row>
    <row r="156" spans="1:10">
      <c r="A156" s="7" t="s">
        <v>6051</v>
      </c>
      <c r="B156" s="8" t="s">
        <v>3748</v>
      </c>
      <c r="C156" s="11" t="s">
        <v>6052</v>
      </c>
      <c r="D156" s="12">
        <v>1</v>
      </c>
      <c r="E156" s="20">
        <v>0</v>
      </c>
      <c r="F156" s="12" t="s">
        <v>5883</v>
      </c>
      <c r="G156" s="12" t="s">
        <v>6005</v>
      </c>
      <c r="H156" s="12"/>
      <c r="I156" s="47" t="s">
        <v>3759</v>
      </c>
      <c r="J156" s="224">
        <v>76846</v>
      </c>
    </row>
    <row r="157" spans="1:10">
      <c r="A157" s="9"/>
      <c r="B157" s="8"/>
      <c r="C157" s="11"/>
      <c r="D157" s="12"/>
      <c r="E157" s="22"/>
      <c r="F157" s="12"/>
      <c r="G157" s="12"/>
      <c r="H157" s="12"/>
      <c r="I157" s="76"/>
    </row>
    <row r="158" spans="1:10">
      <c r="A158" s="7" t="s">
        <v>6055</v>
      </c>
      <c r="B158" s="8" t="s">
        <v>6056</v>
      </c>
      <c r="C158" s="11" t="s">
        <v>2264</v>
      </c>
      <c r="D158" s="12">
        <v>5</v>
      </c>
      <c r="E158" s="22">
        <v>0</v>
      </c>
      <c r="F158" s="12" t="s">
        <v>5883</v>
      </c>
      <c r="G158" s="12" t="s">
        <v>5944</v>
      </c>
      <c r="H158" s="12"/>
      <c r="I158" s="47" t="s">
        <v>3807</v>
      </c>
      <c r="J158" s="356" t="s">
        <v>5936</v>
      </c>
    </row>
    <row r="159" spans="1:10" ht="15" customHeight="1">
      <c r="A159" s="9" t="s">
        <v>6057</v>
      </c>
      <c r="B159" s="13" t="s">
        <v>6058</v>
      </c>
      <c r="C159" s="11" t="s">
        <v>6059</v>
      </c>
      <c r="D159" s="12">
        <v>3</v>
      </c>
      <c r="E159" s="22">
        <v>0</v>
      </c>
      <c r="F159" s="12" t="s">
        <v>5883</v>
      </c>
      <c r="G159" s="12" t="s">
        <v>5944</v>
      </c>
      <c r="H159" s="12"/>
      <c r="I159" s="47" t="s">
        <v>6060</v>
      </c>
      <c r="J159" s="224">
        <v>80245</v>
      </c>
    </row>
    <row r="160" spans="1:10">
      <c r="A160" s="7" t="s">
        <v>6062</v>
      </c>
      <c r="B160" s="8">
        <v>18849</v>
      </c>
      <c r="C160" s="11" t="s">
        <v>6063</v>
      </c>
      <c r="D160" s="12">
        <v>1</v>
      </c>
      <c r="E160" s="22">
        <v>0</v>
      </c>
      <c r="F160" s="12" t="s">
        <v>5883</v>
      </c>
      <c r="G160" s="12" t="s">
        <v>5944</v>
      </c>
      <c r="H160" s="12"/>
      <c r="I160" s="47" t="s">
        <v>3759</v>
      </c>
      <c r="J160" s="224">
        <v>79784</v>
      </c>
    </row>
    <row r="161" spans="1:11">
      <c r="A161" s="7" t="s">
        <v>5560</v>
      </c>
      <c r="B161" s="8" t="s">
        <v>6064</v>
      </c>
      <c r="C161" s="11" t="s">
        <v>707</v>
      </c>
      <c r="D161" s="12">
        <v>1</v>
      </c>
      <c r="E161" s="23">
        <v>1</v>
      </c>
      <c r="F161" s="35" t="s">
        <v>5883</v>
      </c>
      <c r="G161" s="35" t="s">
        <v>5944</v>
      </c>
      <c r="H161" s="30"/>
      <c r="I161" s="47" t="s">
        <v>3807</v>
      </c>
      <c r="J161" s="224" t="s">
        <v>5936</v>
      </c>
    </row>
    <row r="162" spans="1:11">
      <c r="A162" s="7" t="s">
        <v>6065</v>
      </c>
      <c r="B162" s="8">
        <v>11444</v>
      </c>
      <c r="C162" s="11" t="s">
        <v>418</v>
      </c>
      <c r="D162" s="12">
        <v>1</v>
      </c>
      <c r="E162" s="23">
        <v>2</v>
      </c>
      <c r="F162" s="35" t="s">
        <v>5883</v>
      </c>
      <c r="G162" s="35" t="s">
        <v>5944</v>
      </c>
      <c r="H162" s="30"/>
      <c r="I162" s="47" t="s">
        <v>3807</v>
      </c>
      <c r="J162" s="224">
        <v>79811</v>
      </c>
    </row>
    <row r="163" spans="1:11" ht="15" customHeight="1">
      <c r="A163" s="9"/>
      <c r="B163" s="8"/>
      <c r="C163" s="11"/>
      <c r="D163" s="12"/>
      <c r="E163" s="22"/>
      <c r="F163" s="12"/>
      <c r="G163" s="12"/>
      <c r="H163" s="12"/>
      <c r="I163" s="76"/>
    </row>
    <row r="164" spans="1:11">
      <c r="A164" s="9">
        <v>340545</v>
      </c>
      <c r="B164" s="13" t="s">
        <v>6075</v>
      </c>
      <c r="C164" s="11" t="s">
        <v>3800</v>
      </c>
      <c r="D164" s="12">
        <v>4</v>
      </c>
      <c r="E164" s="23">
        <v>3</v>
      </c>
      <c r="F164" s="29" t="s">
        <v>6072</v>
      </c>
      <c r="G164" s="29" t="s">
        <v>5984</v>
      </c>
      <c r="H164" s="12"/>
      <c r="I164" s="47" t="s">
        <v>6076</v>
      </c>
      <c r="J164" s="224">
        <v>78611</v>
      </c>
    </row>
    <row r="165" spans="1:11">
      <c r="A165" s="7" t="s">
        <v>4742</v>
      </c>
      <c r="B165" s="8" t="s">
        <v>6077</v>
      </c>
      <c r="C165" s="11" t="s">
        <v>4690</v>
      </c>
      <c r="D165" s="12">
        <v>3</v>
      </c>
      <c r="E165" s="23">
        <v>2</v>
      </c>
      <c r="F165" s="29" t="s">
        <v>6072</v>
      </c>
      <c r="G165" s="29" t="s">
        <v>5984</v>
      </c>
      <c r="H165" s="308" t="s">
        <v>2754</v>
      </c>
      <c r="I165" s="47" t="s">
        <v>4678</v>
      </c>
      <c r="J165" s="224" t="s">
        <v>6078</v>
      </c>
    </row>
    <row r="166" spans="1:11">
      <c r="A166" s="7" t="s">
        <v>5619</v>
      </c>
      <c r="B166" s="8" t="s">
        <v>6079</v>
      </c>
      <c r="C166" s="11" t="s">
        <v>6080</v>
      </c>
      <c r="D166" s="12" t="s">
        <v>8112</v>
      </c>
      <c r="E166" s="23">
        <v>0</v>
      </c>
      <c r="F166" s="29" t="s">
        <v>6072</v>
      </c>
      <c r="G166" s="29" t="s">
        <v>5984</v>
      </c>
      <c r="H166" s="12"/>
      <c r="I166" s="47" t="s">
        <v>4678</v>
      </c>
      <c r="J166" s="224">
        <v>79628</v>
      </c>
    </row>
    <row r="167" spans="1:11">
      <c r="A167" s="9">
        <v>5006397</v>
      </c>
      <c r="B167" s="8">
        <v>3338</v>
      </c>
      <c r="C167" s="11" t="s">
        <v>6081</v>
      </c>
      <c r="D167" s="12">
        <v>1</v>
      </c>
      <c r="E167" s="22">
        <v>0</v>
      </c>
      <c r="F167" s="12" t="s">
        <v>6072</v>
      </c>
      <c r="G167" s="12" t="s">
        <v>5984</v>
      </c>
      <c r="H167" s="12"/>
      <c r="I167" s="47" t="s">
        <v>3807</v>
      </c>
      <c r="J167" s="224" t="s">
        <v>5936</v>
      </c>
    </row>
    <row r="168" spans="1:11">
      <c r="A168" s="9"/>
      <c r="B168" s="8"/>
      <c r="C168" s="11"/>
      <c r="D168" s="12"/>
      <c r="E168" s="22"/>
      <c r="F168" s="12"/>
      <c r="G168" s="12"/>
      <c r="H168" s="12"/>
      <c r="I168" s="76"/>
      <c r="J168" s="439"/>
    </row>
    <row r="169" spans="1:11">
      <c r="A169" s="7" t="s">
        <v>6082</v>
      </c>
      <c r="B169" s="8" t="s">
        <v>6083</v>
      </c>
      <c r="C169" s="11" t="s">
        <v>6084</v>
      </c>
      <c r="D169" s="12">
        <v>2</v>
      </c>
      <c r="E169" s="22">
        <v>0</v>
      </c>
      <c r="F169" s="12" t="s">
        <v>6072</v>
      </c>
      <c r="G169" s="12" t="s">
        <v>5967</v>
      </c>
      <c r="H169" s="12"/>
      <c r="I169" s="47" t="s">
        <v>3759</v>
      </c>
      <c r="J169" s="224">
        <v>79970</v>
      </c>
    </row>
    <row r="170" spans="1:11">
      <c r="A170" s="18"/>
      <c r="B170" s="14"/>
      <c r="C170" s="15"/>
      <c r="D170" s="30"/>
      <c r="E170" s="31"/>
      <c r="F170" s="30"/>
      <c r="G170" s="30"/>
      <c r="H170" s="30"/>
      <c r="I170" s="124"/>
      <c r="K170" s="102"/>
    </row>
    <row r="171" spans="1:11">
      <c r="A171" s="7" t="s">
        <v>6085</v>
      </c>
      <c r="B171" s="8">
        <v>8617</v>
      </c>
      <c r="C171" s="11" t="s">
        <v>6086</v>
      </c>
      <c r="D171" s="12">
        <v>1</v>
      </c>
      <c r="E171" s="23">
        <v>7</v>
      </c>
      <c r="F171" s="29" t="s">
        <v>6087</v>
      </c>
      <c r="G171" s="29" t="s">
        <v>5853</v>
      </c>
      <c r="H171" s="12"/>
      <c r="I171" s="47" t="s">
        <v>3807</v>
      </c>
      <c r="J171" s="224">
        <v>76606</v>
      </c>
    </row>
    <row r="172" spans="1:11">
      <c r="A172" s="16" t="s">
        <v>6088</v>
      </c>
      <c r="B172" s="14" t="s">
        <v>6089</v>
      </c>
      <c r="C172" s="15" t="s">
        <v>6090</v>
      </c>
      <c r="D172" s="30">
        <v>1</v>
      </c>
      <c r="E172" s="28">
        <v>0</v>
      </c>
      <c r="F172" s="12" t="s">
        <v>6087</v>
      </c>
      <c r="G172" s="12" t="s">
        <v>5853</v>
      </c>
      <c r="H172" s="12"/>
      <c r="I172" s="48" t="s">
        <v>3807</v>
      </c>
      <c r="J172" s="224" t="s">
        <v>5936</v>
      </c>
      <c r="K172" s="102"/>
    </row>
    <row r="173" spans="1:11">
      <c r="A173" s="18"/>
      <c r="B173" s="14"/>
      <c r="C173" s="15"/>
      <c r="D173" s="30"/>
      <c r="E173" s="28"/>
      <c r="F173" s="30"/>
      <c r="G173" s="12"/>
      <c r="H173" s="12"/>
      <c r="I173" s="124"/>
      <c r="K173" s="102"/>
    </row>
    <row r="174" spans="1:11">
      <c r="A174" s="7" t="s">
        <v>6095</v>
      </c>
      <c r="B174" s="13" t="s">
        <v>6096</v>
      </c>
      <c r="C174" s="11" t="s">
        <v>6097</v>
      </c>
      <c r="D174" s="12">
        <v>3</v>
      </c>
      <c r="E174" s="22">
        <v>0</v>
      </c>
      <c r="F174" s="12" t="s">
        <v>6072</v>
      </c>
      <c r="G174" s="12" t="s">
        <v>5884</v>
      </c>
      <c r="H174" s="12"/>
      <c r="I174" s="47" t="s">
        <v>3759</v>
      </c>
      <c r="J174" s="224">
        <v>75172</v>
      </c>
      <c r="K174" s="398" t="s">
        <v>6098</v>
      </c>
    </row>
    <row r="175" spans="1:11">
      <c r="A175" s="9"/>
      <c r="B175" s="8"/>
      <c r="C175" s="11"/>
      <c r="D175" s="12"/>
      <c r="E175" s="22"/>
      <c r="F175" s="12"/>
      <c r="G175" s="12"/>
      <c r="H175" s="12"/>
      <c r="I175" s="76"/>
    </row>
    <row r="176" spans="1:11" s="102" customFormat="1">
      <c r="A176" s="7" t="s">
        <v>4729</v>
      </c>
      <c r="B176" s="8" t="s">
        <v>6099</v>
      </c>
      <c r="C176" s="11" t="s">
        <v>6100</v>
      </c>
      <c r="D176" s="12">
        <v>2</v>
      </c>
      <c r="E176" s="23">
        <v>6</v>
      </c>
      <c r="F176" s="29" t="s">
        <v>5810</v>
      </c>
      <c r="G176" s="29" t="s">
        <v>6005</v>
      </c>
      <c r="H176" s="12"/>
      <c r="I176" s="47" t="s">
        <v>3807</v>
      </c>
      <c r="J176" s="224" t="s">
        <v>5936</v>
      </c>
      <c r="K176" s="103"/>
    </row>
    <row r="178" spans="1:10">
      <c r="A178" s="7" t="s">
        <v>6110</v>
      </c>
      <c r="B178" s="8">
        <v>20370348</v>
      </c>
      <c r="C178" s="11" t="s">
        <v>6111</v>
      </c>
      <c r="D178" s="12">
        <v>1</v>
      </c>
      <c r="E178" s="12">
        <v>0</v>
      </c>
      <c r="F178" s="12" t="s">
        <v>5810</v>
      </c>
      <c r="G178" s="12" t="s">
        <v>5997</v>
      </c>
      <c r="H178" s="12"/>
      <c r="I178" s="47" t="s">
        <v>3807</v>
      </c>
      <c r="J178" s="224">
        <v>80696</v>
      </c>
    </row>
    <row r="179" spans="1:10">
      <c r="A179" s="9"/>
      <c r="B179" s="8"/>
      <c r="C179" s="11"/>
      <c r="D179" s="12"/>
      <c r="E179" s="12"/>
      <c r="F179" s="12"/>
      <c r="G179" s="12"/>
      <c r="H179" s="12"/>
      <c r="I179" s="76"/>
      <c r="J179" s="439"/>
    </row>
    <row r="180" spans="1:10">
      <c r="A180" s="9" t="s">
        <v>6112</v>
      </c>
      <c r="B180" s="8">
        <v>20370326</v>
      </c>
      <c r="C180" s="11" t="s">
        <v>6111</v>
      </c>
      <c r="D180" s="12">
        <v>1</v>
      </c>
      <c r="E180" s="22">
        <v>0</v>
      </c>
      <c r="F180" s="12" t="s">
        <v>6087</v>
      </c>
      <c r="G180" s="12" t="s">
        <v>6005</v>
      </c>
      <c r="H180" s="12"/>
      <c r="I180" s="47" t="s">
        <v>3807</v>
      </c>
      <c r="J180" s="225" t="s">
        <v>5936</v>
      </c>
    </row>
    <row r="181" spans="1:10">
      <c r="A181" s="9"/>
      <c r="B181" s="8"/>
      <c r="C181" s="11"/>
      <c r="D181" s="12"/>
      <c r="E181" s="12"/>
      <c r="F181" s="12"/>
      <c r="G181" s="12"/>
      <c r="H181" s="12"/>
      <c r="I181" s="76"/>
      <c r="J181" s="439"/>
    </row>
    <row r="182" spans="1:10">
      <c r="A182" s="7" t="s">
        <v>4785</v>
      </c>
      <c r="B182" s="269" t="s">
        <v>6113</v>
      </c>
      <c r="C182" s="11" t="s">
        <v>6114</v>
      </c>
      <c r="D182" s="12" t="s">
        <v>8008</v>
      </c>
      <c r="E182" s="12">
        <v>1</v>
      </c>
      <c r="F182" s="12" t="s">
        <v>5810</v>
      </c>
      <c r="G182" s="12" t="s">
        <v>5853</v>
      </c>
      <c r="H182" s="12"/>
      <c r="I182" s="47" t="s">
        <v>3807</v>
      </c>
      <c r="J182" s="224">
        <v>76725</v>
      </c>
    </row>
    <row r="183" spans="1:10">
      <c r="A183" s="7" t="s">
        <v>4586</v>
      </c>
      <c r="B183" s="13" t="s">
        <v>4596</v>
      </c>
      <c r="C183" s="11" t="s">
        <v>6114</v>
      </c>
      <c r="D183" s="12">
        <v>1</v>
      </c>
      <c r="E183" s="12">
        <v>1</v>
      </c>
      <c r="F183" s="12" t="s">
        <v>5810</v>
      </c>
      <c r="G183" s="12" t="s">
        <v>5853</v>
      </c>
      <c r="H183" s="12"/>
      <c r="I183" s="47"/>
    </row>
    <row r="184" spans="1:10">
      <c r="A184" s="7" t="s">
        <v>4586</v>
      </c>
      <c r="B184" s="13" t="s">
        <v>6115</v>
      </c>
      <c r="C184" s="11" t="s">
        <v>6114</v>
      </c>
      <c r="D184" s="12">
        <v>1</v>
      </c>
      <c r="E184" s="12">
        <v>1</v>
      </c>
      <c r="F184" s="12" t="s">
        <v>5810</v>
      </c>
      <c r="G184" s="12" t="s">
        <v>5853</v>
      </c>
      <c r="H184" s="12"/>
      <c r="I184" s="47"/>
    </row>
    <row r="185" spans="1:10">
      <c r="A185" s="9"/>
      <c r="B185" s="8"/>
      <c r="C185" s="11"/>
      <c r="D185" s="12"/>
      <c r="E185" s="12"/>
      <c r="F185" s="12"/>
      <c r="G185" s="12"/>
      <c r="H185" s="12"/>
      <c r="I185" s="76"/>
      <c r="J185" s="439"/>
    </row>
    <row r="186" spans="1:10">
      <c r="A186" s="7" t="s">
        <v>6116</v>
      </c>
      <c r="B186" s="8">
        <v>799001</v>
      </c>
      <c r="C186" s="10" t="s">
        <v>6117</v>
      </c>
      <c r="D186" s="12">
        <v>1</v>
      </c>
      <c r="E186" s="22">
        <v>0</v>
      </c>
      <c r="F186" s="12" t="s">
        <v>6072</v>
      </c>
      <c r="G186" s="12" t="s">
        <v>5929</v>
      </c>
      <c r="H186" s="12"/>
      <c r="I186" s="47" t="s">
        <v>6103</v>
      </c>
      <c r="J186" s="356" t="s">
        <v>6118</v>
      </c>
    </row>
    <row r="187" spans="1:10">
      <c r="A187" s="7" t="s">
        <v>4932</v>
      </c>
      <c r="B187" s="8">
        <v>911</v>
      </c>
      <c r="C187" s="11" t="s">
        <v>4576</v>
      </c>
      <c r="D187" s="12">
        <v>1</v>
      </c>
      <c r="E187" s="23">
        <v>2</v>
      </c>
      <c r="F187" s="29" t="s">
        <v>6072</v>
      </c>
      <c r="G187" s="29" t="s">
        <v>5929</v>
      </c>
      <c r="H187" s="12"/>
      <c r="I187" s="47" t="s">
        <v>6103</v>
      </c>
      <c r="J187" s="224" t="s">
        <v>5936</v>
      </c>
    </row>
    <row r="188" spans="1:10">
      <c r="A188" s="7" t="s">
        <v>6119</v>
      </c>
      <c r="B188" s="8" t="s">
        <v>3748</v>
      </c>
      <c r="C188" s="11" t="s">
        <v>707</v>
      </c>
      <c r="D188" s="12">
        <v>2</v>
      </c>
      <c r="E188" s="22">
        <v>0</v>
      </c>
      <c r="F188" s="12" t="s">
        <v>6072</v>
      </c>
      <c r="G188" s="12" t="s">
        <v>5929</v>
      </c>
      <c r="H188" s="12"/>
      <c r="I188" s="47" t="s">
        <v>6103</v>
      </c>
      <c r="J188" s="225" t="s">
        <v>5936</v>
      </c>
    </row>
    <row r="189" spans="1:10">
      <c r="A189" s="7" t="s">
        <v>6120</v>
      </c>
      <c r="B189" s="8" t="s">
        <v>6121</v>
      </c>
      <c r="C189" s="11" t="s">
        <v>6122</v>
      </c>
      <c r="D189" s="12">
        <v>1</v>
      </c>
      <c r="E189" s="22"/>
      <c r="F189" s="12" t="s">
        <v>6072</v>
      </c>
      <c r="G189" s="12" t="s">
        <v>5929</v>
      </c>
      <c r="H189" s="12"/>
      <c r="I189" s="47" t="s">
        <v>6103</v>
      </c>
      <c r="J189" s="356" t="s">
        <v>5936</v>
      </c>
    </row>
    <row r="190" spans="1:10">
      <c r="A190" s="7" t="s">
        <v>6123</v>
      </c>
      <c r="B190" s="8" t="s">
        <v>3748</v>
      </c>
      <c r="C190" s="11" t="s">
        <v>6124</v>
      </c>
      <c r="D190" s="12">
        <v>1</v>
      </c>
      <c r="E190" s="22"/>
      <c r="F190" s="12" t="s">
        <v>6072</v>
      </c>
      <c r="G190" s="12" t="s">
        <v>5929</v>
      </c>
      <c r="H190" s="12"/>
      <c r="I190" s="47" t="s">
        <v>6103</v>
      </c>
      <c r="J190" s="225" t="s">
        <v>5936</v>
      </c>
    </row>
    <row r="191" spans="1:10">
      <c r="A191" s="7" t="s">
        <v>6125</v>
      </c>
      <c r="B191" s="8" t="s">
        <v>3748</v>
      </c>
      <c r="C191" s="11" t="s">
        <v>707</v>
      </c>
      <c r="D191" s="12">
        <v>1</v>
      </c>
      <c r="E191" s="22">
        <v>0</v>
      </c>
      <c r="F191" s="12" t="s">
        <v>6072</v>
      </c>
      <c r="G191" s="12" t="s">
        <v>5929</v>
      </c>
      <c r="H191" s="12"/>
      <c r="I191" s="47" t="s">
        <v>6103</v>
      </c>
      <c r="J191" s="356" t="s">
        <v>6126</v>
      </c>
    </row>
    <row r="192" spans="1:10">
      <c r="A192" s="7" t="s">
        <v>5122</v>
      </c>
      <c r="B192" s="13" t="s">
        <v>6127</v>
      </c>
      <c r="C192" s="11" t="s">
        <v>6128</v>
      </c>
      <c r="D192" s="12">
        <v>1</v>
      </c>
      <c r="E192" s="29">
        <v>3</v>
      </c>
      <c r="F192" s="29" t="s">
        <v>6072</v>
      </c>
      <c r="G192" s="29" t="s">
        <v>5929</v>
      </c>
      <c r="H192" s="12"/>
      <c r="I192" s="47" t="s">
        <v>6129</v>
      </c>
      <c r="J192" s="225" t="s">
        <v>6130</v>
      </c>
    </row>
    <row r="193" spans="1:10">
      <c r="A193" s="16" t="s">
        <v>6131</v>
      </c>
      <c r="B193" s="14" t="s">
        <v>3748</v>
      </c>
      <c r="C193" s="15" t="s">
        <v>6132</v>
      </c>
      <c r="D193" s="30">
        <v>1</v>
      </c>
      <c r="E193" s="22">
        <v>0</v>
      </c>
      <c r="F193" s="12" t="s">
        <v>6072</v>
      </c>
      <c r="G193" s="12" t="s">
        <v>5929</v>
      </c>
      <c r="H193" s="12"/>
      <c r="I193" s="48" t="s">
        <v>6103</v>
      </c>
      <c r="J193" s="224" t="s">
        <v>6093</v>
      </c>
    </row>
    <row r="194" spans="1:10">
      <c r="A194" s="9">
        <v>8033</v>
      </c>
      <c r="B194" s="8">
        <v>777</v>
      </c>
      <c r="C194" s="11" t="s">
        <v>6133</v>
      </c>
      <c r="D194" s="12">
        <v>1</v>
      </c>
      <c r="E194" s="22">
        <v>0</v>
      </c>
      <c r="F194" s="12" t="s">
        <v>6072</v>
      </c>
      <c r="G194" s="12" t="s">
        <v>5929</v>
      </c>
      <c r="H194" s="12"/>
      <c r="I194" s="47" t="s">
        <v>6103</v>
      </c>
      <c r="J194" s="356" t="s">
        <v>5936</v>
      </c>
    </row>
    <row r="195" spans="1:10">
      <c r="A195" s="18">
        <v>72181</v>
      </c>
      <c r="B195" s="14">
        <v>1254</v>
      </c>
      <c r="C195" s="15" t="s">
        <v>4576</v>
      </c>
      <c r="D195" s="30">
        <v>1</v>
      </c>
      <c r="E195" s="22">
        <v>0</v>
      </c>
      <c r="F195" s="12" t="s">
        <v>6072</v>
      </c>
      <c r="G195" s="12" t="s">
        <v>5929</v>
      </c>
      <c r="H195" s="12"/>
      <c r="I195" s="47" t="s">
        <v>6103</v>
      </c>
      <c r="J195" s="356" t="s">
        <v>5936</v>
      </c>
    </row>
    <row r="196" spans="1:10">
      <c r="A196" s="7" t="s">
        <v>6134</v>
      </c>
      <c r="B196" s="8" t="s">
        <v>6135</v>
      </c>
      <c r="C196" s="11" t="s">
        <v>418</v>
      </c>
      <c r="D196" s="12">
        <v>1</v>
      </c>
      <c r="E196" s="22">
        <v>0</v>
      </c>
      <c r="F196" s="12" t="s">
        <v>6072</v>
      </c>
      <c r="G196" s="12" t="s">
        <v>5929</v>
      </c>
      <c r="H196" s="12"/>
      <c r="I196" s="47" t="s">
        <v>3759</v>
      </c>
      <c r="J196" s="224">
        <v>80261</v>
      </c>
    </row>
    <row r="197" spans="1:10" s="102" customFormat="1" ht="24.6">
      <c r="A197" s="7" t="s">
        <v>6136</v>
      </c>
      <c r="B197" s="8" t="s">
        <v>6137</v>
      </c>
      <c r="C197" s="11" t="s">
        <v>6138</v>
      </c>
      <c r="D197" s="12">
        <v>2</v>
      </c>
      <c r="E197" s="22">
        <v>0</v>
      </c>
      <c r="F197" s="12" t="s">
        <v>6072</v>
      </c>
      <c r="G197" s="12" t="s">
        <v>5929</v>
      </c>
      <c r="H197" s="12"/>
      <c r="I197" s="47" t="s">
        <v>6103</v>
      </c>
      <c r="J197" s="226" t="s">
        <v>6139</v>
      </c>
    </row>
    <row r="198" spans="1:10">
      <c r="A198" s="7" t="s">
        <v>6140</v>
      </c>
      <c r="B198" s="8" t="s">
        <v>6141</v>
      </c>
      <c r="C198" s="11" t="s">
        <v>5055</v>
      </c>
      <c r="D198" s="12">
        <v>1</v>
      </c>
      <c r="E198" s="22">
        <v>0</v>
      </c>
      <c r="F198" s="12" t="s">
        <v>6072</v>
      </c>
      <c r="G198" s="12" t="s">
        <v>5929</v>
      </c>
      <c r="H198" s="12"/>
      <c r="I198" s="47" t="s">
        <v>6103</v>
      </c>
      <c r="J198" s="356" t="s">
        <v>5936</v>
      </c>
    </row>
    <row r="199" spans="1:10">
      <c r="A199" s="7" t="s">
        <v>6142</v>
      </c>
      <c r="B199" s="8" t="s">
        <v>6143</v>
      </c>
      <c r="C199" s="11" t="s">
        <v>6144</v>
      </c>
      <c r="D199" s="12">
        <v>1</v>
      </c>
      <c r="E199" s="22">
        <v>0</v>
      </c>
      <c r="F199" s="12" t="s">
        <v>6072</v>
      </c>
      <c r="G199" s="12" t="s">
        <v>5929</v>
      </c>
      <c r="H199" s="12"/>
      <c r="I199" s="47" t="s">
        <v>6103</v>
      </c>
      <c r="J199" s="356" t="s">
        <v>5936</v>
      </c>
    </row>
    <row r="200" spans="1:10">
      <c r="A200" s="7" t="s">
        <v>6145</v>
      </c>
      <c r="B200" s="8" t="s">
        <v>3748</v>
      </c>
      <c r="C200" s="11" t="s">
        <v>6146</v>
      </c>
      <c r="D200" s="12">
        <v>1</v>
      </c>
      <c r="E200" s="22">
        <v>0</v>
      </c>
      <c r="F200" s="12" t="s">
        <v>6072</v>
      </c>
      <c r="G200" s="12" t="s">
        <v>5929</v>
      </c>
      <c r="H200" s="12"/>
      <c r="I200" s="47" t="s">
        <v>3759</v>
      </c>
      <c r="J200" s="224">
        <v>77715</v>
      </c>
    </row>
    <row r="201" spans="1:10">
      <c r="A201" s="7" t="s">
        <v>6147</v>
      </c>
      <c r="B201" s="8" t="s">
        <v>3748</v>
      </c>
      <c r="C201" s="11" t="s">
        <v>6148</v>
      </c>
      <c r="D201" s="12">
        <v>1</v>
      </c>
      <c r="E201" s="22">
        <v>0</v>
      </c>
      <c r="F201" s="12" t="s">
        <v>6072</v>
      </c>
      <c r="G201" s="12" t="s">
        <v>5929</v>
      </c>
      <c r="H201" s="12"/>
      <c r="I201" s="47" t="s">
        <v>3759</v>
      </c>
      <c r="J201" s="224">
        <v>79970</v>
      </c>
    </row>
    <row r="202" spans="1:10">
      <c r="A202" s="7" t="s">
        <v>6149</v>
      </c>
      <c r="B202" s="8" t="s">
        <v>6150</v>
      </c>
      <c r="C202" s="11" t="s">
        <v>6151</v>
      </c>
      <c r="D202" s="12">
        <v>1</v>
      </c>
      <c r="E202" s="22">
        <v>0</v>
      </c>
      <c r="F202" s="12" t="s">
        <v>6072</v>
      </c>
      <c r="G202" s="12" t="s">
        <v>5929</v>
      </c>
      <c r="H202" s="12"/>
      <c r="I202" s="47" t="s">
        <v>6103</v>
      </c>
      <c r="J202" s="224">
        <v>75927</v>
      </c>
    </row>
    <row r="203" spans="1:10">
      <c r="A203" s="9"/>
      <c r="B203" s="8"/>
      <c r="C203" s="11"/>
      <c r="D203" s="12"/>
      <c r="E203" s="22"/>
      <c r="F203" s="12"/>
      <c r="G203" s="12"/>
      <c r="H203" s="12"/>
      <c r="I203" s="76"/>
    </row>
    <row r="204" spans="1:10">
      <c r="A204" s="7" t="s">
        <v>6152</v>
      </c>
      <c r="B204" s="8">
        <v>8990822</v>
      </c>
      <c r="C204" s="11" t="s">
        <v>6153</v>
      </c>
      <c r="D204" s="12">
        <v>1</v>
      </c>
      <c r="E204" s="22">
        <v>0</v>
      </c>
      <c r="F204" s="12" t="s">
        <v>6087</v>
      </c>
      <c r="G204" s="12" t="s">
        <v>5811</v>
      </c>
      <c r="H204" s="12"/>
      <c r="I204" s="47" t="s">
        <v>3807</v>
      </c>
      <c r="J204" s="356" t="s">
        <v>5936</v>
      </c>
    </row>
    <row r="205" spans="1:10">
      <c r="A205" s="9" t="s">
        <v>6154</v>
      </c>
      <c r="B205" s="8" t="s">
        <v>6155</v>
      </c>
      <c r="C205" s="11" t="s">
        <v>6153</v>
      </c>
      <c r="D205" s="12">
        <v>2</v>
      </c>
      <c r="E205" s="12">
        <v>0</v>
      </c>
      <c r="F205" s="12" t="s">
        <v>6087</v>
      </c>
      <c r="G205" s="12" t="s">
        <v>5811</v>
      </c>
      <c r="H205" s="12"/>
      <c r="I205" s="47" t="s">
        <v>3807</v>
      </c>
      <c r="J205" s="356" t="s">
        <v>5936</v>
      </c>
    </row>
    <row r="206" spans="1:10" s="102" customFormat="1" ht="14.25" customHeight="1">
      <c r="A206" s="9"/>
      <c r="B206" s="8"/>
      <c r="C206" s="11"/>
      <c r="D206" s="12"/>
      <c r="E206" s="22"/>
      <c r="F206" s="12"/>
      <c r="G206" s="12"/>
      <c r="H206" s="12"/>
      <c r="I206" s="76"/>
      <c r="J206" s="224"/>
    </row>
    <row r="207" spans="1:10">
      <c r="A207" s="7" t="s">
        <v>6156</v>
      </c>
      <c r="B207" s="8" t="s">
        <v>3748</v>
      </c>
      <c r="C207" s="11" t="s">
        <v>6157</v>
      </c>
      <c r="D207" s="12">
        <v>1</v>
      </c>
      <c r="E207" s="12">
        <v>0</v>
      </c>
      <c r="F207" s="12" t="s">
        <v>6072</v>
      </c>
      <c r="G207" s="12" t="s">
        <v>5944</v>
      </c>
      <c r="H207" s="12"/>
      <c r="I207" s="47" t="s">
        <v>6103</v>
      </c>
      <c r="J207" s="356" t="s">
        <v>5936</v>
      </c>
    </row>
    <row r="209" spans="1:10" s="102" customFormat="1">
      <c r="A209" s="7" t="s">
        <v>6160</v>
      </c>
      <c r="B209" s="8">
        <v>8990821</v>
      </c>
      <c r="C209" s="11" t="s">
        <v>6153</v>
      </c>
      <c r="D209" s="12">
        <v>1</v>
      </c>
      <c r="E209" s="12">
        <v>0</v>
      </c>
      <c r="F209" s="12" t="s">
        <v>5810</v>
      </c>
      <c r="G209" s="12" t="s">
        <v>5905</v>
      </c>
      <c r="H209" s="12"/>
      <c r="I209" s="47" t="s">
        <v>6103</v>
      </c>
      <c r="J209" s="356" t="s">
        <v>5936</v>
      </c>
    </row>
    <row r="210" spans="1:10">
      <c r="A210" s="9"/>
      <c r="B210" s="8"/>
      <c r="C210" s="11"/>
      <c r="D210" s="12"/>
      <c r="E210" s="22"/>
      <c r="F210" s="12"/>
      <c r="G210" s="12"/>
      <c r="H210" s="12"/>
      <c r="I210" s="76"/>
      <c r="J210" s="439"/>
    </row>
    <row r="211" spans="1:10">
      <c r="A211" s="7" t="s">
        <v>5309</v>
      </c>
      <c r="B211" s="13" t="s">
        <v>6163</v>
      </c>
      <c r="C211" s="11" t="s">
        <v>5310</v>
      </c>
      <c r="D211" s="12">
        <v>1</v>
      </c>
      <c r="E211" s="22">
        <v>0</v>
      </c>
      <c r="F211" s="12" t="s">
        <v>6087</v>
      </c>
      <c r="G211" s="12" t="s">
        <v>5997</v>
      </c>
      <c r="H211" s="12"/>
      <c r="I211" s="47" t="s">
        <v>3807</v>
      </c>
      <c r="J211" s="224">
        <v>77717</v>
      </c>
    </row>
    <row r="212" spans="1:10">
      <c r="A212" s="18"/>
      <c r="B212" s="14"/>
      <c r="C212" s="15"/>
      <c r="D212" s="30"/>
      <c r="E212" s="28"/>
      <c r="F212" s="30"/>
      <c r="G212" s="30"/>
      <c r="H212" s="30"/>
      <c r="I212" s="124"/>
    </row>
    <row r="213" spans="1:10">
      <c r="A213" s="7" t="s">
        <v>6164</v>
      </c>
      <c r="B213" s="8">
        <v>821413</v>
      </c>
      <c r="C213" s="11" t="s">
        <v>6165</v>
      </c>
      <c r="D213" s="12">
        <v>1</v>
      </c>
      <c r="E213" s="22">
        <v>0</v>
      </c>
      <c r="F213" s="12" t="s">
        <v>6166</v>
      </c>
      <c r="G213" s="12" t="s">
        <v>5905</v>
      </c>
      <c r="H213" s="12"/>
      <c r="I213" s="47" t="s">
        <v>3759</v>
      </c>
      <c r="J213" s="224">
        <v>75187</v>
      </c>
    </row>
    <row r="214" spans="1:10">
      <c r="A214" s="7" t="s">
        <v>6167</v>
      </c>
      <c r="B214" s="8" t="s">
        <v>6168</v>
      </c>
      <c r="C214" s="11" t="s">
        <v>6169</v>
      </c>
      <c r="D214" s="12">
        <v>1</v>
      </c>
      <c r="E214" s="22">
        <v>0</v>
      </c>
      <c r="F214" s="12" t="s">
        <v>6166</v>
      </c>
      <c r="G214" s="12" t="s">
        <v>5905</v>
      </c>
      <c r="H214" s="12"/>
      <c r="I214" s="47" t="s">
        <v>6103</v>
      </c>
      <c r="J214" s="356" t="s">
        <v>5936</v>
      </c>
    </row>
    <row r="215" spans="1:10">
      <c r="A215" s="9"/>
      <c r="B215" s="8"/>
      <c r="C215" s="11"/>
      <c r="D215" s="12"/>
      <c r="E215" s="22"/>
      <c r="F215" s="12"/>
      <c r="G215" s="12"/>
      <c r="H215" s="12"/>
      <c r="I215" s="76"/>
      <c r="J215" s="439"/>
    </row>
    <row r="216" spans="1:10">
      <c r="A216" s="18" t="s">
        <v>5998</v>
      </c>
      <c r="B216" s="14" t="s">
        <v>3748</v>
      </c>
      <c r="C216" s="15" t="s">
        <v>5887</v>
      </c>
      <c r="D216" s="30">
        <v>1</v>
      </c>
      <c r="E216" s="28">
        <v>0</v>
      </c>
      <c r="F216" s="30" t="s">
        <v>6166</v>
      </c>
      <c r="G216" s="30" t="s">
        <v>5929</v>
      </c>
      <c r="H216" s="30"/>
      <c r="I216" s="48" t="s">
        <v>3759</v>
      </c>
      <c r="J216" s="439">
        <v>75191</v>
      </c>
    </row>
    <row r="217" spans="1:10">
      <c r="A217" s="9" t="s">
        <v>4707</v>
      </c>
      <c r="B217" s="8" t="s">
        <v>6170</v>
      </c>
      <c r="C217" s="11" t="s">
        <v>4034</v>
      </c>
      <c r="D217" s="12">
        <v>1</v>
      </c>
      <c r="E217" s="100">
        <v>2</v>
      </c>
      <c r="F217" s="100" t="s">
        <v>6166</v>
      </c>
      <c r="G217" s="100" t="s">
        <v>5929</v>
      </c>
      <c r="H217" s="22"/>
      <c r="I217" s="47" t="s">
        <v>3807</v>
      </c>
      <c r="J217" s="224" t="s">
        <v>5936</v>
      </c>
    </row>
    <row r="218" spans="1:10">
      <c r="A218" s="9" t="s">
        <v>5995</v>
      </c>
      <c r="B218" s="8" t="s">
        <v>6171</v>
      </c>
      <c r="C218" s="11" t="s">
        <v>4034</v>
      </c>
      <c r="D218" s="30">
        <v>2</v>
      </c>
      <c r="E218" s="12">
        <v>0</v>
      </c>
      <c r="F218" s="30" t="s">
        <v>6166</v>
      </c>
      <c r="G218" s="30" t="s">
        <v>5929</v>
      </c>
      <c r="H218" s="30"/>
      <c r="I218" s="47" t="s">
        <v>3759</v>
      </c>
      <c r="J218" s="439">
        <v>75193</v>
      </c>
    </row>
    <row r="219" spans="1:10">
      <c r="A219" s="9" t="s">
        <v>6023</v>
      </c>
      <c r="B219" s="8">
        <v>8284</v>
      </c>
      <c r="C219" s="11" t="s">
        <v>5887</v>
      </c>
      <c r="D219" s="12">
        <v>1</v>
      </c>
      <c r="E219" s="12">
        <v>0</v>
      </c>
      <c r="F219" s="30" t="s">
        <v>6166</v>
      </c>
      <c r="G219" s="30" t="s">
        <v>5929</v>
      </c>
      <c r="H219" s="30"/>
      <c r="I219" s="47" t="s">
        <v>3807</v>
      </c>
      <c r="J219" s="356" t="s">
        <v>5936</v>
      </c>
    </row>
    <row r="220" spans="1:10">
      <c r="A220" s="9"/>
      <c r="B220" s="8"/>
      <c r="C220" s="11"/>
      <c r="D220" s="12"/>
      <c r="E220" s="12"/>
      <c r="F220" s="12"/>
      <c r="G220" s="12"/>
      <c r="H220" s="12"/>
      <c r="I220" s="76"/>
    </row>
    <row r="221" spans="1:10">
      <c r="A221" s="9" t="s">
        <v>5995</v>
      </c>
      <c r="B221" s="13" t="s">
        <v>6172</v>
      </c>
      <c r="C221" s="11" t="s">
        <v>5887</v>
      </c>
      <c r="D221" s="12">
        <v>3</v>
      </c>
      <c r="E221" s="22">
        <v>0</v>
      </c>
      <c r="F221" s="12" t="s">
        <v>6166</v>
      </c>
      <c r="G221" s="12" t="s">
        <v>5984</v>
      </c>
      <c r="H221" s="12"/>
      <c r="I221" s="47" t="s">
        <v>6060</v>
      </c>
      <c r="J221" s="224">
        <v>75193</v>
      </c>
    </row>
    <row r="222" spans="1:10">
      <c r="A222" s="9" t="s">
        <v>5995</v>
      </c>
      <c r="B222" s="13" t="s">
        <v>6173</v>
      </c>
      <c r="C222" s="11" t="s">
        <v>5887</v>
      </c>
      <c r="D222" s="12">
        <v>1</v>
      </c>
      <c r="E222" s="22">
        <v>0</v>
      </c>
      <c r="F222" s="12" t="s">
        <v>6166</v>
      </c>
      <c r="G222" s="12" t="s">
        <v>5984</v>
      </c>
      <c r="H222" s="12"/>
      <c r="I222" s="47" t="s">
        <v>3759</v>
      </c>
      <c r="J222" s="224">
        <v>75193</v>
      </c>
    </row>
    <row r="223" spans="1:10">
      <c r="A223" s="9"/>
      <c r="B223" s="8"/>
      <c r="C223" s="11"/>
      <c r="D223" s="12"/>
      <c r="E223" s="12"/>
      <c r="F223" s="12"/>
      <c r="G223" s="12"/>
      <c r="H223" s="12"/>
      <c r="I223" s="76"/>
      <c r="J223" s="439"/>
    </row>
    <row r="224" spans="1:10">
      <c r="A224" s="9" t="s">
        <v>6174</v>
      </c>
      <c r="B224" s="8">
        <v>502084</v>
      </c>
      <c r="C224" s="11" t="s">
        <v>6175</v>
      </c>
      <c r="D224" s="12">
        <v>1</v>
      </c>
      <c r="E224" s="12">
        <v>0</v>
      </c>
      <c r="F224" s="12" t="s">
        <v>5852</v>
      </c>
      <c r="G224" s="12" t="s">
        <v>5811</v>
      </c>
      <c r="H224" s="12"/>
      <c r="I224" s="47" t="s">
        <v>3807</v>
      </c>
      <c r="J224" s="356" t="s">
        <v>5936</v>
      </c>
    </row>
    <row r="225" spans="1:10">
      <c r="A225" s="7" t="s">
        <v>6167</v>
      </c>
      <c r="B225" s="8" t="s">
        <v>6176</v>
      </c>
      <c r="C225" s="11" t="s">
        <v>6177</v>
      </c>
      <c r="D225" s="12">
        <v>1</v>
      </c>
      <c r="E225" s="22">
        <v>0</v>
      </c>
      <c r="F225" s="12" t="s">
        <v>5852</v>
      </c>
      <c r="G225" s="12" t="s">
        <v>5811</v>
      </c>
      <c r="H225" s="12"/>
      <c r="I225" s="47" t="s">
        <v>3807</v>
      </c>
      <c r="J225" s="356" t="s">
        <v>5936</v>
      </c>
    </row>
    <row r="226" spans="1:10">
      <c r="A226" s="9"/>
      <c r="B226" s="8"/>
      <c r="C226" s="11"/>
      <c r="D226" s="12"/>
      <c r="E226" s="12"/>
      <c r="F226" s="12"/>
      <c r="G226" s="12"/>
      <c r="H226" s="12"/>
      <c r="I226" s="76"/>
    </row>
    <row r="227" spans="1:10">
      <c r="A227" s="7" t="s">
        <v>6181</v>
      </c>
      <c r="B227" s="8" t="s">
        <v>6182</v>
      </c>
      <c r="C227" s="11" t="s">
        <v>6183</v>
      </c>
      <c r="D227" s="12">
        <v>1</v>
      </c>
      <c r="E227" s="12">
        <v>0</v>
      </c>
      <c r="F227" s="12" t="s">
        <v>6184</v>
      </c>
      <c r="G227" s="12" t="s">
        <v>6005</v>
      </c>
      <c r="H227" s="12"/>
      <c r="I227" s="47" t="s">
        <v>3759</v>
      </c>
    </row>
    <row r="228" spans="1:10">
      <c r="A228" s="9"/>
      <c r="B228" s="8"/>
      <c r="C228" s="11"/>
      <c r="D228" s="12"/>
      <c r="E228" s="22"/>
      <c r="F228" s="12"/>
      <c r="G228" s="12"/>
      <c r="H228" s="12"/>
      <c r="I228" s="76"/>
    </row>
    <row r="229" spans="1:10">
      <c r="A229" s="9" t="s">
        <v>5998</v>
      </c>
      <c r="B229" s="13" t="s">
        <v>6187</v>
      </c>
      <c r="C229" s="11" t="s">
        <v>5887</v>
      </c>
      <c r="D229" s="12">
        <v>2</v>
      </c>
      <c r="E229" s="22">
        <v>0</v>
      </c>
      <c r="F229" s="12" t="s">
        <v>6184</v>
      </c>
      <c r="G229" s="12" t="s">
        <v>5997</v>
      </c>
      <c r="H229" s="12"/>
      <c r="I229" s="47" t="s">
        <v>6076</v>
      </c>
      <c r="J229" s="439" t="s">
        <v>6188</v>
      </c>
    </row>
    <row r="230" spans="1:10">
      <c r="A230" s="18" t="s">
        <v>5995</v>
      </c>
      <c r="B230" s="14" t="s">
        <v>6189</v>
      </c>
      <c r="C230" s="15" t="s">
        <v>5887</v>
      </c>
      <c r="D230" s="30">
        <v>1</v>
      </c>
      <c r="E230" s="22">
        <v>0</v>
      </c>
      <c r="F230" s="12" t="s">
        <v>6184</v>
      </c>
      <c r="G230" s="12" t="s">
        <v>5997</v>
      </c>
      <c r="H230" s="12"/>
      <c r="I230" s="48" t="s">
        <v>3759</v>
      </c>
      <c r="J230" s="224">
        <v>75193</v>
      </c>
    </row>
    <row r="231" spans="1:10">
      <c r="A231" s="7" t="s">
        <v>6190</v>
      </c>
      <c r="B231" s="8" t="s">
        <v>6191</v>
      </c>
      <c r="C231" s="11" t="s">
        <v>6192</v>
      </c>
      <c r="D231" s="12">
        <v>1</v>
      </c>
      <c r="E231" s="22">
        <v>0</v>
      </c>
      <c r="F231" s="12" t="s">
        <v>6184</v>
      </c>
      <c r="G231" s="12" t="s">
        <v>5997</v>
      </c>
      <c r="H231" s="12"/>
      <c r="I231" s="47" t="s">
        <v>3759</v>
      </c>
      <c r="J231" s="439">
        <v>75193</v>
      </c>
    </row>
    <row r="232" spans="1:10">
      <c r="A232" s="9"/>
      <c r="B232" s="8"/>
      <c r="C232" s="11"/>
      <c r="D232" s="12"/>
      <c r="E232" s="12"/>
      <c r="F232" s="12"/>
      <c r="G232" s="12"/>
      <c r="H232" s="12"/>
      <c r="I232" s="76"/>
      <c r="J232" s="439"/>
    </row>
    <row r="233" spans="1:10">
      <c r="A233" s="9" t="s">
        <v>6023</v>
      </c>
      <c r="B233" s="13" t="s">
        <v>6194</v>
      </c>
      <c r="C233" s="11" t="s">
        <v>5887</v>
      </c>
      <c r="D233" s="12">
        <v>3</v>
      </c>
      <c r="E233" s="22">
        <v>0</v>
      </c>
      <c r="F233" s="12" t="s">
        <v>5852</v>
      </c>
      <c r="G233" s="12" t="s">
        <v>5997</v>
      </c>
      <c r="H233" s="12"/>
      <c r="I233" s="47" t="s">
        <v>6195</v>
      </c>
      <c r="J233" s="439">
        <v>75193</v>
      </c>
    </row>
    <row r="234" spans="1:10">
      <c r="A234" s="9" t="s">
        <v>5998</v>
      </c>
      <c r="B234" s="8" t="s">
        <v>6196</v>
      </c>
      <c r="C234" s="11" t="s">
        <v>5887</v>
      </c>
      <c r="D234" s="12">
        <v>2</v>
      </c>
      <c r="E234" s="22">
        <v>0</v>
      </c>
      <c r="F234" s="12" t="s">
        <v>5852</v>
      </c>
      <c r="G234" s="12" t="s">
        <v>5997</v>
      </c>
      <c r="H234" s="12"/>
      <c r="I234" s="47" t="s">
        <v>3759</v>
      </c>
      <c r="J234" s="440">
        <v>75191</v>
      </c>
    </row>
    <row r="235" spans="1:10">
      <c r="A235" s="9"/>
      <c r="B235" s="8"/>
      <c r="C235" s="11"/>
      <c r="D235" s="12"/>
      <c r="E235" s="12"/>
      <c r="F235" s="12"/>
      <c r="G235" s="12"/>
      <c r="H235" s="12"/>
      <c r="I235" s="76"/>
      <c r="J235" s="440"/>
    </row>
    <row r="236" spans="1:10" s="102" customFormat="1">
      <c r="A236" s="7" t="s">
        <v>6197</v>
      </c>
      <c r="B236" s="8" t="s">
        <v>6198</v>
      </c>
      <c r="C236" s="11" t="s">
        <v>5887</v>
      </c>
      <c r="D236" s="12">
        <v>1</v>
      </c>
      <c r="E236" s="12">
        <v>0</v>
      </c>
      <c r="F236" s="12" t="s">
        <v>6166</v>
      </c>
      <c r="G236" s="12" t="s">
        <v>5884</v>
      </c>
      <c r="H236" s="12"/>
      <c r="I236" s="47" t="s">
        <v>3759</v>
      </c>
      <c r="J236" s="224">
        <v>75193</v>
      </c>
    </row>
    <row r="237" spans="1:10">
      <c r="A237" s="7" t="s">
        <v>5434</v>
      </c>
      <c r="B237" s="8">
        <v>98308438</v>
      </c>
      <c r="C237" s="11" t="s">
        <v>6200</v>
      </c>
      <c r="D237" s="12">
        <v>1</v>
      </c>
      <c r="E237" s="12">
        <v>1</v>
      </c>
      <c r="F237" s="12" t="s">
        <v>6166</v>
      </c>
      <c r="G237" s="12" t="s">
        <v>5884</v>
      </c>
      <c r="H237" s="12"/>
      <c r="I237" s="47" t="s">
        <v>3759</v>
      </c>
      <c r="J237" s="440">
        <v>76846</v>
      </c>
    </row>
    <row r="238" spans="1:10">
      <c r="A238" s="9"/>
      <c r="B238" s="8"/>
      <c r="C238" s="11"/>
      <c r="D238" s="12"/>
      <c r="E238" s="22"/>
      <c r="F238" s="12"/>
      <c r="G238" s="12"/>
      <c r="H238" s="12"/>
      <c r="I238" s="76"/>
      <c r="J238" s="440"/>
    </row>
    <row r="239" spans="1:10">
      <c r="A239" s="16" t="s">
        <v>5475</v>
      </c>
      <c r="B239" s="14" t="s">
        <v>6201</v>
      </c>
      <c r="C239" s="15" t="s">
        <v>4709</v>
      </c>
      <c r="D239" s="30">
        <v>1</v>
      </c>
      <c r="E239" s="28">
        <v>0</v>
      </c>
      <c r="F239" s="30" t="s">
        <v>6166</v>
      </c>
      <c r="G239" s="30" t="s">
        <v>5944</v>
      </c>
      <c r="H239" s="30"/>
      <c r="I239" s="48" t="s">
        <v>3759</v>
      </c>
      <c r="J239" s="224" t="s">
        <v>5936</v>
      </c>
    </row>
    <row r="240" spans="1:10">
      <c r="A240" s="7" t="s">
        <v>6202</v>
      </c>
      <c r="B240" s="8" t="s">
        <v>6203</v>
      </c>
      <c r="C240" s="11" t="s">
        <v>4709</v>
      </c>
      <c r="D240" s="12">
        <v>1</v>
      </c>
      <c r="E240" s="28">
        <v>0</v>
      </c>
      <c r="F240" s="30" t="s">
        <v>6166</v>
      </c>
      <c r="G240" s="30" t="s">
        <v>5944</v>
      </c>
      <c r="H240" s="30"/>
      <c r="I240" s="47" t="s">
        <v>3759</v>
      </c>
      <c r="J240" s="224">
        <v>75197</v>
      </c>
    </row>
    <row r="241" spans="1:10">
      <c r="A241" s="9" t="s">
        <v>5998</v>
      </c>
      <c r="B241" s="8">
        <v>4062</v>
      </c>
      <c r="C241" s="11" t="s">
        <v>4709</v>
      </c>
      <c r="D241" s="12">
        <v>1</v>
      </c>
      <c r="E241" s="28">
        <v>0</v>
      </c>
      <c r="F241" s="30" t="s">
        <v>6166</v>
      </c>
      <c r="G241" s="30" t="s">
        <v>5944</v>
      </c>
      <c r="H241" s="30"/>
      <c r="I241" s="47" t="s">
        <v>3759</v>
      </c>
      <c r="J241" s="439">
        <v>75191</v>
      </c>
    </row>
    <row r="242" spans="1:10">
      <c r="A242" s="7" t="s">
        <v>6204</v>
      </c>
      <c r="B242" s="8" t="s">
        <v>3748</v>
      </c>
      <c r="C242" s="11" t="s">
        <v>4709</v>
      </c>
      <c r="D242" s="12">
        <v>1</v>
      </c>
      <c r="E242" s="28">
        <v>0</v>
      </c>
      <c r="F242" s="30" t="s">
        <v>6166</v>
      </c>
      <c r="G242" s="30" t="s">
        <v>5944</v>
      </c>
      <c r="H242" s="30"/>
      <c r="I242" s="47" t="s">
        <v>3759</v>
      </c>
      <c r="J242" s="440">
        <v>75191</v>
      </c>
    </row>
    <row r="243" spans="1:10">
      <c r="A243" s="9" t="s">
        <v>5998</v>
      </c>
      <c r="B243" s="8" t="s">
        <v>6205</v>
      </c>
      <c r="C243" s="11" t="s">
        <v>4709</v>
      </c>
      <c r="D243" s="12">
        <v>1</v>
      </c>
      <c r="E243" s="28">
        <v>0</v>
      </c>
      <c r="F243" s="30" t="s">
        <v>6166</v>
      </c>
      <c r="G243" s="30" t="s">
        <v>5944</v>
      </c>
      <c r="H243" s="30"/>
      <c r="I243" s="47" t="s">
        <v>3759</v>
      </c>
      <c r="J243" s="224">
        <v>75191</v>
      </c>
    </row>
    <row r="244" spans="1:10">
      <c r="A244" s="9" t="s">
        <v>5475</v>
      </c>
      <c r="B244" s="8" t="s">
        <v>6206</v>
      </c>
      <c r="C244" s="11" t="s">
        <v>4709</v>
      </c>
      <c r="D244" s="12">
        <v>1</v>
      </c>
      <c r="E244" s="23">
        <v>1</v>
      </c>
      <c r="F244" s="29" t="s">
        <v>6166</v>
      </c>
      <c r="G244" s="29" t="s">
        <v>5944</v>
      </c>
      <c r="H244" s="12"/>
      <c r="I244" s="47" t="s">
        <v>3759</v>
      </c>
      <c r="J244" s="224">
        <v>75191</v>
      </c>
    </row>
    <row r="245" spans="1:10">
      <c r="A245" s="9" t="s">
        <v>5995</v>
      </c>
      <c r="B245" s="8" t="s">
        <v>3748</v>
      </c>
      <c r="C245" s="11" t="s">
        <v>4709</v>
      </c>
      <c r="D245" s="12">
        <v>1</v>
      </c>
      <c r="E245" s="28">
        <v>0</v>
      </c>
      <c r="F245" s="30" t="s">
        <v>6166</v>
      </c>
      <c r="G245" s="30" t="s">
        <v>5944</v>
      </c>
      <c r="H245" s="30"/>
      <c r="I245" s="47" t="s">
        <v>3807</v>
      </c>
      <c r="J245" s="356" t="s">
        <v>5936</v>
      </c>
    </row>
    <row r="246" spans="1:10">
      <c r="A246" s="9"/>
      <c r="B246" s="8"/>
      <c r="C246" s="11"/>
      <c r="D246" s="12"/>
      <c r="E246" s="12"/>
      <c r="F246" s="12"/>
      <c r="G246" s="12"/>
      <c r="H246" s="12"/>
      <c r="I246" s="76"/>
    </row>
    <row r="247" spans="1:10">
      <c r="A247" s="7" t="s">
        <v>6207</v>
      </c>
      <c r="B247" s="8">
        <v>2085</v>
      </c>
      <c r="C247" s="11" t="s">
        <v>3980</v>
      </c>
      <c r="D247" s="12">
        <v>1</v>
      </c>
      <c r="E247" s="22">
        <v>0</v>
      </c>
      <c r="F247" s="12" t="s">
        <v>6166</v>
      </c>
      <c r="G247" s="12" t="s">
        <v>5967</v>
      </c>
      <c r="H247" s="12"/>
      <c r="I247" s="47" t="s">
        <v>3759</v>
      </c>
      <c r="J247" s="439">
        <v>75207</v>
      </c>
    </row>
    <row r="248" spans="1:10">
      <c r="A248" s="9" t="s">
        <v>5995</v>
      </c>
      <c r="B248" s="8" t="s">
        <v>6208</v>
      </c>
      <c r="C248" s="11" t="s">
        <v>207</v>
      </c>
      <c r="D248" s="12">
        <v>1</v>
      </c>
      <c r="E248" s="22">
        <v>0</v>
      </c>
      <c r="F248" s="12" t="s">
        <v>6166</v>
      </c>
      <c r="G248" s="12" t="s">
        <v>5967</v>
      </c>
      <c r="H248" s="12"/>
      <c r="I248" s="47" t="s">
        <v>3759</v>
      </c>
      <c r="J248" s="439">
        <v>75193</v>
      </c>
    </row>
    <row r="249" spans="1:10">
      <c r="A249" s="9" t="s">
        <v>5998</v>
      </c>
      <c r="B249" s="8" t="s">
        <v>3748</v>
      </c>
      <c r="C249" s="11" t="s">
        <v>6209</v>
      </c>
      <c r="D249" s="12">
        <v>1</v>
      </c>
      <c r="E249" s="22">
        <v>0</v>
      </c>
      <c r="F249" s="12" t="s">
        <v>6166</v>
      </c>
      <c r="G249" s="12" t="s">
        <v>5967</v>
      </c>
      <c r="H249" s="12"/>
      <c r="I249" s="47" t="s">
        <v>3759</v>
      </c>
      <c r="J249" s="224">
        <v>75191</v>
      </c>
    </row>
    <row r="250" spans="1:10">
      <c r="A250" s="9" t="s">
        <v>6210</v>
      </c>
      <c r="B250" s="8" t="s">
        <v>6211</v>
      </c>
      <c r="C250" s="11" t="s">
        <v>207</v>
      </c>
      <c r="D250" s="12">
        <v>1</v>
      </c>
      <c r="E250" s="22">
        <v>0</v>
      </c>
      <c r="F250" s="12" t="s">
        <v>6166</v>
      </c>
      <c r="G250" s="12" t="s">
        <v>5967</v>
      </c>
      <c r="H250" s="12"/>
      <c r="I250" s="47" t="s">
        <v>3759</v>
      </c>
      <c r="J250" s="439">
        <v>75191</v>
      </c>
    </row>
    <row r="251" spans="1:10">
      <c r="A251" s="9"/>
      <c r="B251" s="8"/>
      <c r="C251" s="11"/>
      <c r="D251" s="12"/>
      <c r="E251" s="22"/>
      <c r="F251" s="12"/>
      <c r="G251" s="12"/>
      <c r="H251" s="12"/>
      <c r="I251" s="76"/>
      <c r="J251" s="440"/>
    </row>
    <row r="252" spans="1:10">
      <c r="A252" s="9">
        <v>49988</v>
      </c>
      <c r="B252" s="8">
        <v>9126</v>
      </c>
      <c r="C252" s="11" t="s">
        <v>3775</v>
      </c>
      <c r="D252" s="12">
        <v>1</v>
      </c>
      <c r="E252" s="12">
        <v>0</v>
      </c>
      <c r="F252" s="12" t="s">
        <v>6184</v>
      </c>
      <c r="G252" s="12" t="s">
        <v>5853</v>
      </c>
      <c r="H252" s="12"/>
      <c r="I252" s="47" t="s">
        <v>3759</v>
      </c>
      <c r="J252" s="224">
        <v>75195</v>
      </c>
    </row>
    <row r="253" spans="1:10">
      <c r="A253" s="9" t="s">
        <v>5998</v>
      </c>
      <c r="B253" s="8" t="s">
        <v>6213</v>
      </c>
      <c r="C253" s="11" t="s">
        <v>207</v>
      </c>
      <c r="D253" s="12">
        <v>1</v>
      </c>
      <c r="E253" s="12">
        <v>0</v>
      </c>
      <c r="F253" s="12" t="s">
        <v>6184</v>
      </c>
      <c r="G253" s="12" t="s">
        <v>5853</v>
      </c>
      <c r="H253" s="12"/>
      <c r="I253" s="47" t="s">
        <v>3759</v>
      </c>
      <c r="J253" s="440">
        <v>75195</v>
      </c>
    </row>
    <row r="254" spans="1:10">
      <c r="A254" s="9"/>
      <c r="B254" s="8"/>
      <c r="C254" s="11"/>
      <c r="D254" s="12"/>
      <c r="E254" s="12"/>
      <c r="F254" s="12"/>
      <c r="G254" s="12"/>
      <c r="H254" s="12"/>
      <c r="I254" s="76"/>
    </row>
    <row r="255" spans="1:10">
      <c r="A255" s="7" t="s">
        <v>6214</v>
      </c>
      <c r="B255" s="8" t="s">
        <v>3748</v>
      </c>
      <c r="C255" s="11"/>
      <c r="D255" s="12">
        <v>1</v>
      </c>
      <c r="E255" s="12" t="s">
        <v>6215</v>
      </c>
      <c r="F255" s="12" t="s">
        <v>6184</v>
      </c>
      <c r="G255" s="12" t="s">
        <v>5811</v>
      </c>
      <c r="H255" s="12"/>
      <c r="I255" s="47" t="s">
        <v>3807</v>
      </c>
      <c r="J255" s="227" t="s">
        <v>5936</v>
      </c>
    </row>
    <row r="256" spans="1:10">
      <c r="A256" s="7" t="s">
        <v>6216</v>
      </c>
      <c r="B256" s="8" t="s">
        <v>3748</v>
      </c>
      <c r="C256" s="11" t="s">
        <v>6217</v>
      </c>
      <c r="D256" s="12">
        <v>1</v>
      </c>
      <c r="E256" s="12">
        <v>0</v>
      </c>
      <c r="F256" s="12" t="s">
        <v>6184</v>
      </c>
      <c r="G256" s="12" t="s">
        <v>5811</v>
      </c>
      <c r="H256" s="12"/>
      <c r="I256" s="47" t="s">
        <v>3807</v>
      </c>
      <c r="J256" s="356" t="s">
        <v>5936</v>
      </c>
    </row>
    <row r="258" spans="1:10">
      <c r="A258" s="7" t="s">
        <v>6218</v>
      </c>
      <c r="B258" s="8" t="s">
        <v>6219</v>
      </c>
      <c r="C258" s="11" t="s">
        <v>6220</v>
      </c>
      <c r="D258" s="12">
        <v>1</v>
      </c>
      <c r="E258" s="12">
        <v>0</v>
      </c>
      <c r="F258" s="12" t="s">
        <v>6221</v>
      </c>
      <c r="G258" s="12" t="s">
        <v>5944</v>
      </c>
      <c r="H258" s="12"/>
      <c r="I258" s="47" t="s">
        <v>3759</v>
      </c>
      <c r="J258" s="224">
        <v>75190</v>
      </c>
    </row>
    <row r="259" spans="1:10">
      <c r="A259" s="7" t="s">
        <v>6222</v>
      </c>
      <c r="B259" s="8" t="s">
        <v>6223</v>
      </c>
      <c r="C259" s="11" t="s">
        <v>6224</v>
      </c>
      <c r="D259" s="12">
        <v>1</v>
      </c>
      <c r="E259" s="12">
        <v>0</v>
      </c>
      <c r="F259" s="12" t="s">
        <v>6221</v>
      </c>
      <c r="G259" s="12" t="s">
        <v>5944</v>
      </c>
      <c r="H259" s="12"/>
      <c r="I259" s="47" t="s">
        <v>3759</v>
      </c>
      <c r="J259" s="439">
        <v>75187</v>
      </c>
    </row>
    <row r="260" spans="1:10">
      <c r="A260" s="9" t="s">
        <v>5995</v>
      </c>
      <c r="B260" s="8" t="s">
        <v>6225</v>
      </c>
      <c r="C260" s="11" t="s">
        <v>6226</v>
      </c>
      <c r="D260" s="12">
        <v>2</v>
      </c>
      <c r="E260" s="12">
        <v>0</v>
      </c>
      <c r="F260" s="12" t="s">
        <v>6221</v>
      </c>
      <c r="G260" s="12" t="s">
        <v>5944</v>
      </c>
      <c r="H260" s="12"/>
      <c r="I260" s="47" t="s">
        <v>3759</v>
      </c>
      <c r="J260" s="224" t="s">
        <v>6227</v>
      </c>
    </row>
    <row r="261" spans="1:10" s="102" customFormat="1">
      <c r="A261" s="9"/>
      <c r="B261" s="8"/>
      <c r="C261" s="11"/>
      <c r="D261" s="12"/>
      <c r="E261" s="22"/>
      <c r="F261" s="12"/>
      <c r="G261" s="12"/>
      <c r="H261" s="12"/>
      <c r="I261" s="76"/>
      <c r="J261" s="224"/>
    </row>
    <row r="262" spans="1:10">
      <c r="A262" s="9">
        <v>320115</v>
      </c>
      <c r="B262" s="8">
        <v>10468</v>
      </c>
      <c r="C262" s="11" t="s">
        <v>4342</v>
      </c>
      <c r="D262" s="12">
        <v>1</v>
      </c>
      <c r="E262" s="23">
        <v>1</v>
      </c>
      <c r="F262" s="29" t="s">
        <v>6221</v>
      </c>
      <c r="G262" s="29" t="s">
        <v>5905</v>
      </c>
      <c r="H262" s="12"/>
      <c r="I262" s="47" t="s">
        <v>3807</v>
      </c>
      <c r="J262" s="224">
        <v>76846</v>
      </c>
    </row>
    <row r="263" spans="1:10">
      <c r="A263" s="9">
        <v>421495</v>
      </c>
      <c r="B263" s="8" t="s">
        <v>6231</v>
      </c>
      <c r="C263" s="11" t="s">
        <v>4342</v>
      </c>
      <c r="D263" s="12">
        <v>1</v>
      </c>
      <c r="E263" s="22">
        <v>0</v>
      </c>
      <c r="F263" s="12" t="s">
        <v>6221</v>
      </c>
      <c r="G263" s="12" t="s">
        <v>5905</v>
      </c>
      <c r="H263" s="12"/>
      <c r="I263" s="47" t="s">
        <v>3807</v>
      </c>
      <c r="J263" s="224" t="s">
        <v>5936</v>
      </c>
    </row>
    <row r="264" spans="1:10">
      <c r="A264" s="7" t="s">
        <v>6233</v>
      </c>
      <c r="B264" s="8" t="s">
        <v>6234</v>
      </c>
      <c r="C264" s="11" t="s">
        <v>6235</v>
      </c>
      <c r="D264" s="12">
        <v>1</v>
      </c>
      <c r="E264" s="22">
        <v>0</v>
      </c>
      <c r="F264" s="12" t="s">
        <v>6221</v>
      </c>
      <c r="G264" s="12" t="s">
        <v>5905</v>
      </c>
      <c r="H264" s="12"/>
      <c r="I264" s="47" t="s">
        <v>3807</v>
      </c>
      <c r="J264" s="439" t="s">
        <v>5936</v>
      </c>
    </row>
    <row r="265" spans="1:10">
      <c r="A265" s="9"/>
      <c r="B265" s="8"/>
      <c r="C265" s="11"/>
      <c r="D265" s="12"/>
      <c r="E265" s="22"/>
      <c r="F265" s="12"/>
      <c r="G265" s="12"/>
      <c r="H265" s="12"/>
      <c r="I265" s="76"/>
    </row>
    <row r="266" spans="1:10">
      <c r="A266" s="7" t="s">
        <v>6222</v>
      </c>
      <c r="B266" s="8" t="s">
        <v>6236</v>
      </c>
      <c r="C266" s="11" t="s">
        <v>6224</v>
      </c>
      <c r="D266" s="12">
        <v>1</v>
      </c>
      <c r="E266" s="22">
        <v>0</v>
      </c>
      <c r="F266" s="12" t="s">
        <v>6221</v>
      </c>
      <c r="G266" s="12" t="s">
        <v>5884</v>
      </c>
      <c r="H266" s="12"/>
      <c r="I266" s="47" t="s">
        <v>3759</v>
      </c>
      <c r="J266" s="224">
        <v>75187</v>
      </c>
    </row>
    <row r="267" spans="1:10">
      <c r="A267" s="7" t="s">
        <v>5648</v>
      </c>
      <c r="B267" s="8">
        <v>799</v>
      </c>
      <c r="C267" s="11" t="s">
        <v>6242</v>
      </c>
      <c r="D267" s="12">
        <v>1</v>
      </c>
      <c r="E267" s="22">
        <v>1</v>
      </c>
      <c r="F267" s="12" t="s">
        <v>6221</v>
      </c>
      <c r="G267" s="12" t="s">
        <v>5884</v>
      </c>
      <c r="H267" s="12"/>
      <c r="I267" s="47" t="s">
        <v>3759</v>
      </c>
      <c r="J267" s="224">
        <v>767836</v>
      </c>
    </row>
    <row r="268" spans="1:10">
      <c r="A268" s="7" t="s">
        <v>6243</v>
      </c>
      <c r="B268" s="8">
        <v>12024</v>
      </c>
      <c r="C268" s="11" t="s">
        <v>6244</v>
      </c>
      <c r="D268" s="12">
        <v>1</v>
      </c>
      <c r="E268" s="22">
        <v>0</v>
      </c>
      <c r="F268" s="12" t="s">
        <v>6221</v>
      </c>
      <c r="G268" s="12" t="s">
        <v>5884</v>
      </c>
      <c r="H268" s="12"/>
      <c r="I268" s="47" t="s">
        <v>3759</v>
      </c>
      <c r="J268" s="224">
        <v>76846</v>
      </c>
    </row>
    <row r="269" spans="1:10">
      <c r="A269" s="7" t="s">
        <v>6245</v>
      </c>
      <c r="B269" s="8">
        <v>96100382</v>
      </c>
      <c r="C269" s="11" t="s">
        <v>6246</v>
      </c>
      <c r="D269" s="12">
        <v>1</v>
      </c>
      <c r="E269" s="22">
        <v>0</v>
      </c>
      <c r="F269" s="12" t="s">
        <v>6221</v>
      </c>
      <c r="G269" s="12" t="s">
        <v>5884</v>
      </c>
      <c r="H269" s="12"/>
      <c r="I269" s="47" t="s">
        <v>3759</v>
      </c>
      <c r="J269" s="439">
        <v>76907</v>
      </c>
    </row>
    <row r="270" spans="1:10">
      <c r="A270" s="7" t="s">
        <v>6247</v>
      </c>
      <c r="B270" s="8">
        <v>637</v>
      </c>
      <c r="C270" s="11" t="s">
        <v>6246</v>
      </c>
      <c r="D270" s="12">
        <v>1</v>
      </c>
      <c r="E270" s="22">
        <v>0</v>
      </c>
      <c r="F270" s="12" t="s">
        <v>6221</v>
      </c>
      <c r="G270" s="12" t="s">
        <v>5884</v>
      </c>
      <c r="H270" s="12"/>
      <c r="I270" s="47" t="s">
        <v>3807</v>
      </c>
      <c r="J270" s="439">
        <v>76907</v>
      </c>
    </row>
    <row r="271" spans="1:10">
      <c r="A271" s="9">
        <v>620359</v>
      </c>
      <c r="B271" s="8">
        <v>80111675</v>
      </c>
      <c r="C271" s="34" t="s">
        <v>6248</v>
      </c>
      <c r="D271" s="98">
        <v>1</v>
      </c>
      <c r="E271" s="22">
        <v>0</v>
      </c>
      <c r="F271" s="12" t="s">
        <v>6221</v>
      </c>
      <c r="G271" s="12" t="s">
        <v>5884</v>
      </c>
      <c r="H271" s="12"/>
      <c r="I271" s="47" t="s">
        <v>3759</v>
      </c>
      <c r="J271" s="439">
        <v>75185</v>
      </c>
    </row>
    <row r="272" spans="1:10">
      <c r="A272" s="9" t="s">
        <v>6249</v>
      </c>
      <c r="B272" s="8" t="s">
        <v>6250</v>
      </c>
      <c r="C272" s="11" t="s">
        <v>6251</v>
      </c>
      <c r="D272" s="12">
        <v>1</v>
      </c>
      <c r="E272" s="22" t="s">
        <v>1545</v>
      </c>
      <c r="F272" s="12" t="s">
        <v>6221</v>
      </c>
      <c r="G272" s="12" t="s">
        <v>5884</v>
      </c>
      <c r="H272" s="12"/>
      <c r="I272" s="47" t="s">
        <v>3759</v>
      </c>
      <c r="J272" s="224">
        <v>75190</v>
      </c>
    </row>
    <row r="273" spans="1:10">
      <c r="A273" s="7" t="s">
        <v>6252</v>
      </c>
      <c r="B273" s="8" t="s">
        <v>6253</v>
      </c>
      <c r="C273" s="11" t="s">
        <v>6254</v>
      </c>
      <c r="D273" s="12">
        <v>1</v>
      </c>
      <c r="E273" s="22">
        <v>0</v>
      </c>
      <c r="F273" s="12" t="s">
        <v>6221</v>
      </c>
      <c r="G273" s="12" t="s">
        <v>5884</v>
      </c>
      <c r="H273" s="12"/>
      <c r="I273" s="47" t="s">
        <v>3759</v>
      </c>
      <c r="J273" s="224">
        <v>75193</v>
      </c>
    </row>
    <row r="274" spans="1:10">
      <c r="A274" s="9">
        <v>1099</v>
      </c>
      <c r="B274" s="8" t="s">
        <v>6255</v>
      </c>
      <c r="C274" s="155" t="s">
        <v>6256</v>
      </c>
      <c r="D274" s="12">
        <v>1</v>
      </c>
      <c r="E274" s="22">
        <v>0</v>
      </c>
      <c r="F274" s="12" t="s">
        <v>6221</v>
      </c>
      <c r="G274" s="12" t="s">
        <v>5884</v>
      </c>
      <c r="H274" s="12"/>
      <c r="I274" s="47" t="s">
        <v>3807</v>
      </c>
      <c r="J274" s="224" t="s">
        <v>5936</v>
      </c>
    </row>
    <row r="275" spans="1:10">
      <c r="A275" s="9" t="s">
        <v>6258</v>
      </c>
      <c r="B275" s="8"/>
      <c r="C275" s="11" t="s">
        <v>6259</v>
      </c>
      <c r="D275" s="12">
        <v>1</v>
      </c>
      <c r="E275" s="22">
        <v>0</v>
      </c>
      <c r="F275" s="12" t="s">
        <v>6221</v>
      </c>
      <c r="G275" s="12" t="s">
        <v>5884</v>
      </c>
      <c r="H275" s="12"/>
      <c r="I275" s="76"/>
      <c r="J275" s="439"/>
    </row>
    <row r="276" spans="1:10">
      <c r="A276" s="9"/>
      <c r="B276" s="8"/>
      <c r="C276" s="11"/>
      <c r="D276" s="12"/>
      <c r="E276" s="22"/>
      <c r="F276" s="12"/>
      <c r="G276" s="12"/>
      <c r="H276" s="12"/>
      <c r="I276" s="76"/>
    </row>
    <row r="277" spans="1:10">
      <c r="A277" s="7" t="s">
        <v>6260</v>
      </c>
      <c r="B277" s="8">
        <v>1542</v>
      </c>
      <c r="C277" s="11" t="s">
        <v>207</v>
      </c>
      <c r="D277" s="12">
        <v>1</v>
      </c>
      <c r="E277" s="22">
        <v>0</v>
      </c>
      <c r="F277" s="12" t="s">
        <v>6221</v>
      </c>
      <c r="G277" s="12" t="s">
        <v>5929</v>
      </c>
      <c r="H277" s="12"/>
      <c r="I277" s="47" t="s">
        <v>3759</v>
      </c>
      <c r="J277" s="224">
        <v>76907</v>
      </c>
    </row>
    <row r="278" spans="1:10" s="102" customFormat="1" ht="15" customHeight="1">
      <c r="A278" s="7" t="s">
        <v>6261</v>
      </c>
      <c r="B278" s="8" t="s">
        <v>6262</v>
      </c>
      <c r="C278" s="11" t="s">
        <v>690</v>
      </c>
      <c r="D278" s="12">
        <v>1</v>
      </c>
      <c r="E278" s="22">
        <v>0</v>
      </c>
      <c r="F278" s="12" t="s">
        <v>6221</v>
      </c>
      <c r="G278" s="12" t="s">
        <v>5929</v>
      </c>
      <c r="H278" s="12"/>
      <c r="I278" s="47" t="s">
        <v>3807</v>
      </c>
      <c r="J278" s="224">
        <v>72190</v>
      </c>
    </row>
    <row r="279" spans="1:10">
      <c r="A279" s="9">
        <v>714810</v>
      </c>
      <c r="B279" s="8" t="s">
        <v>6263</v>
      </c>
      <c r="C279" s="11" t="s">
        <v>207</v>
      </c>
      <c r="D279" s="12">
        <v>1</v>
      </c>
      <c r="E279" s="22">
        <v>0</v>
      </c>
      <c r="F279" s="12" t="s">
        <v>6221</v>
      </c>
      <c r="G279" s="12" t="s">
        <v>5929</v>
      </c>
      <c r="H279" s="12"/>
      <c r="I279" s="47" t="s">
        <v>3759</v>
      </c>
      <c r="J279" s="224">
        <v>75190</v>
      </c>
    </row>
    <row r="280" spans="1:10">
      <c r="A280" s="7" t="s">
        <v>6264</v>
      </c>
      <c r="B280" s="8">
        <v>472397</v>
      </c>
      <c r="C280" s="11" t="s">
        <v>6265</v>
      </c>
      <c r="D280" s="12">
        <v>1</v>
      </c>
      <c r="E280" s="22">
        <v>0</v>
      </c>
      <c r="F280" s="12" t="s">
        <v>6221</v>
      </c>
      <c r="G280" s="12" t="s">
        <v>5929</v>
      </c>
      <c r="H280" s="12"/>
      <c r="I280" s="47" t="s">
        <v>3807</v>
      </c>
      <c r="J280" s="224">
        <v>75185</v>
      </c>
    </row>
    <row r="281" spans="1:10">
      <c r="A281" s="9">
        <v>658385</v>
      </c>
      <c r="B281" s="8">
        <v>6159438</v>
      </c>
      <c r="C281" s="11" t="s">
        <v>6266</v>
      </c>
      <c r="D281" s="12">
        <v>1</v>
      </c>
      <c r="E281" s="22">
        <v>0</v>
      </c>
      <c r="F281" s="12" t="s">
        <v>6221</v>
      </c>
      <c r="G281" s="12" t="s">
        <v>5929</v>
      </c>
      <c r="H281" s="12"/>
      <c r="I281" s="47" t="s">
        <v>3807</v>
      </c>
      <c r="J281" s="224">
        <v>76734</v>
      </c>
    </row>
    <row r="282" spans="1:10">
      <c r="A282" s="9"/>
      <c r="B282" s="8"/>
      <c r="C282" s="11"/>
      <c r="D282" s="12"/>
      <c r="E282" s="22"/>
      <c r="F282" s="12"/>
      <c r="G282" s="12"/>
      <c r="H282" s="12"/>
      <c r="I282" s="47"/>
    </row>
    <row r="283" spans="1:10">
      <c r="A283" s="374" t="s">
        <v>4552</v>
      </c>
      <c r="B283" s="374">
        <v>263</v>
      </c>
      <c r="C283" s="323" t="s">
        <v>4553</v>
      </c>
      <c r="D283" s="12">
        <v>1</v>
      </c>
      <c r="E283" s="22">
        <v>1</v>
      </c>
      <c r="F283" s="12" t="s">
        <v>6267</v>
      </c>
      <c r="G283" s="12" t="s">
        <v>5853</v>
      </c>
      <c r="H283" s="12"/>
      <c r="I283" s="47"/>
      <c r="J283" s="224">
        <v>81562</v>
      </c>
    </row>
    <row r="284" spans="1:10">
      <c r="A284" s="9"/>
      <c r="B284" s="8"/>
      <c r="C284" s="11"/>
      <c r="D284" s="12"/>
      <c r="E284" s="22"/>
      <c r="F284" s="12"/>
      <c r="G284" s="12"/>
      <c r="H284" s="12"/>
      <c r="I284" s="47"/>
    </row>
    <row r="285" spans="1:10">
      <c r="A285" s="414" t="s">
        <v>6268</v>
      </c>
      <c r="B285" s="426" t="s">
        <v>6269</v>
      </c>
      <c r="C285" s="357" t="s">
        <v>6270</v>
      </c>
      <c r="D285" s="3">
        <v>1</v>
      </c>
      <c r="E285" s="22">
        <v>0</v>
      </c>
      <c r="F285" s="12" t="s">
        <v>6267</v>
      </c>
      <c r="G285" s="12" t="s">
        <v>5811</v>
      </c>
      <c r="H285" s="12"/>
      <c r="I285" s="47"/>
      <c r="J285" s="224">
        <v>81709</v>
      </c>
    </row>
    <row r="286" spans="1:10">
      <c r="A286" s="414" t="s">
        <v>6271</v>
      </c>
      <c r="B286" s="426" t="s">
        <v>6272</v>
      </c>
      <c r="C286" s="357" t="s">
        <v>6273</v>
      </c>
      <c r="D286" s="3" t="s">
        <v>8117</v>
      </c>
      <c r="E286" s="22">
        <v>0</v>
      </c>
      <c r="F286" s="12" t="s">
        <v>6267</v>
      </c>
      <c r="G286" s="12" t="s">
        <v>5811</v>
      </c>
      <c r="H286" s="12"/>
      <c r="I286" s="47"/>
      <c r="J286" s="224">
        <v>81709</v>
      </c>
    </row>
    <row r="287" spans="1:10">
      <c r="A287" s="414" t="s">
        <v>6275</v>
      </c>
      <c r="B287" s="426" t="s">
        <v>6276</v>
      </c>
      <c r="C287" s="357" t="s">
        <v>6277</v>
      </c>
      <c r="D287" s="3">
        <v>1</v>
      </c>
      <c r="E287" s="22">
        <v>0</v>
      </c>
      <c r="F287" s="12" t="s">
        <v>6267</v>
      </c>
      <c r="G287" s="12" t="s">
        <v>5811</v>
      </c>
      <c r="H287" s="12"/>
      <c r="I287" s="47"/>
      <c r="J287" s="224">
        <v>81709</v>
      </c>
    </row>
    <row r="288" spans="1:10">
      <c r="A288" s="414" t="s">
        <v>5414</v>
      </c>
      <c r="B288" s="426" t="s">
        <v>6278</v>
      </c>
      <c r="C288" s="357" t="s">
        <v>6279</v>
      </c>
      <c r="D288" s="3">
        <v>1</v>
      </c>
      <c r="E288" s="22">
        <v>0</v>
      </c>
      <c r="F288" s="12" t="s">
        <v>6267</v>
      </c>
      <c r="G288" s="12" t="s">
        <v>5811</v>
      </c>
      <c r="H288" s="12"/>
      <c r="I288" s="47"/>
      <c r="J288" s="224">
        <v>81709</v>
      </c>
    </row>
    <row r="289" spans="1:10">
      <c r="A289" s="414" t="s">
        <v>4792</v>
      </c>
      <c r="B289" s="426" t="s">
        <v>6282</v>
      </c>
      <c r="C289" s="357" t="s">
        <v>6283</v>
      </c>
      <c r="D289" s="3">
        <v>1</v>
      </c>
      <c r="E289" s="22">
        <v>0</v>
      </c>
      <c r="F289" s="12" t="s">
        <v>6267</v>
      </c>
      <c r="G289" s="12" t="s">
        <v>5811</v>
      </c>
      <c r="H289" s="12"/>
      <c r="I289" s="47"/>
      <c r="J289" s="224">
        <v>81709</v>
      </c>
    </row>
    <row r="290" spans="1:10" s="102" customFormat="1">
      <c r="A290" s="423" t="s">
        <v>5100</v>
      </c>
      <c r="B290" s="426" t="s">
        <v>6284</v>
      </c>
      <c r="C290" s="357" t="s">
        <v>6285</v>
      </c>
      <c r="D290" s="3">
        <v>1</v>
      </c>
      <c r="E290" s="22">
        <v>0</v>
      </c>
      <c r="F290" s="12" t="s">
        <v>6267</v>
      </c>
      <c r="G290" s="12" t="s">
        <v>5811</v>
      </c>
      <c r="H290" s="12"/>
      <c r="I290" s="47"/>
      <c r="J290" s="224">
        <v>81709</v>
      </c>
    </row>
    <row r="291" spans="1:10">
      <c r="A291" s="414" t="s">
        <v>6286</v>
      </c>
      <c r="B291" s="426" t="s">
        <v>6287</v>
      </c>
      <c r="C291" s="357" t="s">
        <v>4295</v>
      </c>
      <c r="D291" s="3">
        <v>1</v>
      </c>
      <c r="E291" s="22">
        <v>0</v>
      </c>
      <c r="F291" s="12" t="s">
        <v>6267</v>
      </c>
      <c r="G291" s="12" t="s">
        <v>5811</v>
      </c>
      <c r="H291" s="12"/>
      <c r="I291" s="47"/>
      <c r="J291" s="224">
        <v>81709</v>
      </c>
    </row>
    <row r="292" spans="1:10">
      <c r="A292" s="414" t="s">
        <v>3995</v>
      </c>
      <c r="B292" s="426" t="s">
        <v>6288</v>
      </c>
      <c r="C292" s="357" t="s">
        <v>5196</v>
      </c>
      <c r="D292" s="3">
        <v>1</v>
      </c>
      <c r="E292" s="22">
        <v>0</v>
      </c>
      <c r="F292" s="12" t="s">
        <v>6267</v>
      </c>
      <c r="G292" s="12" t="s">
        <v>5811</v>
      </c>
      <c r="H292" s="12"/>
      <c r="I292" s="47"/>
      <c r="J292" s="224">
        <v>81709</v>
      </c>
    </row>
    <row r="293" spans="1:10">
      <c r="A293" s="414" t="s">
        <v>4427</v>
      </c>
      <c r="B293" s="426" t="s">
        <v>6289</v>
      </c>
      <c r="C293" s="357" t="s">
        <v>6290</v>
      </c>
      <c r="D293" s="3">
        <v>1</v>
      </c>
      <c r="E293" s="22">
        <v>0</v>
      </c>
      <c r="F293" s="12" t="s">
        <v>6267</v>
      </c>
      <c r="G293" s="12" t="s">
        <v>5811</v>
      </c>
      <c r="H293" s="12"/>
      <c r="I293" s="47"/>
      <c r="J293" s="224">
        <v>81709</v>
      </c>
    </row>
    <row r="294" spans="1:10">
      <c r="A294" s="414" t="s">
        <v>6291</v>
      </c>
      <c r="B294" s="426" t="s">
        <v>6292</v>
      </c>
      <c r="C294" s="357" t="s">
        <v>6293</v>
      </c>
      <c r="D294" s="3">
        <v>1</v>
      </c>
      <c r="E294" s="22">
        <v>0</v>
      </c>
      <c r="F294" s="12" t="s">
        <v>6267</v>
      </c>
      <c r="G294" s="12" t="s">
        <v>5811</v>
      </c>
      <c r="H294" s="12"/>
      <c r="I294" s="47"/>
      <c r="J294" s="224">
        <v>81709</v>
      </c>
    </row>
    <row r="295" spans="1:10">
      <c r="A295" s="414" t="s">
        <v>6294</v>
      </c>
      <c r="B295" s="414">
        <v>39368</v>
      </c>
      <c r="C295" s="357" t="s">
        <v>6295</v>
      </c>
      <c r="D295" s="435">
        <v>1</v>
      </c>
      <c r="E295" s="22">
        <v>0</v>
      </c>
      <c r="F295" s="12" t="s">
        <v>6267</v>
      </c>
      <c r="G295" s="12" t="s">
        <v>5811</v>
      </c>
      <c r="H295" s="12"/>
      <c r="I295" s="47"/>
      <c r="J295" s="224">
        <v>81709</v>
      </c>
    </row>
    <row r="296" spans="1:10">
      <c r="A296" s="414" t="s">
        <v>6296</v>
      </c>
      <c r="B296" s="414" t="s">
        <v>6297</v>
      </c>
      <c r="C296" s="357" t="s">
        <v>4295</v>
      </c>
      <c r="D296" s="435">
        <v>1</v>
      </c>
      <c r="E296" s="22">
        <v>0</v>
      </c>
      <c r="F296" s="12" t="s">
        <v>6267</v>
      </c>
      <c r="G296" s="12" t="s">
        <v>5811</v>
      </c>
      <c r="H296" s="12"/>
      <c r="I296" s="47"/>
      <c r="J296" s="439">
        <v>81709</v>
      </c>
    </row>
    <row r="297" spans="1:10">
      <c r="A297" s="9"/>
      <c r="B297" s="8"/>
      <c r="C297" s="11"/>
      <c r="D297" s="12"/>
      <c r="E297" s="12"/>
      <c r="F297" s="12"/>
      <c r="G297" s="12"/>
      <c r="H297" s="12"/>
      <c r="I297" s="76"/>
    </row>
    <row r="298" spans="1:10">
      <c r="A298" s="9">
        <v>623337</v>
      </c>
      <c r="B298" s="8" t="s">
        <v>6298</v>
      </c>
      <c r="C298" s="11" t="s">
        <v>3817</v>
      </c>
      <c r="D298" s="12">
        <v>1</v>
      </c>
      <c r="E298" s="12">
        <v>0</v>
      </c>
      <c r="F298" s="12" t="s">
        <v>6299</v>
      </c>
      <c r="G298" s="12" t="s">
        <v>5884</v>
      </c>
      <c r="H298" s="12"/>
      <c r="I298" s="47" t="s">
        <v>3759</v>
      </c>
      <c r="J298" s="224">
        <v>75225</v>
      </c>
    </row>
    <row r="299" spans="1:10">
      <c r="A299" s="16" t="s">
        <v>6300</v>
      </c>
      <c r="B299" s="14" t="s">
        <v>6301</v>
      </c>
      <c r="C299" s="15" t="s">
        <v>207</v>
      </c>
      <c r="D299" s="30">
        <v>1</v>
      </c>
      <c r="E299" s="31">
        <v>0</v>
      </c>
      <c r="F299" s="12" t="s">
        <v>6299</v>
      </c>
      <c r="G299" s="12" t="s">
        <v>5884</v>
      </c>
      <c r="H299" s="12"/>
      <c r="I299" s="48" t="s">
        <v>3759</v>
      </c>
      <c r="J299" s="224">
        <v>75225</v>
      </c>
    </row>
    <row r="300" spans="1:10">
      <c r="A300" s="442" t="s">
        <v>4586</v>
      </c>
      <c r="B300" s="444" t="s">
        <v>4621</v>
      </c>
      <c r="C300" s="373" t="s">
        <v>6302</v>
      </c>
      <c r="D300" s="30">
        <v>1</v>
      </c>
      <c r="E300" s="31"/>
      <c r="F300" s="12" t="s">
        <v>6299</v>
      </c>
      <c r="G300" s="12" t="s">
        <v>5884</v>
      </c>
      <c r="H300" s="12"/>
      <c r="I300" s="48"/>
    </row>
    <row r="301" spans="1:10">
      <c r="A301" s="442" t="s">
        <v>6303</v>
      </c>
      <c r="B301" s="444" t="s">
        <v>6304</v>
      </c>
      <c r="C301" s="373" t="s">
        <v>690</v>
      </c>
      <c r="D301" s="30">
        <v>1</v>
      </c>
      <c r="E301" s="31"/>
      <c r="F301" s="12" t="s">
        <v>6299</v>
      </c>
      <c r="G301" s="12" t="s">
        <v>5884</v>
      </c>
      <c r="H301" s="12"/>
      <c r="I301" s="48"/>
    </row>
    <row r="302" spans="1:10">
      <c r="A302" s="9"/>
      <c r="B302" s="8"/>
      <c r="C302" s="11"/>
      <c r="D302" s="12"/>
      <c r="E302" s="22"/>
      <c r="F302" s="12"/>
      <c r="G302" s="12"/>
      <c r="H302" s="12"/>
      <c r="I302" s="76"/>
    </row>
    <row r="303" spans="1:10">
      <c r="A303" s="9">
        <v>623337</v>
      </c>
      <c r="B303" s="8" t="s">
        <v>6305</v>
      </c>
      <c r="C303" s="11" t="s">
        <v>3817</v>
      </c>
      <c r="D303" s="12">
        <v>1</v>
      </c>
      <c r="E303" s="22">
        <v>0</v>
      </c>
      <c r="F303" s="12" t="s">
        <v>6299</v>
      </c>
      <c r="G303" s="12" t="s">
        <v>5944</v>
      </c>
      <c r="H303" s="12"/>
      <c r="I303" s="47" t="s">
        <v>3759</v>
      </c>
      <c r="J303" s="224">
        <v>75226</v>
      </c>
    </row>
    <row r="304" spans="1:10">
      <c r="A304" s="7" t="s">
        <v>6306</v>
      </c>
      <c r="B304" s="8">
        <v>91063250</v>
      </c>
      <c r="C304" s="11" t="s">
        <v>6307</v>
      </c>
      <c r="D304" s="12">
        <v>1</v>
      </c>
      <c r="E304" s="12">
        <v>0</v>
      </c>
      <c r="F304" s="12" t="s">
        <v>6299</v>
      </c>
      <c r="G304" s="12" t="s">
        <v>5944</v>
      </c>
      <c r="H304" s="12"/>
      <c r="I304" s="47" t="s">
        <v>3759</v>
      </c>
      <c r="J304" s="224">
        <v>75197</v>
      </c>
    </row>
    <row r="306" spans="1:10">
      <c r="A306" s="9" t="s">
        <v>5870</v>
      </c>
      <c r="B306" s="13" t="s">
        <v>6308</v>
      </c>
      <c r="C306" s="11" t="s">
        <v>6309</v>
      </c>
      <c r="D306" s="12">
        <v>2</v>
      </c>
      <c r="E306" s="22">
        <v>0</v>
      </c>
      <c r="F306" s="12" t="s">
        <v>6299</v>
      </c>
      <c r="G306" s="12" t="s">
        <v>5967</v>
      </c>
      <c r="H306" s="12"/>
      <c r="I306" s="47" t="s">
        <v>5829</v>
      </c>
      <c r="J306" s="224">
        <v>75195</v>
      </c>
    </row>
    <row r="307" spans="1:10">
      <c r="A307" s="9" t="s">
        <v>5823</v>
      </c>
      <c r="B307" s="8" t="s">
        <v>6310</v>
      </c>
      <c r="C307" s="11" t="s">
        <v>6311</v>
      </c>
      <c r="D307" s="12">
        <v>2</v>
      </c>
      <c r="E307" s="12">
        <v>0</v>
      </c>
      <c r="F307" s="12" t="s">
        <v>6299</v>
      </c>
      <c r="G307" s="12" t="s">
        <v>5967</v>
      </c>
      <c r="H307" s="12"/>
      <c r="I307" s="47" t="s">
        <v>3759</v>
      </c>
      <c r="J307" s="439">
        <v>75179</v>
      </c>
    </row>
    <row r="308" spans="1:10">
      <c r="A308" s="374" t="s">
        <v>6312</v>
      </c>
      <c r="B308" s="374">
        <v>3481</v>
      </c>
      <c r="C308" s="323" t="s">
        <v>5055</v>
      </c>
      <c r="D308" s="12">
        <v>1</v>
      </c>
      <c r="E308" s="12">
        <v>0</v>
      </c>
      <c r="F308" s="12" t="s">
        <v>6299</v>
      </c>
      <c r="G308" s="12" t="s">
        <v>5967</v>
      </c>
      <c r="H308" s="12"/>
      <c r="I308" s="47" t="s">
        <v>3759</v>
      </c>
      <c r="J308" s="439">
        <v>81863</v>
      </c>
    </row>
    <row r="309" spans="1:10">
      <c r="A309" s="374" t="s">
        <v>6313</v>
      </c>
      <c r="B309" s="374" t="s">
        <v>6314</v>
      </c>
      <c r="C309" s="323" t="s">
        <v>4295</v>
      </c>
      <c r="D309" s="12" t="s">
        <v>8125</v>
      </c>
      <c r="E309" s="12">
        <v>0</v>
      </c>
      <c r="F309" s="12" t="s">
        <v>6299</v>
      </c>
      <c r="G309" s="12" t="s">
        <v>5967</v>
      </c>
      <c r="H309" s="12"/>
      <c r="I309" s="47" t="s">
        <v>3759</v>
      </c>
      <c r="J309" s="439">
        <v>81863</v>
      </c>
    </row>
    <row r="310" spans="1:10">
      <c r="A310" s="374" t="s">
        <v>6315</v>
      </c>
      <c r="B310" s="374">
        <v>925</v>
      </c>
      <c r="C310" s="323" t="s">
        <v>5172</v>
      </c>
      <c r="D310" s="12">
        <v>1</v>
      </c>
      <c r="E310" s="12">
        <v>0</v>
      </c>
      <c r="F310" s="12" t="s">
        <v>6299</v>
      </c>
      <c r="G310" s="12" t="s">
        <v>5967</v>
      </c>
      <c r="H310" s="12"/>
      <c r="I310" s="47" t="s">
        <v>3759</v>
      </c>
      <c r="J310" s="224">
        <v>81863</v>
      </c>
    </row>
    <row r="311" spans="1:10">
      <c r="A311" s="374" t="s">
        <v>6316</v>
      </c>
      <c r="B311" s="374" t="s">
        <v>3748</v>
      </c>
      <c r="C311" s="323" t="s">
        <v>6317</v>
      </c>
      <c r="D311" s="12">
        <v>1</v>
      </c>
      <c r="E311" s="12">
        <v>0</v>
      </c>
      <c r="F311" s="12" t="s">
        <v>6299</v>
      </c>
      <c r="G311" s="12" t="s">
        <v>5967</v>
      </c>
      <c r="H311" s="12"/>
      <c r="I311" s="47"/>
    </row>
    <row r="312" spans="1:10">
      <c r="A312" s="9"/>
      <c r="B312" s="8"/>
      <c r="C312" s="11"/>
      <c r="D312" s="12"/>
      <c r="E312" s="22"/>
      <c r="F312" s="12"/>
      <c r="G312" s="12"/>
      <c r="H312" s="12"/>
      <c r="I312" s="76"/>
    </row>
    <row r="313" spans="1:10">
      <c r="A313" s="7" t="s">
        <v>6318</v>
      </c>
      <c r="B313" s="8">
        <v>20370517</v>
      </c>
      <c r="C313" s="11" t="s">
        <v>6111</v>
      </c>
      <c r="D313" s="12">
        <v>1</v>
      </c>
      <c r="E313" s="22">
        <v>0</v>
      </c>
      <c r="F313" s="12" t="s">
        <v>6299</v>
      </c>
      <c r="G313" s="12" t="s">
        <v>5929</v>
      </c>
      <c r="H313" s="12"/>
      <c r="I313" s="47" t="s">
        <v>6103</v>
      </c>
      <c r="J313" s="224" t="s">
        <v>5936</v>
      </c>
    </row>
    <row r="314" spans="1:10">
      <c r="A314" s="9"/>
      <c r="B314" s="8"/>
      <c r="C314" s="11"/>
      <c r="D314" s="12"/>
      <c r="E314" s="22"/>
      <c r="F314" s="12"/>
      <c r="G314" s="12"/>
      <c r="H314" s="12"/>
      <c r="I314" s="76"/>
    </row>
    <row r="315" spans="1:10">
      <c r="A315" s="9">
        <v>424244</v>
      </c>
      <c r="B315" s="8" t="s">
        <v>6319</v>
      </c>
      <c r="C315" s="11" t="s">
        <v>3817</v>
      </c>
      <c r="D315" s="12">
        <v>1</v>
      </c>
      <c r="E315" s="22">
        <v>0</v>
      </c>
      <c r="F315" s="12" t="s">
        <v>6320</v>
      </c>
      <c r="G315" s="12" t="s">
        <v>5853</v>
      </c>
      <c r="H315" s="12"/>
      <c r="I315" s="47" t="s">
        <v>3759</v>
      </c>
      <c r="J315" s="224">
        <v>75226</v>
      </c>
    </row>
    <row r="316" spans="1:10">
      <c r="A316" s="9">
        <v>623337</v>
      </c>
      <c r="B316" s="13" t="s">
        <v>6321</v>
      </c>
      <c r="C316" s="11" t="s">
        <v>3817</v>
      </c>
      <c r="D316" s="12">
        <v>1</v>
      </c>
      <c r="E316" s="22">
        <v>0</v>
      </c>
      <c r="F316" s="12" t="s">
        <v>6320</v>
      </c>
      <c r="G316" s="12" t="s">
        <v>5853</v>
      </c>
      <c r="H316" s="12"/>
      <c r="I316" s="47" t="s">
        <v>3759</v>
      </c>
      <c r="J316" s="224">
        <v>75225</v>
      </c>
    </row>
    <row r="317" spans="1:10">
      <c r="A317" s="9" t="s">
        <v>5845</v>
      </c>
      <c r="B317" s="8" t="s">
        <v>6322</v>
      </c>
      <c r="C317" s="11" t="s">
        <v>6323</v>
      </c>
      <c r="D317" s="12">
        <v>1</v>
      </c>
      <c r="E317" s="22">
        <v>0</v>
      </c>
      <c r="F317" s="12" t="s">
        <v>6320</v>
      </c>
      <c r="G317" s="12" t="s">
        <v>5853</v>
      </c>
      <c r="H317" s="12"/>
      <c r="I317" s="47" t="s">
        <v>3759</v>
      </c>
      <c r="J317" s="224">
        <v>75180</v>
      </c>
    </row>
    <row r="318" spans="1:10">
      <c r="A318" s="9" t="s">
        <v>5865</v>
      </c>
      <c r="B318" s="8" t="s">
        <v>6324</v>
      </c>
      <c r="C318" s="11" t="s">
        <v>6323</v>
      </c>
      <c r="D318" s="12">
        <v>1</v>
      </c>
      <c r="E318" s="12">
        <v>0</v>
      </c>
      <c r="F318" s="12" t="s">
        <v>6320</v>
      </c>
      <c r="G318" s="12" t="s">
        <v>5853</v>
      </c>
      <c r="H318" s="12"/>
      <c r="I318" s="47" t="s">
        <v>3759</v>
      </c>
      <c r="J318" s="224">
        <v>75225</v>
      </c>
    </row>
    <row r="319" spans="1:10">
      <c r="A319" s="374" t="s">
        <v>5167</v>
      </c>
      <c r="B319" s="374">
        <v>12273</v>
      </c>
      <c r="C319" s="323" t="s">
        <v>2178</v>
      </c>
      <c r="D319" s="12">
        <v>1</v>
      </c>
      <c r="E319" s="12">
        <v>2</v>
      </c>
      <c r="F319" s="12" t="s">
        <v>6320</v>
      </c>
      <c r="G319" s="12" t="s">
        <v>5853</v>
      </c>
      <c r="H319" s="12"/>
      <c r="I319" s="47"/>
    </row>
    <row r="321" spans="1:10">
      <c r="A321" s="9">
        <v>623337</v>
      </c>
      <c r="B321" s="8" t="s">
        <v>6325</v>
      </c>
      <c r="C321" s="11" t="s">
        <v>3817</v>
      </c>
      <c r="D321" s="12">
        <v>1</v>
      </c>
      <c r="E321" s="12">
        <v>0</v>
      </c>
      <c r="F321" s="12" t="s">
        <v>6320</v>
      </c>
      <c r="G321" s="12" t="s">
        <v>6005</v>
      </c>
      <c r="H321" s="12"/>
      <c r="I321" s="47" t="s">
        <v>3759</v>
      </c>
      <c r="J321" s="224">
        <v>75226</v>
      </c>
    </row>
    <row r="322" spans="1:10">
      <c r="A322" s="7" t="s">
        <v>5912</v>
      </c>
      <c r="B322" s="8" t="s">
        <v>6326</v>
      </c>
      <c r="C322" s="11" t="s">
        <v>6327</v>
      </c>
      <c r="D322" s="12">
        <v>1</v>
      </c>
      <c r="E322" s="12">
        <v>0</v>
      </c>
      <c r="F322" s="12" t="s">
        <v>6320</v>
      </c>
      <c r="G322" s="12" t="s">
        <v>6005</v>
      </c>
      <c r="H322" s="12"/>
      <c r="I322" s="47" t="s">
        <v>6103</v>
      </c>
      <c r="J322" s="224" t="s">
        <v>5936</v>
      </c>
    </row>
    <row r="323" spans="1:10">
      <c r="A323" s="7" t="s">
        <v>6328</v>
      </c>
      <c r="B323" s="8" t="s">
        <v>6329</v>
      </c>
      <c r="C323" s="11" t="s">
        <v>6330</v>
      </c>
      <c r="D323" s="12">
        <v>1</v>
      </c>
      <c r="E323" s="22">
        <v>0</v>
      </c>
      <c r="F323" s="12" t="s">
        <v>6320</v>
      </c>
      <c r="G323" s="12" t="s">
        <v>6005</v>
      </c>
      <c r="H323" s="12"/>
      <c r="I323" s="47" t="s">
        <v>3759</v>
      </c>
      <c r="J323" s="224">
        <v>75185</v>
      </c>
    </row>
    <row r="324" spans="1:10">
      <c r="A324" s="9"/>
      <c r="B324" s="8"/>
      <c r="C324" s="11"/>
      <c r="D324" s="12"/>
      <c r="E324" s="12"/>
      <c r="F324" s="12"/>
      <c r="G324" s="12"/>
      <c r="H324" s="12"/>
      <c r="I324" s="76"/>
    </row>
    <row r="325" spans="1:10">
      <c r="A325" s="9" t="s">
        <v>5912</v>
      </c>
      <c r="B325" s="13" t="s">
        <v>6336</v>
      </c>
      <c r="C325" s="11" t="s">
        <v>6327</v>
      </c>
      <c r="D325" s="12">
        <v>1</v>
      </c>
      <c r="E325" s="12">
        <v>0</v>
      </c>
      <c r="F325" s="12" t="s">
        <v>6320</v>
      </c>
      <c r="G325" s="12" t="s">
        <v>5984</v>
      </c>
      <c r="H325" s="12"/>
      <c r="I325" s="47" t="s">
        <v>3759</v>
      </c>
      <c r="J325" s="224">
        <v>75196</v>
      </c>
    </row>
    <row r="326" spans="1:10">
      <c r="A326" s="7" t="s">
        <v>5917</v>
      </c>
      <c r="B326" s="8">
        <v>639</v>
      </c>
      <c r="C326" s="11" t="s">
        <v>690</v>
      </c>
      <c r="D326" s="12">
        <v>1</v>
      </c>
      <c r="E326" s="12">
        <v>0</v>
      </c>
      <c r="F326" s="12" t="s">
        <v>6320</v>
      </c>
      <c r="G326" s="12" t="s">
        <v>5984</v>
      </c>
      <c r="H326" s="12"/>
      <c r="I326" s="47" t="s">
        <v>3759</v>
      </c>
      <c r="J326" s="224">
        <v>75197</v>
      </c>
    </row>
    <row r="327" spans="1:10">
      <c r="A327" s="7" t="s">
        <v>6337</v>
      </c>
      <c r="B327" s="8" t="s">
        <v>6338</v>
      </c>
      <c r="C327" s="11" t="s">
        <v>690</v>
      </c>
      <c r="D327" s="12">
        <v>1</v>
      </c>
      <c r="E327" s="12">
        <v>0</v>
      </c>
      <c r="F327" s="12" t="s">
        <v>6320</v>
      </c>
      <c r="G327" s="12" t="s">
        <v>5984</v>
      </c>
      <c r="H327" s="12"/>
      <c r="I327" s="47" t="s">
        <v>3759</v>
      </c>
      <c r="J327" s="224">
        <v>75197</v>
      </c>
    </row>
    <row r="328" spans="1:10">
      <c r="A328" s="7" t="s">
        <v>6339</v>
      </c>
      <c r="B328" s="8" t="s">
        <v>6340</v>
      </c>
      <c r="C328" s="9" t="s">
        <v>207</v>
      </c>
      <c r="D328" s="116">
        <v>1</v>
      </c>
      <c r="E328" s="12">
        <v>0</v>
      </c>
      <c r="F328" s="12" t="s">
        <v>6320</v>
      </c>
      <c r="G328" s="12" t="s">
        <v>5984</v>
      </c>
      <c r="H328" s="12"/>
      <c r="I328" s="47" t="s">
        <v>3759</v>
      </c>
      <c r="J328" s="224">
        <v>75191</v>
      </c>
    </row>
    <row r="329" spans="1:10">
      <c r="A329" s="7" t="s">
        <v>5932</v>
      </c>
      <c r="B329" s="8" t="s">
        <v>6341</v>
      </c>
      <c r="C329" s="11" t="s">
        <v>207</v>
      </c>
      <c r="D329" s="12">
        <v>1</v>
      </c>
      <c r="E329" s="12">
        <v>0</v>
      </c>
      <c r="F329" s="12" t="s">
        <v>6320</v>
      </c>
      <c r="G329" s="12" t="s">
        <v>5984</v>
      </c>
      <c r="H329" s="12"/>
      <c r="I329" s="47" t="s">
        <v>3759</v>
      </c>
      <c r="J329" s="224">
        <v>75195</v>
      </c>
    </row>
    <row r="330" spans="1:10">
      <c r="A330" s="9"/>
      <c r="B330" s="8"/>
      <c r="C330" s="11"/>
      <c r="D330" s="12"/>
      <c r="E330" s="22"/>
      <c r="F330" s="12"/>
      <c r="G330" s="12"/>
      <c r="H330" s="12"/>
      <c r="I330" s="76"/>
    </row>
    <row r="331" spans="1:10">
      <c r="A331" s="7" t="s">
        <v>6342</v>
      </c>
      <c r="B331" s="8">
        <v>11283</v>
      </c>
      <c r="C331" s="11" t="s">
        <v>6343</v>
      </c>
      <c r="D331" s="12">
        <v>1</v>
      </c>
      <c r="E331" s="22">
        <v>0</v>
      </c>
      <c r="F331" s="12" t="s">
        <v>6299</v>
      </c>
      <c r="G331" s="12" t="s">
        <v>5905</v>
      </c>
      <c r="H331" s="12"/>
      <c r="I331" s="47" t="s">
        <v>3759</v>
      </c>
      <c r="J331" s="224">
        <v>75225</v>
      </c>
    </row>
    <row r="332" spans="1:10">
      <c r="A332" s="7" t="s">
        <v>6344</v>
      </c>
      <c r="B332" s="8">
        <v>250</v>
      </c>
      <c r="C332" s="11" t="s">
        <v>6345</v>
      </c>
      <c r="D332" s="12">
        <v>1</v>
      </c>
      <c r="E332" s="22">
        <v>0</v>
      </c>
      <c r="F332" s="12" t="s">
        <v>6299</v>
      </c>
      <c r="G332" s="12" t="s">
        <v>5905</v>
      </c>
      <c r="H332" s="12"/>
      <c r="I332" s="47" t="s">
        <v>3759</v>
      </c>
      <c r="J332" s="224">
        <v>75197</v>
      </c>
    </row>
    <row r="333" spans="1:10">
      <c r="A333" s="9" t="s">
        <v>5912</v>
      </c>
      <c r="B333" s="8" t="s">
        <v>6348</v>
      </c>
      <c r="C333" s="11" t="s">
        <v>6327</v>
      </c>
      <c r="D333" s="12">
        <v>1</v>
      </c>
      <c r="E333" s="22">
        <v>0</v>
      </c>
      <c r="F333" s="12" t="s">
        <v>6299</v>
      </c>
      <c r="G333" s="12" t="s">
        <v>5905</v>
      </c>
      <c r="H333" s="12"/>
      <c r="I333" s="47" t="s">
        <v>3759</v>
      </c>
      <c r="J333" s="224">
        <v>75196</v>
      </c>
    </row>
    <row r="334" spans="1:10">
      <c r="A334" s="9">
        <v>799331</v>
      </c>
      <c r="B334" s="157" t="s">
        <v>6349</v>
      </c>
      <c r="C334" s="11" t="s">
        <v>4860</v>
      </c>
      <c r="D334" s="12">
        <v>1</v>
      </c>
      <c r="E334" s="22">
        <v>0</v>
      </c>
      <c r="F334" s="12" t="s">
        <v>6299</v>
      </c>
      <c r="G334" s="12" t="s">
        <v>5905</v>
      </c>
      <c r="H334" s="12"/>
      <c r="I334" s="47" t="s">
        <v>3759</v>
      </c>
      <c r="J334" s="224">
        <v>75225</v>
      </c>
    </row>
    <row r="335" spans="1:10">
      <c r="A335" s="7" t="s">
        <v>6350</v>
      </c>
      <c r="B335" s="13" t="s">
        <v>6351</v>
      </c>
      <c r="C335" s="11" t="s">
        <v>690</v>
      </c>
      <c r="D335" s="12">
        <v>1</v>
      </c>
      <c r="E335" s="22">
        <v>0</v>
      </c>
      <c r="F335" s="12" t="s">
        <v>6299</v>
      </c>
      <c r="G335" s="12" t="s">
        <v>5905</v>
      </c>
      <c r="H335" s="12"/>
      <c r="I335" s="47" t="s">
        <v>3759</v>
      </c>
      <c r="J335" s="224">
        <v>75197</v>
      </c>
    </row>
    <row r="337" spans="1:10" hidden="1">
      <c r="A337" s="7" t="s">
        <v>6352</v>
      </c>
      <c r="B337" s="8" t="s">
        <v>6353</v>
      </c>
      <c r="C337" s="11" t="s">
        <v>6354</v>
      </c>
      <c r="D337" s="12">
        <v>4</v>
      </c>
      <c r="E337" s="22">
        <v>0</v>
      </c>
      <c r="F337" s="12" t="s">
        <v>6355</v>
      </c>
      <c r="G337" s="12" t="s">
        <v>5853</v>
      </c>
      <c r="H337" s="12" t="s">
        <v>6356</v>
      </c>
      <c r="I337" s="47" t="s">
        <v>3759</v>
      </c>
      <c r="J337" s="224">
        <v>76916</v>
      </c>
    </row>
    <row r="338" spans="1:10">
      <c r="A338" s="9"/>
      <c r="B338" s="8"/>
      <c r="C338" s="11"/>
      <c r="D338" s="12"/>
      <c r="E338" s="22"/>
      <c r="F338" s="12"/>
      <c r="G338" s="12"/>
      <c r="H338" s="12"/>
      <c r="I338" s="47"/>
    </row>
    <row r="339" spans="1:10">
      <c r="A339" s="9"/>
      <c r="B339" s="8"/>
      <c r="C339" s="11"/>
      <c r="D339" s="12"/>
      <c r="E339" s="22"/>
      <c r="F339" s="12"/>
      <c r="G339" s="12"/>
      <c r="H339" s="12"/>
      <c r="I339" s="47"/>
    </row>
    <row r="340" spans="1:10" hidden="1">
      <c r="A340" s="7" t="s">
        <v>5255</v>
      </c>
      <c r="B340" s="8" t="s">
        <v>6371</v>
      </c>
      <c r="C340" s="11" t="s">
        <v>6372</v>
      </c>
      <c r="D340" s="12">
        <v>3</v>
      </c>
      <c r="E340" s="100">
        <v>1</v>
      </c>
      <c r="F340" s="99" t="s">
        <v>6373</v>
      </c>
      <c r="G340" s="99" t="s">
        <v>5967</v>
      </c>
      <c r="H340" s="12" t="s">
        <v>6356</v>
      </c>
      <c r="I340" s="47" t="s">
        <v>3759</v>
      </c>
      <c r="J340" s="224">
        <v>76918</v>
      </c>
    </row>
    <row r="341" spans="1:10" hidden="1">
      <c r="A341" s="7" t="s">
        <v>6374</v>
      </c>
      <c r="B341" s="126" t="s">
        <v>6375</v>
      </c>
      <c r="C341" s="11" t="s">
        <v>6376</v>
      </c>
      <c r="D341" s="12">
        <v>2</v>
      </c>
      <c r="E341" s="22">
        <v>0</v>
      </c>
      <c r="F341" s="12" t="s">
        <v>6373</v>
      </c>
      <c r="G341" s="12" t="s">
        <v>5967</v>
      </c>
      <c r="H341" s="12" t="s">
        <v>6356</v>
      </c>
      <c r="I341" s="47" t="s">
        <v>3759</v>
      </c>
      <c r="J341" s="224">
        <v>76916</v>
      </c>
    </row>
    <row r="342" spans="1:10">
      <c r="A342" s="10"/>
      <c r="B342" s="449"/>
      <c r="C342" s="11"/>
      <c r="D342" s="12"/>
      <c r="E342" s="22"/>
      <c r="F342" s="12"/>
      <c r="G342" s="12"/>
      <c r="H342" s="12"/>
      <c r="I342" s="47"/>
    </row>
    <row r="343" spans="1:10">
      <c r="A343" s="9"/>
      <c r="B343" s="8"/>
      <c r="C343" s="11"/>
      <c r="D343" s="12"/>
      <c r="E343" s="22"/>
      <c r="F343" s="12"/>
      <c r="G343" s="12"/>
      <c r="H343" s="12"/>
      <c r="I343" s="76"/>
    </row>
    <row r="344" spans="1:10" hidden="1">
      <c r="A344" s="10" t="s">
        <v>6422</v>
      </c>
      <c r="B344" s="34" t="s">
        <v>6423</v>
      </c>
      <c r="C344" s="11" t="s">
        <v>6424</v>
      </c>
      <c r="D344" s="40">
        <v>3</v>
      </c>
      <c r="E344" s="22">
        <v>0</v>
      </c>
      <c r="F344" s="12" t="s">
        <v>6355</v>
      </c>
      <c r="G344" s="12" t="s">
        <v>6005</v>
      </c>
      <c r="H344" s="12" t="s">
        <v>6356</v>
      </c>
      <c r="I344" s="47" t="s">
        <v>3807</v>
      </c>
      <c r="J344" s="224" t="s">
        <v>5936</v>
      </c>
    </row>
    <row r="345" spans="1:10">
      <c r="A345" s="203" t="s">
        <v>5110</v>
      </c>
      <c r="B345" s="204">
        <v>91013</v>
      </c>
      <c r="C345" s="203" t="s">
        <v>3854</v>
      </c>
      <c r="D345" s="40">
        <v>1</v>
      </c>
      <c r="E345" s="22">
        <v>0</v>
      </c>
      <c r="F345" s="12" t="s">
        <v>6355</v>
      </c>
      <c r="G345" s="12" t="s">
        <v>6005</v>
      </c>
      <c r="H345" s="12"/>
      <c r="I345" s="47"/>
      <c r="J345" s="224" t="s">
        <v>6431</v>
      </c>
    </row>
    <row r="346" spans="1:10">
      <c r="A346" s="33" t="s">
        <v>4586</v>
      </c>
      <c r="B346" s="33" t="s">
        <v>6432</v>
      </c>
      <c r="C346" s="33" t="s">
        <v>4587</v>
      </c>
      <c r="D346" s="40">
        <v>1</v>
      </c>
      <c r="E346" s="22">
        <v>1</v>
      </c>
      <c r="F346" s="12" t="s">
        <v>6355</v>
      </c>
      <c r="G346" s="12" t="s">
        <v>6005</v>
      </c>
      <c r="H346" s="12"/>
      <c r="I346" s="47"/>
      <c r="J346" s="224">
        <v>81290</v>
      </c>
    </row>
    <row r="347" spans="1:10">
      <c r="A347" s="33" t="s">
        <v>6433</v>
      </c>
      <c r="B347" s="33" t="s">
        <v>6434</v>
      </c>
      <c r="C347" s="33" t="s">
        <v>6435</v>
      </c>
      <c r="D347" s="301">
        <v>1</v>
      </c>
      <c r="E347" s="22">
        <v>0</v>
      </c>
      <c r="F347" s="12" t="s">
        <v>6355</v>
      </c>
      <c r="G347" s="12" t="s">
        <v>6005</v>
      </c>
      <c r="H347" s="12"/>
      <c r="I347" s="47"/>
      <c r="J347" s="224">
        <v>81290</v>
      </c>
    </row>
    <row r="348" spans="1:10">
      <c r="A348" s="10"/>
      <c r="B348" s="34"/>
      <c r="C348" s="11"/>
      <c r="D348" s="40"/>
      <c r="E348" s="22"/>
      <c r="F348" s="12"/>
      <c r="G348" s="12"/>
      <c r="H348" s="12"/>
      <c r="I348" s="47"/>
    </row>
    <row r="349" spans="1:10">
      <c r="A349" s="11"/>
      <c r="B349" s="34"/>
      <c r="C349" s="11"/>
      <c r="D349" s="40"/>
      <c r="E349" s="22"/>
      <c r="F349" s="12"/>
      <c r="G349" s="12"/>
      <c r="H349" s="12"/>
      <c r="I349" s="76"/>
    </row>
    <row r="350" spans="1:10" hidden="1">
      <c r="A350" s="10" t="s">
        <v>6436</v>
      </c>
      <c r="B350" s="115" t="s">
        <v>6437</v>
      </c>
      <c r="C350" s="11" t="s">
        <v>2931</v>
      </c>
      <c r="D350" s="40">
        <v>3</v>
      </c>
      <c r="E350" s="22">
        <v>0</v>
      </c>
      <c r="F350" s="12" t="s">
        <v>6373</v>
      </c>
      <c r="G350" s="12" t="s">
        <v>6438</v>
      </c>
      <c r="H350" s="12" t="s">
        <v>6356</v>
      </c>
      <c r="I350" s="47" t="s">
        <v>6060</v>
      </c>
      <c r="J350" s="224">
        <v>76919</v>
      </c>
    </row>
    <row r="351" spans="1:10">
      <c r="A351" s="11"/>
      <c r="B351" s="34"/>
      <c r="C351" s="11"/>
      <c r="D351" s="40"/>
      <c r="E351" s="22"/>
      <c r="F351" s="12"/>
      <c r="G351" s="12"/>
      <c r="H351" s="12"/>
      <c r="I351" s="76"/>
    </row>
    <row r="352" spans="1:10" hidden="1">
      <c r="A352" s="11">
        <v>623337</v>
      </c>
      <c r="B352" s="34" t="s">
        <v>6439</v>
      </c>
      <c r="C352" s="11" t="s">
        <v>6440</v>
      </c>
      <c r="D352" s="40">
        <v>1</v>
      </c>
      <c r="E352" s="22">
        <v>0</v>
      </c>
      <c r="F352" s="12" t="s">
        <v>6355</v>
      </c>
      <c r="G352" s="12" t="s">
        <v>5997</v>
      </c>
      <c r="H352" s="12" t="s">
        <v>6356</v>
      </c>
      <c r="I352" s="47" t="s">
        <v>3759</v>
      </c>
      <c r="J352" s="224">
        <v>75226</v>
      </c>
    </row>
    <row r="353" spans="1:10" hidden="1">
      <c r="A353" s="10" t="s">
        <v>4829</v>
      </c>
      <c r="B353" s="34" t="s">
        <v>6441</v>
      </c>
      <c r="C353" s="11" t="s">
        <v>4831</v>
      </c>
      <c r="D353" s="40">
        <v>1</v>
      </c>
      <c r="E353" s="100">
        <v>1</v>
      </c>
      <c r="F353" s="100" t="s">
        <v>6355</v>
      </c>
      <c r="G353" s="100" t="s">
        <v>5997</v>
      </c>
      <c r="H353" s="22" t="s">
        <v>6356</v>
      </c>
      <c r="I353" s="47" t="s">
        <v>3759</v>
      </c>
      <c r="J353" s="224">
        <v>76916</v>
      </c>
    </row>
    <row r="354" spans="1:10">
      <c r="A354" s="10" t="s">
        <v>6442</v>
      </c>
      <c r="B354" s="10" t="s">
        <v>3748</v>
      </c>
      <c r="C354" s="17" t="s">
        <v>6443</v>
      </c>
      <c r="D354" s="40">
        <v>1</v>
      </c>
      <c r="E354" s="12"/>
      <c r="F354" s="12" t="s">
        <v>6355</v>
      </c>
      <c r="G354" s="12" t="s">
        <v>5997</v>
      </c>
      <c r="H354" s="22"/>
      <c r="I354" s="47"/>
      <c r="J354" s="224">
        <v>81058</v>
      </c>
    </row>
    <row r="355" spans="1:10">
      <c r="A355" s="10" t="s">
        <v>5356</v>
      </c>
      <c r="B355" s="11">
        <v>25468</v>
      </c>
      <c r="C355" s="17" t="s">
        <v>5357</v>
      </c>
      <c r="D355" s="40">
        <v>1</v>
      </c>
      <c r="E355" s="29">
        <v>1</v>
      </c>
      <c r="F355" s="12" t="s">
        <v>6355</v>
      </c>
      <c r="G355" s="12" t="s">
        <v>5997</v>
      </c>
      <c r="H355" s="22"/>
      <c r="I355" s="47"/>
      <c r="J355" s="224">
        <v>81058</v>
      </c>
    </row>
    <row r="356" spans="1:10">
      <c r="A356" s="10" t="s">
        <v>6444</v>
      </c>
      <c r="B356" s="10" t="s">
        <v>3748</v>
      </c>
      <c r="C356" s="17" t="s">
        <v>6445</v>
      </c>
      <c r="D356" s="40">
        <v>1</v>
      </c>
      <c r="E356" s="12">
        <v>0</v>
      </c>
      <c r="F356" s="12" t="s">
        <v>6355</v>
      </c>
      <c r="G356" s="12" t="s">
        <v>5997</v>
      </c>
      <c r="H356" s="22"/>
      <c r="I356" s="47"/>
      <c r="J356" s="224">
        <v>80889</v>
      </c>
    </row>
    <row r="357" spans="1:10">
      <c r="A357" s="10" t="s">
        <v>6446</v>
      </c>
      <c r="B357" s="10">
        <v>9149</v>
      </c>
      <c r="C357" s="17" t="s">
        <v>418</v>
      </c>
      <c r="D357" s="40">
        <v>1</v>
      </c>
      <c r="E357" s="12">
        <v>0</v>
      </c>
      <c r="F357" s="12" t="s">
        <v>6355</v>
      </c>
      <c r="G357" s="12" t="s">
        <v>5997</v>
      </c>
      <c r="H357" s="22"/>
      <c r="I357" s="47"/>
      <c r="J357" s="441">
        <v>80889</v>
      </c>
    </row>
    <row r="358" spans="1:10">
      <c r="A358" s="7" t="s">
        <v>4729</v>
      </c>
      <c r="B358" s="7" t="s">
        <v>6447</v>
      </c>
      <c r="C358" s="17" t="s">
        <v>207</v>
      </c>
      <c r="D358" s="12">
        <v>1</v>
      </c>
      <c r="E358" s="29">
        <v>1</v>
      </c>
      <c r="F358" s="12" t="s">
        <v>6355</v>
      </c>
      <c r="G358" s="12" t="s">
        <v>5997</v>
      </c>
      <c r="H358" s="22"/>
      <c r="I358" s="47"/>
      <c r="J358" s="441">
        <v>79338</v>
      </c>
    </row>
    <row r="359" spans="1:10">
      <c r="A359" s="239" t="s">
        <v>4647</v>
      </c>
      <c r="B359" s="429">
        <v>1109</v>
      </c>
      <c r="C359" s="203" t="s">
        <v>6449</v>
      </c>
      <c r="D359" s="12">
        <v>1</v>
      </c>
      <c r="E359" s="166">
        <v>0</v>
      </c>
      <c r="F359" s="12" t="s">
        <v>6355</v>
      </c>
      <c r="G359" s="12" t="s">
        <v>5997</v>
      </c>
      <c r="H359" s="22"/>
      <c r="I359" s="47"/>
      <c r="J359" s="224" t="s">
        <v>6431</v>
      </c>
    </row>
    <row r="360" spans="1:10" s="102" customFormat="1">
      <c r="A360" s="239" t="s">
        <v>4742</v>
      </c>
      <c r="B360" s="429">
        <v>6874</v>
      </c>
      <c r="C360" s="203" t="s">
        <v>4730</v>
      </c>
      <c r="D360" s="12">
        <v>1</v>
      </c>
      <c r="E360" s="166">
        <v>1</v>
      </c>
      <c r="F360" s="12" t="s">
        <v>6355</v>
      </c>
      <c r="G360" s="12" t="s">
        <v>5997</v>
      </c>
      <c r="H360" s="309" t="s">
        <v>2754</v>
      </c>
      <c r="I360" s="47"/>
      <c r="J360" s="224" t="s">
        <v>6431</v>
      </c>
    </row>
    <row r="361" spans="1:10" s="102" customFormat="1">
      <c r="A361" s="203" t="s">
        <v>6450</v>
      </c>
      <c r="B361" s="204">
        <v>5353</v>
      </c>
      <c r="C361" s="203" t="s">
        <v>6451</v>
      </c>
      <c r="D361" s="12">
        <v>1</v>
      </c>
      <c r="E361" s="166">
        <v>0</v>
      </c>
      <c r="F361" s="12" t="s">
        <v>6355</v>
      </c>
      <c r="G361" s="12" t="s">
        <v>5997</v>
      </c>
      <c r="H361" s="22"/>
      <c r="I361" s="47"/>
      <c r="J361" s="224" t="s">
        <v>6431</v>
      </c>
    </row>
    <row r="362" spans="1:10" s="102" customFormat="1">
      <c r="A362" s="203" t="s">
        <v>6453</v>
      </c>
      <c r="B362" s="204">
        <v>1530</v>
      </c>
      <c r="C362" s="203" t="s">
        <v>6454</v>
      </c>
      <c r="D362" s="12">
        <v>1</v>
      </c>
      <c r="E362" s="166">
        <v>0</v>
      </c>
      <c r="F362" s="12" t="s">
        <v>6355</v>
      </c>
      <c r="G362" s="12" t="s">
        <v>5997</v>
      </c>
      <c r="H362" s="22"/>
      <c r="I362" s="47"/>
      <c r="J362" s="224" t="s">
        <v>6431</v>
      </c>
    </row>
    <row r="363" spans="1:10">
      <c r="A363" s="222" t="s">
        <v>6455</v>
      </c>
      <c r="B363" s="222">
        <v>34648</v>
      </c>
      <c r="C363" s="203" t="s">
        <v>4140</v>
      </c>
      <c r="D363" s="12">
        <v>1</v>
      </c>
      <c r="E363" s="3">
        <v>1</v>
      </c>
      <c r="F363" s="12" t="s">
        <v>6355</v>
      </c>
      <c r="G363" s="12" t="s">
        <v>5997</v>
      </c>
      <c r="H363" s="22"/>
      <c r="I363" s="47"/>
      <c r="J363" s="224">
        <v>81307</v>
      </c>
    </row>
    <row r="364" spans="1:10">
      <c r="A364" s="222" t="s">
        <v>6455</v>
      </c>
      <c r="B364" s="222">
        <v>13013</v>
      </c>
      <c r="C364" s="203" t="s">
        <v>4140</v>
      </c>
      <c r="D364" s="12">
        <v>1</v>
      </c>
      <c r="E364" s="3">
        <v>1</v>
      </c>
      <c r="F364" s="12" t="s">
        <v>6355</v>
      </c>
      <c r="G364" s="12" t="s">
        <v>5997</v>
      </c>
      <c r="H364" s="22"/>
      <c r="I364" s="47"/>
      <c r="J364" s="224">
        <v>81307</v>
      </c>
    </row>
    <row r="365" spans="1:10">
      <c r="A365" s="222" t="s">
        <v>5054</v>
      </c>
      <c r="B365" s="222" t="s">
        <v>3748</v>
      </c>
      <c r="C365" s="33" t="s">
        <v>5055</v>
      </c>
      <c r="D365" s="12">
        <v>1</v>
      </c>
      <c r="E365" s="3">
        <v>1</v>
      </c>
      <c r="F365" s="12" t="s">
        <v>6355</v>
      </c>
      <c r="G365" s="12" t="s">
        <v>5997</v>
      </c>
      <c r="H365" s="22"/>
      <c r="I365" s="47"/>
      <c r="J365" s="224">
        <v>81377</v>
      </c>
    </row>
    <row r="366" spans="1:10">
      <c r="A366" s="9"/>
      <c r="B366" s="8"/>
      <c r="C366" s="11"/>
      <c r="D366" s="12"/>
      <c r="E366" s="22"/>
      <c r="F366" s="12"/>
      <c r="G366" s="12"/>
      <c r="H366" s="12"/>
      <c r="I366" s="76"/>
    </row>
    <row r="367" spans="1:10" hidden="1">
      <c r="A367" s="7" t="s">
        <v>6460</v>
      </c>
      <c r="B367" s="13" t="s">
        <v>6461</v>
      </c>
      <c r="C367" s="11" t="s">
        <v>4034</v>
      </c>
      <c r="D367" s="12">
        <v>2</v>
      </c>
      <c r="E367" s="22">
        <v>0</v>
      </c>
      <c r="F367" s="12" t="s">
        <v>6462</v>
      </c>
      <c r="G367" s="12" t="s">
        <v>5905</v>
      </c>
      <c r="H367" s="12" t="s">
        <v>6356</v>
      </c>
      <c r="I367" s="47" t="s">
        <v>5829</v>
      </c>
      <c r="J367" s="224">
        <v>76916</v>
      </c>
    </row>
    <row r="368" spans="1:10" hidden="1">
      <c r="A368" s="10" t="s">
        <v>6436</v>
      </c>
      <c r="B368" s="34">
        <v>10487</v>
      </c>
      <c r="C368" s="11" t="s">
        <v>6157</v>
      </c>
      <c r="D368" s="12">
        <v>1</v>
      </c>
      <c r="E368" s="22">
        <v>0</v>
      </c>
      <c r="F368" s="12" t="s">
        <v>6462</v>
      </c>
      <c r="G368" s="12" t="s">
        <v>5905</v>
      </c>
      <c r="H368" s="12" t="s">
        <v>6356</v>
      </c>
      <c r="I368" s="47" t="s">
        <v>3759</v>
      </c>
      <c r="J368" s="224">
        <v>76919</v>
      </c>
    </row>
    <row r="370" spans="1:10" hidden="1">
      <c r="A370" s="11">
        <v>33700002</v>
      </c>
      <c r="B370" s="34" t="s">
        <v>6463</v>
      </c>
      <c r="C370" s="11" t="s">
        <v>6464</v>
      </c>
      <c r="D370" s="12">
        <v>2</v>
      </c>
      <c r="E370" s="22">
        <v>0</v>
      </c>
      <c r="F370" s="12" t="s">
        <v>6373</v>
      </c>
      <c r="G370" s="12" t="s">
        <v>5929</v>
      </c>
      <c r="H370" s="12" t="s">
        <v>6356</v>
      </c>
      <c r="I370" s="47" t="s">
        <v>3759</v>
      </c>
      <c r="J370" s="224">
        <v>77094</v>
      </c>
    </row>
    <row r="371" spans="1:10">
      <c r="A371" s="165" t="s">
        <v>6465</v>
      </c>
      <c r="B371" s="164">
        <v>3116</v>
      </c>
      <c r="C371" s="166" t="s">
        <v>4387</v>
      </c>
      <c r="D371" s="12">
        <v>1</v>
      </c>
      <c r="E371" s="22">
        <v>0</v>
      </c>
      <c r="F371" s="12" t="s">
        <v>6373</v>
      </c>
      <c r="G371" s="12" t="s">
        <v>5929</v>
      </c>
      <c r="H371" s="12"/>
      <c r="I371" s="47"/>
      <c r="J371" s="224">
        <v>81091</v>
      </c>
    </row>
    <row r="372" spans="1:10">
      <c r="A372" s="424" t="s">
        <v>6466</v>
      </c>
      <c r="B372" s="430">
        <v>1007</v>
      </c>
      <c r="C372" s="166" t="s">
        <v>1395</v>
      </c>
      <c r="D372" s="12">
        <v>1</v>
      </c>
      <c r="E372" s="22">
        <v>0</v>
      </c>
      <c r="F372" s="12" t="s">
        <v>6373</v>
      </c>
      <c r="G372" s="12" t="s">
        <v>5929</v>
      </c>
      <c r="H372" s="12"/>
      <c r="I372" s="47"/>
      <c r="J372" s="224">
        <v>81091</v>
      </c>
    </row>
    <row r="373" spans="1:10">
      <c r="A373" s="417" t="s">
        <v>5517</v>
      </c>
      <c r="B373" s="428" t="s">
        <v>6467</v>
      </c>
      <c r="C373" s="166" t="s">
        <v>5518</v>
      </c>
      <c r="D373" s="12">
        <v>1</v>
      </c>
      <c r="E373" s="22">
        <v>0</v>
      </c>
      <c r="F373" s="12" t="s">
        <v>6373</v>
      </c>
      <c r="G373" s="12" t="s">
        <v>5929</v>
      </c>
      <c r="H373" s="12"/>
      <c r="I373" s="47"/>
      <c r="J373" s="224">
        <v>81091</v>
      </c>
    </row>
    <row r="374" spans="1:10">
      <c r="A374" s="239">
        <v>5910525126</v>
      </c>
      <c r="B374" s="429" t="s">
        <v>6473</v>
      </c>
      <c r="C374" s="203" t="s">
        <v>207</v>
      </c>
      <c r="D374" s="12">
        <v>1</v>
      </c>
      <c r="E374" s="22">
        <v>0</v>
      </c>
      <c r="F374" s="12" t="s">
        <v>6373</v>
      </c>
      <c r="G374" s="12" t="s">
        <v>5929</v>
      </c>
      <c r="H374" s="12"/>
      <c r="I374" s="47"/>
      <c r="J374" s="224" t="s">
        <v>6431</v>
      </c>
    </row>
    <row r="375" spans="1:10">
      <c r="A375" s="9"/>
      <c r="B375" s="8"/>
      <c r="C375" s="11"/>
      <c r="D375" s="12"/>
      <c r="E375" s="22"/>
      <c r="F375" s="12"/>
      <c r="G375" s="12"/>
      <c r="H375" s="12"/>
      <c r="I375" s="47"/>
    </row>
    <row r="376" spans="1:10" hidden="1">
      <c r="A376" s="7" t="s">
        <v>6474</v>
      </c>
      <c r="B376" s="8" t="s">
        <v>6475</v>
      </c>
      <c r="C376" s="11" t="s">
        <v>207</v>
      </c>
      <c r="D376" s="12">
        <v>2</v>
      </c>
      <c r="E376" s="22">
        <v>0</v>
      </c>
      <c r="F376" s="12" t="s">
        <v>6373</v>
      </c>
      <c r="G376" s="12" t="s">
        <v>5905</v>
      </c>
      <c r="H376" s="12" t="s">
        <v>6356</v>
      </c>
      <c r="I376" s="47" t="s">
        <v>3759</v>
      </c>
      <c r="J376" s="224">
        <v>76916</v>
      </c>
    </row>
    <row r="377" spans="1:10">
      <c r="A377" s="7"/>
      <c r="B377" s="8"/>
      <c r="C377" s="11"/>
      <c r="D377" s="12"/>
      <c r="E377" s="22"/>
      <c r="F377" s="12"/>
      <c r="G377" s="12"/>
      <c r="H377" s="12"/>
      <c r="I377" s="47"/>
    </row>
    <row r="378" spans="1:10">
      <c r="A378" s="9"/>
      <c r="B378" s="8"/>
      <c r="C378" s="11"/>
      <c r="D378" s="12"/>
      <c r="E378" s="22"/>
      <c r="F378" s="12"/>
      <c r="G378" s="12"/>
      <c r="H378" s="12"/>
      <c r="I378" s="76"/>
    </row>
    <row r="379" spans="1:10" hidden="1">
      <c r="A379" s="7" t="s">
        <v>6503</v>
      </c>
      <c r="B379" s="8">
        <v>9666</v>
      </c>
      <c r="C379" s="11" t="s">
        <v>6504</v>
      </c>
      <c r="D379" s="12">
        <v>1</v>
      </c>
      <c r="E379" s="22">
        <v>0</v>
      </c>
      <c r="F379" s="12" t="s">
        <v>6320</v>
      </c>
      <c r="G379" s="12" t="s">
        <v>5997</v>
      </c>
      <c r="H379" s="12" t="s">
        <v>6356</v>
      </c>
      <c r="I379" s="47" t="s">
        <v>3759</v>
      </c>
      <c r="J379" s="224">
        <v>76918</v>
      </c>
    </row>
    <row r="380" spans="1:10" ht="28.8">
      <c r="A380" s="167" t="s">
        <v>6505</v>
      </c>
      <c r="B380" s="296" t="s">
        <v>6506</v>
      </c>
      <c r="C380" s="166" t="s">
        <v>6507</v>
      </c>
      <c r="D380" s="30">
        <v>1</v>
      </c>
      <c r="E380" s="31">
        <v>0</v>
      </c>
      <c r="F380" s="30" t="s">
        <v>6320</v>
      </c>
      <c r="G380" s="30" t="s">
        <v>5997</v>
      </c>
      <c r="H380" s="30"/>
      <c r="I380" s="48"/>
      <c r="J380" s="229">
        <v>81091</v>
      </c>
    </row>
    <row r="381" spans="1:10">
      <c r="A381" s="417" t="s">
        <v>6508</v>
      </c>
      <c r="B381" s="428" t="s">
        <v>6509</v>
      </c>
      <c r="C381" s="166" t="s">
        <v>5042</v>
      </c>
      <c r="D381" s="12">
        <v>1</v>
      </c>
      <c r="E381" s="22">
        <v>0</v>
      </c>
      <c r="F381" s="12" t="s">
        <v>6320</v>
      </c>
      <c r="G381" s="12" t="s">
        <v>5997</v>
      </c>
      <c r="H381" s="12"/>
      <c r="I381" s="47"/>
      <c r="J381" s="224">
        <v>81091</v>
      </c>
    </row>
    <row r="382" spans="1:10">
      <c r="A382" s="417" t="s">
        <v>6510</v>
      </c>
      <c r="B382" s="430">
        <v>1022</v>
      </c>
      <c r="C382" s="166" t="s">
        <v>6511</v>
      </c>
      <c r="D382" s="12">
        <v>1</v>
      </c>
      <c r="E382" s="22">
        <v>0</v>
      </c>
      <c r="F382" s="12" t="s">
        <v>6320</v>
      </c>
      <c r="G382" s="12" t="s">
        <v>5997</v>
      </c>
      <c r="H382" s="12"/>
      <c r="I382" s="47"/>
      <c r="J382" s="224">
        <v>81091</v>
      </c>
    </row>
    <row r="385" spans="1:10" hidden="1">
      <c r="A385" s="7" t="s">
        <v>6512</v>
      </c>
      <c r="B385" s="8" t="s">
        <v>6513</v>
      </c>
      <c r="C385" s="11" t="s">
        <v>6514</v>
      </c>
      <c r="D385" s="12">
        <v>1</v>
      </c>
      <c r="E385" s="22">
        <v>0</v>
      </c>
      <c r="F385" s="12" t="s">
        <v>6355</v>
      </c>
      <c r="G385" s="12" t="s">
        <v>5984</v>
      </c>
      <c r="H385" s="12" t="s">
        <v>6356</v>
      </c>
      <c r="I385" s="47" t="s">
        <v>3759</v>
      </c>
      <c r="J385" s="224">
        <v>76916</v>
      </c>
    </row>
    <row r="386" spans="1:10">
      <c r="A386" s="7" t="s">
        <v>6515</v>
      </c>
      <c r="B386" s="8" t="s">
        <v>6516</v>
      </c>
      <c r="C386" s="11" t="s">
        <v>6517</v>
      </c>
      <c r="D386" s="12">
        <v>1</v>
      </c>
      <c r="E386" s="22">
        <v>0</v>
      </c>
      <c r="F386" s="12" t="s">
        <v>6355</v>
      </c>
      <c r="G386" s="12" t="s">
        <v>5984</v>
      </c>
      <c r="H386" s="12"/>
      <c r="I386" s="47" t="s">
        <v>3807</v>
      </c>
      <c r="J386" s="224" t="s">
        <v>5936</v>
      </c>
    </row>
    <row r="387" spans="1:10">
      <c r="A387" s="9"/>
      <c r="B387" s="8"/>
      <c r="C387" s="11"/>
      <c r="D387" s="12"/>
      <c r="E387" s="22"/>
      <c r="F387" s="12"/>
      <c r="G387" s="12"/>
      <c r="H387" s="12"/>
      <c r="I387" s="76"/>
    </row>
    <row r="388" spans="1:10" hidden="1">
      <c r="A388" s="7" t="s">
        <v>6518</v>
      </c>
      <c r="B388" s="8">
        <v>10753</v>
      </c>
      <c r="C388" s="11" t="s">
        <v>5232</v>
      </c>
      <c r="D388" s="12">
        <v>1</v>
      </c>
      <c r="E388" s="22">
        <v>0</v>
      </c>
      <c r="F388" s="12" t="s">
        <v>6373</v>
      </c>
      <c r="G388" s="12" t="s">
        <v>5884</v>
      </c>
      <c r="H388" s="12" t="s">
        <v>6356</v>
      </c>
      <c r="I388" s="47" t="s">
        <v>3759</v>
      </c>
      <c r="J388" s="224">
        <v>76916</v>
      </c>
    </row>
    <row r="389" spans="1:10" hidden="1">
      <c r="A389" s="7" t="s">
        <v>6519</v>
      </c>
      <c r="B389" s="8" t="s">
        <v>6520</v>
      </c>
      <c r="C389" s="11" t="s">
        <v>6521</v>
      </c>
      <c r="D389" s="12">
        <v>1</v>
      </c>
      <c r="E389" s="22">
        <v>0</v>
      </c>
      <c r="F389" s="12" t="s">
        <v>6373</v>
      </c>
      <c r="G389" s="12" t="s">
        <v>5884</v>
      </c>
      <c r="H389" s="12" t="s">
        <v>6356</v>
      </c>
      <c r="I389" s="47" t="s">
        <v>3759</v>
      </c>
      <c r="J389" s="224">
        <v>76916</v>
      </c>
    </row>
    <row r="390" spans="1:10">
      <c r="A390" s="7"/>
      <c r="B390" s="8"/>
      <c r="C390" s="11"/>
      <c r="D390" s="12"/>
      <c r="E390" s="22"/>
      <c r="F390" s="12"/>
      <c r="G390" s="12"/>
      <c r="H390" s="12"/>
      <c r="I390" s="47"/>
    </row>
    <row r="391" spans="1:10">
      <c r="A391" s="7"/>
      <c r="B391" s="8"/>
      <c r="C391" s="11"/>
      <c r="D391" s="12"/>
      <c r="E391" s="22"/>
      <c r="F391" s="12"/>
      <c r="G391" s="12"/>
      <c r="H391" s="12"/>
      <c r="I391" s="47"/>
    </row>
    <row r="392" spans="1:10">
      <c r="A392" s="9"/>
      <c r="B392" s="8"/>
      <c r="C392" s="11"/>
      <c r="D392" s="12"/>
      <c r="E392" s="22"/>
      <c r="F392" s="12"/>
      <c r="G392" s="12"/>
      <c r="H392" s="12"/>
      <c r="I392" s="76"/>
    </row>
    <row r="393" spans="1:10" hidden="1">
      <c r="A393" s="7" t="s">
        <v>6542</v>
      </c>
      <c r="B393" s="8" t="s">
        <v>6543</v>
      </c>
      <c r="C393" s="11" t="s">
        <v>6544</v>
      </c>
      <c r="D393" s="12">
        <v>1</v>
      </c>
      <c r="E393" s="22">
        <v>0</v>
      </c>
      <c r="F393" s="12" t="s">
        <v>6267</v>
      </c>
      <c r="G393" s="12" t="s">
        <v>5997</v>
      </c>
      <c r="H393" s="12" t="s">
        <v>6356</v>
      </c>
      <c r="I393" s="47" t="s">
        <v>3759</v>
      </c>
      <c r="J393" s="224">
        <v>76918</v>
      </c>
    </row>
    <row r="394" spans="1:10" hidden="1">
      <c r="A394" s="9">
        <v>892480</v>
      </c>
      <c r="B394" s="13" t="s">
        <v>6545</v>
      </c>
      <c r="C394" s="11" t="s">
        <v>6546</v>
      </c>
      <c r="D394" s="12">
        <v>1</v>
      </c>
      <c r="E394" s="22">
        <v>0</v>
      </c>
      <c r="F394" s="12" t="s">
        <v>6267</v>
      </c>
      <c r="G394" s="12" t="s">
        <v>5997</v>
      </c>
      <c r="H394" s="12" t="s">
        <v>6356</v>
      </c>
      <c r="I394" s="47" t="s">
        <v>3759</v>
      </c>
      <c r="J394" s="224">
        <v>76918</v>
      </c>
    </row>
    <row r="395" spans="1:10" hidden="1">
      <c r="A395" s="7" t="s">
        <v>6547</v>
      </c>
      <c r="B395" s="8">
        <v>305303</v>
      </c>
      <c r="C395" s="11" t="s">
        <v>6548</v>
      </c>
      <c r="D395" s="12">
        <v>1</v>
      </c>
      <c r="E395" s="22">
        <v>0</v>
      </c>
      <c r="F395" s="12" t="s">
        <v>6267</v>
      </c>
      <c r="G395" s="12" t="s">
        <v>5997</v>
      </c>
      <c r="H395" s="12" t="s">
        <v>6356</v>
      </c>
      <c r="I395" s="47" t="s">
        <v>3759</v>
      </c>
      <c r="J395" s="224">
        <v>76918</v>
      </c>
    </row>
    <row r="396" spans="1:10" hidden="1">
      <c r="A396" s="7" t="s">
        <v>6549</v>
      </c>
      <c r="B396" s="8" t="s">
        <v>6550</v>
      </c>
      <c r="C396" s="11" t="s">
        <v>6551</v>
      </c>
      <c r="D396" s="12">
        <v>1</v>
      </c>
      <c r="E396" s="22">
        <v>0</v>
      </c>
      <c r="F396" s="12" t="s">
        <v>6267</v>
      </c>
      <c r="G396" s="12" t="s">
        <v>5997</v>
      </c>
      <c r="H396" s="12" t="s">
        <v>6356</v>
      </c>
      <c r="I396" s="47" t="s">
        <v>3759</v>
      </c>
      <c r="J396" s="224">
        <v>76918</v>
      </c>
    </row>
    <row r="397" spans="1:10">
      <c r="A397" s="415" t="s">
        <v>5727</v>
      </c>
      <c r="B397" s="427" t="s">
        <v>6552</v>
      </c>
      <c r="C397" s="371" t="s">
        <v>4307</v>
      </c>
      <c r="D397" s="12">
        <v>1</v>
      </c>
      <c r="E397" s="22">
        <v>0</v>
      </c>
      <c r="F397" s="12" t="s">
        <v>6267</v>
      </c>
      <c r="G397" s="12" t="s">
        <v>5997</v>
      </c>
      <c r="H397" s="12" t="s">
        <v>8064</v>
      </c>
      <c r="I397" s="47" t="s">
        <v>3759</v>
      </c>
      <c r="J397" s="224">
        <v>81782</v>
      </c>
    </row>
    <row r="398" spans="1:10">
      <c r="A398" s="415" t="s">
        <v>6553</v>
      </c>
      <c r="B398" s="427" t="s">
        <v>6554</v>
      </c>
      <c r="C398" s="371" t="s">
        <v>418</v>
      </c>
      <c r="D398" s="12" t="s">
        <v>8126</v>
      </c>
      <c r="E398" s="22">
        <v>0</v>
      </c>
      <c r="F398" s="12" t="s">
        <v>6267</v>
      </c>
      <c r="G398" s="12" t="s">
        <v>5997</v>
      </c>
      <c r="H398" s="12" t="s">
        <v>8064</v>
      </c>
      <c r="I398" s="47" t="s">
        <v>3759</v>
      </c>
      <c r="J398" s="224">
        <v>81782</v>
      </c>
    </row>
    <row r="399" spans="1:10">
      <c r="A399" s="415" t="s">
        <v>6555</v>
      </c>
      <c r="B399" s="427" t="s">
        <v>6556</v>
      </c>
      <c r="C399" s="371" t="s">
        <v>6557</v>
      </c>
      <c r="D399" s="12" t="s">
        <v>8111</v>
      </c>
      <c r="E399" s="22">
        <v>0</v>
      </c>
      <c r="F399" s="12" t="s">
        <v>6267</v>
      </c>
      <c r="G399" s="12" t="s">
        <v>5997</v>
      </c>
      <c r="H399" s="12" t="s">
        <v>8064</v>
      </c>
      <c r="I399" s="47" t="s">
        <v>3759</v>
      </c>
      <c r="J399" s="224">
        <v>81782</v>
      </c>
    </row>
    <row r="400" spans="1:10">
      <c r="A400" s="415" t="s">
        <v>4038</v>
      </c>
      <c r="B400" s="427" t="s">
        <v>6558</v>
      </c>
      <c r="C400" s="371" t="s">
        <v>6559</v>
      </c>
      <c r="D400" s="12">
        <v>1</v>
      </c>
      <c r="E400" s="22">
        <v>0</v>
      </c>
      <c r="F400" s="12" t="s">
        <v>6267</v>
      </c>
      <c r="G400" s="12" t="s">
        <v>5997</v>
      </c>
      <c r="H400" s="12" t="s">
        <v>8064</v>
      </c>
      <c r="I400" s="47" t="s">
        <v>3759</v>
      </c>
      <c r="J400" s="224">
        <v>81782</v>
      </c>
    </row>
    <row r="401" spans="1:10">
      <c r="A401" s="415" t="s">
        <v>4040</v>
      </c>
      <c r="B401" s="427" t="s">
        <v>6560</v>
      </c>
      <c r="C401" s="371" t="s">
        <v>6559</v>
      </c>
      <c r="D401" s="12">
        <v>1</v>
      </c>
      <c r="E401" s="22">
        <v>0</v>
      </c>
      <c r="F401" s="12" t="s">
        <v>6267</v>
      </c>
      <c r="G401" s="12" t="s">
        <v>5997</v>
      </c>
      <c r="H401" s="12" t="s">
        <v>8064</v>
      </c>
      <c r="I401" s="47" t="s">
        <v>3759</v>
      </c>
      <c r="J401" s="224">
        <v>81782</v>
      </c>
    </row>
    <row r="402" spans="1:10">
      <c r="A402" s="415" t="s">
        <v>6561</v>
      </c>
      <c r="B402" s="427" t="s">
        <v>6562</v>
      </c>
      <c r="C402" s="371" t="s">
        <v>6563</v>
      </c>
      <c r="D402" s="12">
        <v>1</v>
      </c>
      <c r="E402" s="22">
        <v>0</v>
      </c>
      <c r="F402" s="12" t="s">
        <v>6267</v>
      </c>
      <c r="G402" s="12" t="s">
        <v>5997</v>
      </c>
      <c r="H402" s="12" t="s">
        <v>8064</v>
      </c>
      <c r="I402" s="47" t="s">
        <v>3759</v>
      </c>
      <c r="J402" s="224">
        <v>81782</v>
      </c>
    </row>
    <row r="403" spans="1:10">
      <c r="A403" s="415" t="s">
        <v>6564</v>
      </c>
      <c r="B403" s="427" t="s">
        <v>6565</v>
      </c>
      <c r="C403" s="371" t="s">
        <v>6566</v>
      </c>
      <c r="D403" s="12" t="s">
        <v>8149</v>
      </c>
      <c r="E403" s="22">
        <v>0</v>
      </c>
      <c r="F403" s="12" t="s">
        <v>6267</v>
      </c>
      <c r="G403" s="12" t="s">
        <v>5997</v>
      </c>
      <c r="H403" s="12" t="s">
        <v>8064</v>
      </c>
      <c r="I403" s="47" t="s">
        <v>3759</v>
      </c>
      <c r="J403" s="224">
        <v>81782</v>
      </c>
    </row>
    <row r="404" spans="1:10">
      <c r="A404" s="415" t="s">
        <v>4780</v>
      </c>
      <c r="B404" s="427" t="s">
        <v>6567</v>
      </c>
      <c r="C404" s="415" t="s">
        <v>4781</v>
      </c>
      <c r="D404" s="116">
        <v>1</v>
      </c>
      <c r="E404" s="106">
        <v>0</v>
      </c>
      <c r="F404" s="116" t="s">
        <v>6267</v>
      </c>
      <c r="G404" s="116" t="s">
        <v>5997</v>
      </c>
      <c r="H404" s="12" t="s">
        <v>8064</v>
      </c>
      <c r="I404" s="47" t="s">
        <v>3759</v>
      </c>
      <c r="J404" s="224">
        <v>81782</v>
      </c>
    </row>
    <row r="405" spans="1:10">
      <c r="A405" s="415" t="s">
        <v>4427</v>
      </c>
      <c r="B405" s="415" t="s">
        <v>4428</v>
      </c>
      <c r="C405" s="415" t="s">
        <v>4429</v>
      </c>
      <c r="D405" s="12" t="s">
        <v>8113</v>
      </c>
      <c r="E405" s="106">
        <v>0</v>
      </c>
      <c r="F405" s="116" t="s">
        <v>6267</v>
      </c>
      <c r="G405" s="116" t="s">
        <v>5997</v>
      </c>
      <c r="H405" s="12" t="s">
        <v>8064</v>
      </c>
      <c r="I405" s="47" t="s">
        <v>3759</v>
      </c>
      <c r="J405" s="224">
        <v>81782</v>
      </c>
    </row>
    <row r="406" spans="1:10">
      <c r="A406" s="415">
        <v>75130</v>
      </c>
      <c r="B406" s="427" t="s">
        <v>6568</v>
      </c>
      <c r="C406" s="415" t="s">
        <v>6569</v>
      </c>
      <c r="D406" s="116">
        <v>1</v>
      </c>
      <c r="E406" s="106">
        <v>0</v>
      </c>
      <c r="F406" s="116" t="s">
        <v>6267</v>
      </c>
      <c r="G406" s="116" t="s">
        <v>5997</v>
      </c>
      <c r="H406" s="12" t="s">
        <v>8064</v>
      </c>
      <c r="I406" s="47" t="s">
        <v>3759</v>
      </c>
      <c r="J406" s="224">
        <v>81782</v>
      </c>
    </row>
    <row r="407" spans="1:10">
      <c r="A407" s="9"/>
      <c r="B407" s="8"/>
      <c r="C407" s="9"/>
      <c r="D407" s="116"/>
      <c r="E407" s="106"/>
      <c r="F407" s="116"/>
      <c r="G407" s="116"/>
      <c r="H407" s="116"/>
      <c r="I407" s="76"/>
    </row>
    <row r="408" spans="1:10">
      <c r="A408" s="7" t="s">
        <v>6570</v>
      </c>
      <c r="B408" s="8" t="s">
        <v>6571</v>
      </c>
      <c r="C408" s="9" t="s">
        <v>6572</v>
      </c>
      <c r="D408" s="116">
        <v>1</v>
      </c>
      <c r="E408" s="106">
        <v>0</v>
      </c>
      <c r="F408" s="116" t="s">
        <v>6267</v>
      </c>
      <c r="G408" s="116" t="s">
        <v>6005</v>
      </c>
      <c r="H408" s="116"/>
      <c r="I408" s="47" t="s">
        <v>3807</v>
      </c>
      <c r="J408" s="224" t="s">
        <v>5936</v>
      </c>
    </row>
    <row r="409" spans="1:10" hidden="1">
      <c r="A409" s="9">
        <v>569670</v>
      </c>
      <c r="B409" s="8" t="s">
        <v>6574</v>
      </c>
      <c r="C409" s="9" t="s">
        <v>6220</v>
      </c>
      <c r="D409" s="116">
        <v>1</v>
      </c>
      <c r="E409" s="106">
        <v>0</v>
      </c>
      <c r="F409" s="116" t="s">
        <v>6267</v>
      </c>
      <c r="G409" s="116" t="s">
        <v>6005</v>
      </c>
      <c r="H409" s="116" t="s">
        <v>6356</v>
      </c>
      <c r="I409" s="47" t="s">
        <v>3759</v>
      </c>
      <c r="J409" s="224">
        <v>76918</v>
      </c>
    </row>
    <row r="410" spans="1:10">
      <c r="A410" s="9"/>
      <c r="B410" s="8"/>
      <c r="C410" s="11"/>
      <c r="D410" s="12"/>
      <c r="E410" s="22"/>
      <c r="F410" s="12"/>
      <c r="G410" s="12"/>
      <c r="H410" s="12"/>
      <c r="I410" s="76"/>
    </row>
    <row r="411" spans="1:10">
      <c r="A411" s="7" t="s">
        <v>6575</v>
      </c>
      <c r="B411" s="8">
        <v>394</v>
      </c>
      <c r="C411" s="11" t="s">
        <v>1030</v>
      </c>
      <c r="D411" s="12">
        <v>1</v>
      </c>
      <c r="E411" s="22">
        <v>0</v>
      </c>
      <c r="F411" s="12" t="s">
        <v>6221</v>
      </c>
      <c r="G411" s="12" t="s">
        <v>5853</v>
      </c>
      <c r="H411" s="12"/>
      <c r="I411" s="47" t="s">
        <v>3807</v>
      </c>
      <c r="J411" s="224" t="s">
        <v>5936</v>
      </c>
    </row>
    <row r="412" spans="1:10">
      <c r="A412" s="7" t="s">
        <v>6576</v>
      </c>
      <c r="B412" s="8">
        <v>324</v>
      </c>
      <c r="C412" s="11" t="s">
        <v>207</v>
      </c>
      <c r="D412" s="12">
        <v>1</v>
      </c>
      <c r="E412" s="22">
        <v>0</v>
      </c>
      <c r="F412" s="12" t="s">
        <v>6221</v>
      </c>
      <c r="G412" s="12" t="s">
        <v>5853</v>
      </c>
      <c r="H412" s="12"/>
      <c r="I412" s="47" t="s">
        <v>3807</v>
      </c>
      <c r="J412" s="224" t="s">
        <v>5936</v>
      </c>
    </row>
    <row r="413" spans="1:10">
      <c r="A413" s="7" t="s">
        <v>6577</v>
      </c>
      <c r="B413" s="8" t="s">
        <v>6578</v>
      </c>
      <c r="C413" s="9" t="s">
        <v>6579</v>
      </c>
      <c r="D413" s="12">
        <v>1</v>
      </c>
      <c r="E413" s="22">
        <v>0</v>
      </c>
      <c r="F413" s="12" t="s">
        <v>6221</v>
      </c>
      <c r="G413" s="12" t="s">
        <v>5853</v>
      </c>
      <c r="H413" s="12"/>
      <c r="I413" s="47" t="s">
        <v>3807</v>
      </c>
      <c r="J413" s="224">
        <v>76906</v>
      </c>
    </row>
    <row r="417" spans="1:10">
      <c r="A417" s="7" t="s">
        <v>6580</v>
      </c>
      <c r="B417" s="8" t="s">
        <v>6581</v>
      </c>
      <c r="C417" s="11" t="s">
        <v>6582</v>
      </c>
      <c r="D417" s="12">
        <v>1</v>
      </c>
      <c r="E417" s="22">
        <v>0</v>
      </c>
      <c r="F417" s="12" t="s">
        <v>5989</v>
      </c>
      <c r="G417" s="12" t="s">
        <v>5811</v>
      </c>
      <c r="H417" s="12"/>
      <c r="I417" s="47" t="s">
        <v>3759</v>
      </c>
      <c r="J417" s="224">
        <v>80089</v>
      </c>
    </row>
    <row r="418" spans="1:10">
      <c r="A418" s="9"/>
      <c r="B418" s="8"/>
      <c r="C418" s="11"/>
      <c r="D418" s="12"/>
      <c r="E418" s="22"/>
      <c r="F418" s="12"/>
      <c r="G418" s="12"/>
      <c r="H418" s="12"/>
      <c r="I418" s="76"/>
    </row>
    <row r="419" spans="1:10" ht="24.6">
      <c r="A419" s="7" t="s">
        <v>4001</v>
      </c>
      <c r="B419" s="8" t="s">
        <v>6583</v>
      </c>
      <c r="C419" s="11" t="s">
        <v>6584</v>
      </c>
      <c r="D419" s="12">
        <v>1</v>
      </c>
      <c r="E419" s="100">
        <v>1</v>
      </c>
      <c r="F419" s="99" t="s">
        <v>6221</v>
      </c>
      <c r="G419" s="99" t="s">
        <v>5984</v>
      </c>
      <c r="H419" s="12"/>
      <c r="I419" s="47" t="s">
        <v>3807</v>
      </c>
      <c r="J419" s="226" t="s">
        <v>6585</v>
      </c>
    </row>
    <row r="420" spans="1:10">
      <c r="A420" s="9"/>
      <c r="B420" s="8"/>
      <c r="C420" s="11"/>
      <c r="D420" s="12"/>
      <c r="E420" s="22"/>
      <c r="F420" s="12"/>
      <c r="G420" s="12"/>
      <c r="H420" s="12"/>
      <c r="I420" s="76"/>
    </row>
    <row r="421" spans="1:10">
      <c r="A421" s="9">
        <v>898052</v>
      </c>
      <c r="B421" s="13" t="s">
        <v>6589</v>
      </c>
      <c r="C421" s="11" t="s">
        <v>6590</v>
      </c>
      <c r="D421" s="12">
        <v>1</v>
      </c>
      <c r="E421" s="100">
        <v>1</v>
      </c>
      <c r="F421" s="99" t="s">
        <v>6355</v>
      </c>
      <c r="G421" s="99" t="s">
        <v>5811</v>
      </c>
      <c r="H421" s="12"/>
      <c r="I421" s="47" t="s">
        <v>3807</v>
      </c>
      <c r="J421" s="224" t="s">
        <v>6093</v>
      </c>
    </row>
    <row r="422" spans="1:10">
      <c r="A422" s="7" t="s">
        <v>6591</v>
      </c>
      <c r="B422" s="8" t="s">
        <v>6592</v>
      </c>
      <c r="C422" s="11"/>
      <c r="D422" s="12">
        <v>1</v>
      </c>
      <c r="E422" s="22">
        <v>0</v>
      </c>
      <c r="F422" s="12" t="s">
        <v>6355</v>
      </c>
      <c r="G422" s="12" t="s">
        <v>5811</v>
      </c>
      <c r="H422" s="12"/>
      <c r="I422" s="47" t="s">
        <v>3807</v>
      </c>
      <c r="J422" s="224" t="s">
        <v>5936</v>
      </c>
    </row>
    <row r="423" spans="1:10">
      <c r="A423" s="7" t="s">
        <v>6593</v>
      </c>
      <c r="B423" s="13" t="s">
        <v>6594</v>
      </c>
      <c r="C423" s="11"/>
      <c r="D423" s="12">
        <v>1</v>
      </c>
      <c r="E423" s="22">
        <v>0</v>
      </c>
      <c r="F423" s="12" t="s">
        <v>6355</v>
      </c>
      <c r="G423" s="12" t="s">
        <v>5811</v>
      </c>
      <c r="H423" s="12"/>
      <c r="I423" s="47" t="s">
        <v>3807</v>
      </c>
      <c r="J423" s="224" t="s">
        <v>5936</v>
      </c>
    </row>
    <row r="424" spans="1:10">
      <c r="A424" s="9" t="s">
        <v>6595</v>
      </c>
      <c r="B424" s="13" t="s">
        <v>6596</v>
      </c>
      <c r="C424" s="11"/>
      <c r="D424" s="12">
        <v>1</v>
      </c>
      <c r="E424" s="22">
        <v>0</v>
      </c>
      <c r="F424" s="12" t="s">
        <v>6355</v>
      </c>
      <c r="G424" s="12" t="s">
        <v>5811</v>
      </c>
      <c r="H424" s="12"/>
      <c r="I424" s="47" t="s">
        <v>3807</v>
      </c>
      <c r="J424" s="224" t="s">
        <v>5936</v>
      </c>
    </row>
    <row r="425" spans="1:10">
      <c r="A425" s="9" t="s">
        <v>6597</v>
      </c>
      <c r="B425" s="8" t="s">
        <v>6598</v>
      </c>
      <c r="C425" s="11"/>
      <c r="D425" s="12">
        <v>1</v>
      </c>
      <c r="E425" s="22">
        <v>0</v>
      </c>
      <c r="F425" s="12" t="s">
        <v>6355</v>
      </c>
      <c r="G425" s="12" t="s">
        <v>5811</v>
      </c>
      <c r="H425" s="12"/>
      <c r="I425" s="47" t="s">
        <v>3807</v>
      </c>
      <c r="J425" s="224" t="s">
        <v>5936</v>
      </c>
    </row>
    <row r="426" spans="1:10">
      <c r="A426" s="9" t="s">
        <v>6599</v>
      </c>
      <c r="B426" s="8">
        <v>16863</v>
      </c>
      <c r="C426" s="11"/>
      <c r="D426" s="12">
        <v>1</v>
      </c>
      <c r="E426" s="22">
        <v>0</v>
      </c>
      <c r="F426" s="12" t="s">
        <v>6355</v>
      </c>
      <c r="G426" s="12" t="s">
        <v>5811</v>
      </c>
      <c r="H426" s="12"/>
      <c r="I426" s="47" t="s">
        <v>3807</v>
      </c>
      <c r="J426" s="224" t="s">
        <v>5936</v>
      </c>
    </row>
    <row r="427" spans="1:10">
      <c r="A427" s="9"/>
      <c r="B427" s="8"/>
      <c r="C427" s="11"/>
      <c r="D427" s="12"/>
      <c r="E427" s="22"/>
      <c r="F427" s="12"/>
      <c r="G427" s="12"/>
      <c r="H427" s="12"/>
      <c r="I427" s="76"/>
    </row>
    <row r="428" spans="1:10">
      <c r="A428" s="7" t="s">
        <v>4774</v>
      </c>
      <c r="B428" s="13" t="s">
        <v>6600</v>
      </c>
      <c r="C428" s="11" t="s">
        <v>4103</v>
      </c>
      <c r="D428" s="12">
        <v>1</v>
      </c>
      <c r="E428" s="22">
        <v>1</v>
      </c>
      <c r="F428" s="12" t="s">
        <v>6462</v>
      </c>
      <c r="G428" s="12" t="s">
        <v>5944</v>
      </c>
      <c r="H428" s="12"/>
      <c r="I428" s="47" t="s">
        <v>3807</v>
      </c>
      <c r="J428" s="224">
        <v>80430</v>
      </c>
    </row>
    <row r="429" spans="1:10">
      <c r="A429" s="7" t="s">
        <v>4578</v>
      </c>
      <c r="B429" s="8">
        <v>2174</v>
      </c>
      <c r="C429" s="11" t="s">
        <v>4103</v>
      </c>
      <c r="D429" s="12">
        <v>1</v>
      </c>
      <c r="E429" s="22">
        <v>1</v>
      </c>
      <c r="F429" s="12" t="s">
        <v>6462</v>
      </c>
      <c r="G429" s="12" t="s">
        <v>5944</v>
      </c>
      <c r="H429" s="12"/>
      <c r="I429" s="47" t="s">
        <v>3759</v>
      </c>
      <c r="J429" s="224">
        <v>76523</v>
      </c>
    </row>
    <row r="430" spans="1:10">
      <c r="A430" s="9"/>
      <c r="B430" s="8"/>
      <c r="C430" s="11"/>
      <c r="D430" s="12"/>
      <c r="E430" s="22"/>
      <c r="F430" s="12"/>
      <c r="G430" s="12"/>
      <c r="H430" s="12"/>
      <c r="I430" s="76"/>
    </row>
    <row r="431" spans="1:10">
      <c r="A431" s="7" t="s">
        <v>4778</v>
      </c>
      <c r="B431" s="8" t="s">
        <v>6601</v>
      </c>
      <c r="C431" s="11" t="s">
        <v>4103</v>
      </c>
      <c r="D431" s="12">
        <v>2</v>
      </c>
      <c r="E431" s="22">
        <v>0</v>
      </c>
      <c r="F431" s="12" t="s">
        <v>6462</v>
      </c>
      <c r="G431" s="12" t="s">
        <v>5884</v>
      </c>
      <c r="H431" s="12"/>
      <c r="I431" s="47" t="s">
        <v>3807</v>
      </c>
      <c r="J431" s="224">
        <v>80430</v>
      </c>
    </row>
    <row r="433" spans="1:10">
      <c r="A433" s="9" t="s">
        <v>4778</v>
      </c>
      <c r="B433" s="8">
        <v>8330202</v>
      </c>
      <c r="C433" s="11" t="s">
        <v>4103</v>
      </c>
      <c r="D433" s="12">
        <v>1</v>
      </c>
      <c r="E433" s="22">
        <v>1</v>
      </c>
      <c r="F433" s="12" t="s">
        <v>6462</v>
      </c>
      <c r="G433" s="12" t="s">
        <v>5967</v>
      </c>
      <c r="H433" s="12"/>
      <c r="I433" s="47" t="s">
        <v>3759</v>
      </c>
      <c r="J433" s="224">
        <v>80430</v>
      </c>
    </row>
    <row r="434" spans="1:10">
      <c r="A434" s="9"/>
      <c r="B434" s="8"/>
      <c r="C434" s="11"/>
      <c r="D434" s="12"/>
      <c r="E434" s="22"/>
      <c r="F434" s="12"/>
      <c r="G434" s="12"/>
      <c r="H434" s="12"/>
      <c r="I434" s="76"/>
    </row>
    <row r="435" spans="1:10">
      <c r="A435" s="9" t="s">
        <v>5219</v>
      </c>
      <c r="B435" s="8" t="s">
        <v>6602</v>
      </c>
      <c r="C435" s="11" t="s">
        <v>5216</v>
      </c>
      <c r="D435" s="12">
        <v>1</v>
      </c>
      <c r="E435" s="22">
        <v>0</v>
      </c>
      <c r="F435" s="12" t="s">
        <v>6462</v>
      </c>
      <c r="G435" s="12" t="s">
        <v>5929</v>
      </c>
      <c r="H435" s="12"/>
      <c r="I435" s="47" t="s">
        <v>3759</v>
      </c>
      <c r="J435" s="224">
        <v>80813</v>
      </c>
    </row>
    <row r="436" spans="1:10">
      <c r="A436" s="7" t="s">
        <v>5214</v>
      </c>
      <c r="B436" s="8" t="s">
        <v>6603</v>
      </c>
      <c r="C436" s="11" t="s">
        <v>5216</v>
      </c>
      <c r="D436" s="12">
        <v>1</v>
      </c>
      <c r="E436" s="22">
        <v>0</v>
      </c>
      <c r="F436" s="12" t="s">
        <v>6462</v>
      </c>
      <c r="G436" s="12" t="s">
        <v>5929</v>
      </c>
      <c r="H436" s="12"/>
      <c r="I436" s="47" t="s">
        <v>3759</v>
      </c>
      <c r="J436" s="224">
        <v>80813</v>
      </c>
    </row>
    <row r="437" spans="1:10">
      <c r="A437" s="9" t="s">
        <v>4742</v>
      </c>
      <c r="B437" s="8">
        <v>3692</v>
      </c>
      <c r="C437" s="11" t="s">
        <v>6604</v>
      </c>
      <c r="D437" s="12">
        <v>1</v>
      </c>
      <c r="E437" s="100">
        <v>1</v>
      </c>
      <c r="F437" s="99" t="s">
        <v>6462</v>
      </c>
      <c r="G437" s="99" t="s">
        <v>5929</v>
      </c>
      <c r="H437" s="308" t="s">
        <v>2754</v>
      </c>
      <c r="I437" s="47" t="s">
        <v>3759</v>
      </c>
      <c r="J437" s="224">
        <v>80827</v>
      </c>
    </row>
    <row r="438" spans="1:10">
      <c r="A438" s="7" t="s">
        <v>5734</v>
      </c>
      <c r="B438" s="8" t="s">
        <v>6605</v>
      </c>
      <c r="C438" s="11" t="s">
        <v>5601</v>
      </c>
      <c r="D438" s="12">
        <v>1</v>
      </c>
      <c r="E438" s="22">
        <v>0</v>
      </c>
      <c r="F438" s="12" t="s">
        <v>6462</v>
      </c>
      <c r="G438" s="12" t="s">
        <v>5929</v>
      </c>
      <c r="H438" s="12"/>
      <c r="I438" s="47" t="s">
        <v>3759</v>
      </c>
      <c r="J438" s="224">
        <v>80821</v>
      </c>
    </row>
    <row r="439" spans="1:10">
      <c r="A439" s="7" t="s">
        <v>6606</v>
      </c>
      <c r="B439" s="8">
        <v>27662</v>
      </c>
      <c r="C439" s="11" t="s">
        <v>3796</v>
      </c>
      <c r="D439" s="12">
        <v>1</v>
      </c>
      <c r="E439" s="22">
        <v>0</v>
      </c>
      <c r="F439" s="12" t="s">
        <v>6462</v>
      </c>
      <c r="G439" s="12" t="s">
        <v>5929</v>
      </c>
      <c r="H439" s="12"/>
      <c r="I439" s="47" t="s">
        <v>3759</v>
      </c>
      <c r="J439" s="224">
        <v>80581</v>
      </c>
    </row>
    <row r="440" spans="1:10">
      <c r="A440" s="7" t="s">
        <v>6607</v>
      </c>
      <c r="B440" s="8" t="s">
        <v>6608</v>
      </c>
      <c r="C440" s="11" t="s">
        <v>418</v>
      </c>
      <c r="D440" s="12">
        <v>2</v>
      </c>
      <c r="E440" s="22">
        <v>0</v>
      </c>
      <c r="F440" s="12" t="s">
        <v>6462</v>
      </c>
      <c r="G440" s="12" t="s">
        <v>5929</v>
      </c>
      <c r="H440" s="12"/>
      <c r="I440" s="47" t="s">
        <v>3759</v>
      </c>
      <c r="J440" s="224">
        <v>80771</v>
      </c>
    </row>
    <row r="441" spans="1:10">
      <c r="A441" s="7" t="s">
        <v>5627</v>
      </c>
      <c r="B441" s="8" t="s">
        <v>3748</v>
      </c>
      <c r="C441" s="11" t="s">
        <v>313</v>
      </c>
      <c r="D441" s="12">
        <v>1</v>
      </c>
      <c r="E441" s="100">
        <v>1</v>
      </c>
      <c r="F441" s="99" t="s">
        <v>6462</v>
      </c>
      <c r="G441" s="99" t="s">
        <v>5929</v>
      </c>
      <c r="H441" s="12"/>
      <c r="I441" s="47" t="s">
        <v>3759</v>
      </c>
      <c r="J441" s="224">
        <v>80696</v>
      </c>
    </row>
    <row r="442" spans="1:10">
      <c r="A442" s="9">
        <v>60591</v>
      </c>
      <c r="B442" s="8" t="s">
        <v>6610</v>
      </c>
      <c r="C442" s="11" t="s">
        <v>6611</v>
      </c>
      <c r="D442" s="12">
        <v>1</v>
      </c>
      <c r="E442" s="22">
        <v>0</v>
      </c>
      <c r="F442" s="12" t="s">
        <v>6462</v>
      </c>
      <c r="G442" s="12" t="s">
        <v>5929</v>
      </c>
      <c r="H442" s="12"/>
      <c r="I442" s="47" t="s">
        <v>3807</v>
      </c>
      <c r="J442" s="224" t="s">
        <v>5936</v>
      </c>
    </row>
    <row r="443" spans="1:10">
      <c r="A443" s="7" t="s">
        <v>4327</v>
      </c>
      <c r="B443" s="8">
        <v>2249</v>
      </c>
      <c r="C443" s="11" t="s">
        <v>6612</v>
      </c>
      <c r="D443" s="12">
        <v>1</v>
      </c>
      <c r="E443" s="22">
        <v>0</v>
      </c>
      <c r="F443" s="12" t="s">
        <v>6462</v>
      </c>
      <c r="G443" s="12" t="s">
        <v>5929</v>
      </c>
      <c r="H443" s="12"/>
      <c r="I443" s="47" t="s">
        <v>3807</v>
      </c>
      <c r="J443" s="224">
        <v>76395</v>
      </c>
    </row>
    <row r="444" spans="1:10">
      <c r="A444" s="7" t="s">
        <v>4106</v>
      </c>
      <c r="B444" s="8" t="s">
        <v>6613</v>
      </c>
      <c r="C444" s="11" t="s">
        <v>4108</v>
      </c>
      <c r="D444" s="12">
        <v>1</v>
      </c>
      <c r="E444" s="100">
        <v>0</v>
      </c>
      <c r="F444" s="99" t="s">
        <v>6462</v>
      </c>
      <c r="G444" s="99" t="s">
        <v>5929</v>
      </c>
      <c r="H444" s="12"/>
      <c r="I444" s="47" t="s">
        <v>3807</v>
      </c>
      <c r="J444" s="224" t="s">
        <v>5936</v>
      </c>
    </row>
    <row r="445" spans="1:10">
      <c r="A445" s="11"/>
      <c r="B445" s="34"/>
      <c r="C445" s="11"/>
      <c r="D445" s="12"/>
      <c r="E445" s="22"/>
      <c r="F445" s="12"/>
      <c r="G445" s="12"/>
      <c r="H445" s="12"/>
      <c r="I445" s="76"/>
    </row>
    <row r="446" spans="1:10">
      <c r="A446" s="11"/>
      <c r="B446" s="34"/>
      <c r="C446" s="11"/>
      <c r="D446" s="12"/>
      <c r="E446" s="22"/>
      <c r="F446" s="12"/>
      <c r="G446" s="12"/>
      <c r="H446" s="12"/>
      <c r="I446" s="76"/>
    </row>
    <row r="447" spans="1:10">
      <c r="A447" s="44" t="s">
        <v>6614</v>
      </c>
      <c r="B447" s="133" t="s">
        <v>6615</v>
      </c>
      <c r="C447" s="134" t="s">
        <v>6616</v>
      </c>
      <c r="D447" s="144">
        <v>1</v>
      </c>
      <c r="E447" s="22">
        <v>0</v>
      </c>
      <c r="F447" s="12" t="s">
        <v>6617</v>
      </c>
      <c r="G447" s="12" t="s">
        <v>5984</v>
      </c>
      <c r="H447" s="12"/>
      <c r="I447" s="47" t="s">
        <v>3759</v>
      </c>
      <c r="J447" s="224">
        <v>80771</v>
      </c>
    </row>
    <row r="448" spans="1:10">
      <c r="A448" s="7" t="s">
        <v>6618</v>
      </c>
      <c r="B448" s="13" t="s">
        <v>6619</v>
      </c>
      <c r="C448" s="11" t="s">
        <v>6620</v>
      </c>
      <c r="D448" s="12">
        <v>1</v>
      </c>
      <c r="E448" s="22">
        <v>0</v>
      </c>
      <c r="F448" s="12" t="s">
        <v>6617</v>
      </c>
      <c r="G448" s="12" t="s">
        <v>5984</v>
      </c>
      <c r="H448" s="12"/>
      <c r="I448" s="47" t="s">
        <v>6621</v>
      </c>
      <c r="J448" s="224" t="s">
        <v>6622</v>
      </c>
    </row>
    <row r="449" spans="1:11">
      <c r="A449" s="7" t="s">
        <v>1689</v>
      </c>
      <c r="B449" s="8" t="s">
        <v>3748</v>
      </c>
      <c r="C449" s="11" t="s">
        <v>6623</v>
      </c>
      <c r="D449" s="12">
        <v>1</v>
      </c>
      <c r="E449" s="22">
        <v>0</v>
      </c>
      <c r="F449" s="12" t="s">
        <v>6617</v>
      </c>
      <c r="G449" s="12" t="s">
        <v>5984</v>
      </c>
      <c r="H449" s="12"/>
      <c r="I449" s="47" t="s">
        <v>6103</v>
      </c>
      <c r="J449" s="224" t="s">
        <v>5936</v>
      </c>
    </row>
    <row r="450" spans="1:11">
      <c r="A450" s="7" t="s">
        <v>5219</v>
      </c>
      <c r="B450" s="8" t="s">
        <v>6624</v>
      </c>
      <c r="C450" s="11" t="s">
        <v>5216</v>
      </c>
      <c r="D450" s="12">
        <v>1</v>
      </c>
      <c r="E450" s="22">
        <v>0</v>
      </c>
      <c r="F450" s="12" t="s">
        <v>6617</v>
      </c>
      <c r="G450" s="12" t="s">
        <v>5984</v>
      </c>
      <c r="H450" s="12"/>
      <c r="I450" s="47" t="s">
        <v>3759</v>
      </c>
      <c r="J450" s="224">
        <v>79349</v>
      </c>
    </row>
    <row r="451" spans="1:11">
      <c r="A451" s="9"/>
      <c r="B451" s="8"/>
      <c r="C451" s="11"/>
      <c r="D451" s="12"/>
      <c r="E451" s="22"/>
      <c r="F451" s="12"/>
      <c r="G451" s="12"/>
      <c r="H451" s="12"/>
      <c r="I451" s="76"/>
    </row>
    <row r="452" spans="1:11">
      <c r="A452" s="424" t="s">
        <v>6626</v>
      </c>
      <c r="B452" s="428" t="s">
        <v>6627</v>
      </c>
      <c r="C452" s="166" t="s">
        <v>6146</v>
      </c>
      <c r="D452" s="12">
        <v>1</v>
      </c>
      <c r="E452" s="22">
        <v>0</v>
      </c>
      <c r="F452" s="22" t="s">
        <v>6617</v>
      </c>
      <c r="G452" s="12" t="s">
        <v>5853</v>
      </c>
      <c r="H452" s="12"/>
      <c r="I452" s="47"/>
      <c r="J452" s="224">
        <v>81091</v>
      </c>
    </row>
    <row r="453" spans="1:11">
      <c r="A453" s="417" t="s">
        <v>5449</v>
      </c>
      <c r="B453" s="428" t="s">
        <v>6633</v>
      </c>
      <c r="C453" s="166" t="s">
        <v>5656</v>
      </c>
      <c r="D453" s="12">
        <v>1</v>
      </c>
      <c r="E453" s="22">
        <v>5</v>
      </c>
      <c r="F453" s="22" t="s">
        <v>6617</v>
      </c>
      <c r="G453" s="12" t="s">
        <v>5853</v>
      </c>
      <c r="H453" s="12"/>
      <c r="I453" s="47"/>
      <c r="J453" s="224">
        <v>81091</v>
      </c>
    </row>
    <row r="454" spans="1:11">
      <c r="A454" s="424" t="s">
        <v>6634</v>
      </c>
      <c r="B454" s="430">
        <v>9040</v>
      </c>
      <c r="C454" s="166" t="s">
        <v>5055</v>
      </c>
      <c r="D454" s="12">
        <v>1</v>
      </c>
      <c r="E454" s="22">
        <v>0</v>
      </c>
      <c r="F454" s="22" t="s">
        <v>6617</v>
      </c>
      <c r="G454" s="12" t="s">
        <v>5853</v>
      </c>
      <c r="H454" s="12"/>
      <c r="I454" s="47"/>
      <c r="J454" s="224">
        <v>81091</v>
      </c>
    </row>
    <row r="455" spans="1:11">
      <c r="A455" s="417" t="s">
        <v>6635</v>
      </c>
      <c r="B455" s="430">
        <v>1236</v>
      </c>
      <c r="C455" s="166" t="s">
        <v>4736</v>
      </c>
      <c r="D455" s="12">
        <v>1</v>
      </c>
      <c r="E455" s="22">
        <v>0</v>
      </c>
      <c r="F455" s="22" t="s">
        <v>6617</v>
      </c>
      <c r="G455" s="12" t="s">
        <v>5853</v>
      </c>
      <c r="H455" s="12"/>
      <c r="I455" s="47"/>
      <c r="J455" s="224">
        <v>81091</v>
      </c>
    </row>
    <row r="456" spans="1:11">
      <c r="A456" s="417"/>
      <c r="B456" s="428"/>
      <c r="C456" s="166"/>
      <c r="D456" s="12"/>
      <c r="E456" s="22"/>
      <c r="F456" s="22"/>
      <c r="G456" s="12"/>
      <c r="H456" s="12"/>
      <c r="I456" s="47"/>
    </row>
    <row r="457" spans="1:11">
      <c r="A457" s="9">
        <v>163000</v>
      </c>
      <c r="B457" s="8">
        <v>1588</v>
      </c>
      <c r="C457" s="11" t="s">
        <v>6636</v>
      </c>
      <c r="D457" s="12">
        <v>1</v>
      </c>
      <c r="E457" s="22">
        <v>0</v>
      </c>
      <c r="F457" s="22" t="s">
        <v>6617</v>
      </c>
      <c r="G457" s="22" t="s">
        <v>6005</v>
      </c>
      <c r="H457" s="22"/>
      <c r="I457" s="47" t="s">
        <v>3759</v>
      </c>
      <c r="J457" s="439">
        <v>80245</v>
      </c>
    </row>
    <row r="458" spans="1:11">
      <c r="A458" s="233" t="s">
        <v>6637</v>
      </c>
      <c r="B458" s="235" t="s">
        <v>3748</v>
      </c>
      <c r="C458" s="59" t="s">
        <v>6638</v>
      </c>
      <c r="D458" s="22">
        <v>1</v>
      </c>
      <c r="E458" s="22">
        <v>0</v>
      </c>
      <c r="F458" s="22" t="s">
        <v>6617</v>
      </c>
      <c r="G458" s="22" t="s">
        <v>6005</v>
      </c>
      <c r="H458" s="22"/>
      <c r="I458" s="47" t="s">
        <v>3759</v>
      </c>
      <c r="J458" s="440">
        <v>80586</v>
      </c>
    </row>
    <row r="459" spans="1:11">
      <c r="A459" s="3" t="s">
        <v>4653</v>
      </c>
      <c r="B459" s="59" t="s">
        <v>6639</v>
      </c>
      <c r="C459" s="59" t="s">
        <v>4654</v>
      </c>
      <c r="D459" s="22">
        <v>2</v>
      </c>
      <c r="E459" s="100">
        <v>4</v>
      </c>
      <c r="F459" s="100" t="s">
        <v>6617</v>
      </c>
      <c r="G459" s="99" t="s">
        <v>6005</v>
      </c>
      <c r="H459" s="12"/>
      <c r="I459" s="47" t="s">
        <v>3759</v>
      </c>
      <c r="J459" s="224">
        <v>80612</v>
      </c>
    </row>
    <row r="460" spans="1:11">
      <c r="A460" s="59"/>
      <c r="B460" s="59"/>
      <c r="C460" s="59"/>
      <c r="D460" s="22"/>
      <c r="E460" s="22"/>
      <c r="F460" s="22"/>
      <c r="G460" s="22"/>
      <c r="H460" s="22"/>
      <c r="I460" s="76"/>
    </row>
    <row r="461" spans="1:11">
      <c r="A461" s="59"/>
      <c r="B461" s="59"/>
      <c r="C461" s="59"/>
      <c r="D461" s="22"/>
      <c r="E461" s="22"/>
      <c r="F461" s="22"/>
      <c r="G461" s="22"/>
      <c r="H461" s="22"/>
      <c r="I461" s="76"/>
    </row>
    <row r="462" spans="1:11" ht="28.8">
      <c r="A462" s="149" t="s">
        <v>5363</v>
      </c>
      <c r="B462" s="150" t="s">
        <v>6640</v>
      </c>
      <c r="C462" s="151" t="s">
        <v>6641</v>
      </c>
      <c r="D462" s="147">
        <v>5</v>
      </c>
      <c r="E462" s="147">
        <v>0</v>
      </c>
      <c r="F462" s="147" t="s">
        <v>6642</v>
      </c>
      <c r="G462" s="147" t="s">
        <v>5905</v>
      </c>
      <c r="H462" s="147"/>
      <c r="I462" s="156" t="s">
        <v>3759</v>
      </c>
      <c r="J462" s="224">
        <v>80713</v>
      </c>
      <c r="K462" s="148"/>
    </row>
    <row r="463" spans="1:11">
      <c r="A463" s="446" t="s">
        <v>5826</v>
      </c>
      <c r="B463" s="115" t="s">
        <v>5827</v>
      </c>
      <c r="C463" s="11" t="s">
        <v>5828</v>
      </c>
      <c r="D463" s="12">
        <v>2</v>
      </c>
      <c r="E463" s="22">
        <v>0</v>
      </c>
      <c r="F463" s="12" t="s">
        <v>5810</v>
      </c>
      <c r="G463" s="12" t="s">
        <v>5811</v>
      </c>
      <c r="H463" s="12"/>
      <c r="I463" s="47" t="s">
        <v>5829</v>
      </c>
      <c r="J463" s="224">
        <v>75179</v>
      </c>
    </row>
    <row r="464" spans="1:11">
      <c r="A464" s="446" t="s">
        <v>6108</v>
      </c>
      <c r="B464" s="34" t="s">
        <v>6109</v>
      </c>
      <c r="C464" s="11" t="s">
        <v>690</v>
      </c>
      <c r="D464" s="12">
        <v>1</v>
      </c>
      <c r="E464" s="22">
        <v>0</v>
      </c>
      <c r="F464" s="12" t="s">
        <v>5810</v>
      </c>
      <c r="G464" s="12" t="s">
        <v>6005</v>
      </c>
      <c r="H464" s="12"/>
      <c r="I464" s="47" t="s">
        <v>3759</v>
      </c>
      <c r="J464" s="224">
        <v>76655</v>
      </c>
    </row>
    <row r="465" spans="1:11">
      <c r="A465" s="446" t="s">
        <v>4164</v>
      </c>
      <c r="B465" s="34" t="s">
        <v>6161</v>
      </c>
      <c r="C465" s="11" t="s">
        <v>690</v>
      </c>
      <c r="D465" s="12">
        <v>1</v>
      </c>
      <c r="E465" s="29">
        <v>1</v>
      </c>
      <c r="F465" s="29" t="s">
        <v>6087</v>
      </c>
      <c r="G465" s="29" t="s">
        <v>5997</v>
      </c>
      <c r="H465" s="12"/>
      <c r="I465" s="47" t="s">
        <v>6162</v>
      </c>
      <c r="J465" s="356" t="s">
        <v>5936</v>
      </c>
    </row>
    <row r="466" spans="1:11">
      <c r="A466" s="446" t="s">
        <v>6178</v>
      </c>
      <c r="B466" s="34" t="s">
        <v>6179</v>
      </c>
      <c r="C466" s="11" t="s">
        <v>6180</v>
      </c>
      <c r="D466" s="12">
        <v>1</v>
      </c>
      <c r="E466" s="22">
        <v>0</v>
      </c>
      <c r="F466" s="12" t="s">
        <v>5852</v>
      </c>
      <c r="G466" s="12" t="s">
        <v>5811</v>
      </c>
      <c r="H466" s="12"/>
      <c r="I466" s="47" t="s">
        <v>3807</v>
      </c>
      <c r="J466" s="356" t="s">
        <v>5936</v>
      </c>
    </row>
    <row r="467" spans="1:11">
      <c r="A467" s="445">
        <v>1667</v>
      </c>
      <c r="B467" s="115" t="s">
        <v>5817</v>
      </c>
      <c r="C467" s="11" t="s">
        <v>207</v>
      </c>
      <c r="D467" s="12">
        <v>2</v>
      </c>
      <c r="E467" s="22">
        <v>0</v>
      </c>
      <c r="F467" s="12" t="s">
        <v>5810</v>
      </c>
      <c r="G467" s="12" t="s">
        <v>5811</v>
      </c>
      <c r="H467" s="12"/>
      <c r="I467" s="47" t="s">
        <v>3759</v>
      </c>
      <c r="J467" s="224">
        <v>75178</v>
      </c>
    </row>
    <row r="468" spans="1:11">
      <c r="A468" s="348" t="s">
        <v>5823</v>
      </c>
      <c r="B468" s="8" t="s">
        <v>5824</v>
      </c>
      <c r="C468" s="11" t="s">
        <v>4095</v>
      </c>
      <c r="D468" s="12">
        <v>1</v>
      </c>
      <c r="E468" s="22">
        <v>0</v>
      </c>
      <c r="F468" s="12" t="s">
        <v>5810</v>
      </c>
      <c r="G468" s="12" t="s">
        <v>5811</v>
      </c>
      <c r="H468" s="12"/>
      <c r="I468" s="47" t="s">
        <v>3759</v>
      </c>
      <c r="J468" s="224">
        <v>75179</v>
      </c>
      <c r="K468" s="103" t="s">
        <v>3769</v>
      </c>
    </row>
    <row r="469" spans="1:11">
      <c r="A469" s="348" t="s">
        <v>5823</v>
      </c>
      <c r="B469" s="8" t="s">
        <v>5832</v>
      </c>
      <c r="C469" s="11" t="s">
        <v>5833</v>
      </c>
      <c r="D469" s="12">
        <v>1</v>
      </c>
      <c r="E469" s="22">
        <v>0</v>
      </c>
      <c r="F469" s="12" t="s">
        <v>5810</v>
      </c>
      <c r="G469" s="12" t="s">
        <v>5811</v>
      </c>
      <c r="H469" s="12"/>
      <c r="I469" s="47" t="s">
        <v>3759</v>
      </c>
      <c r="J469" s="224">
        <v>75179</v>
      </c>
    </row>
    <row r="470" spans="1:11">
      <c r="A470" s="348" t="s">
        <v>5838</v>
      </c>
      <c r="B470" s="8" t="s">
        <v>5839</v>
      </c>
      <c r="C470" s="11" t="s">
        <v>5840</v>
      </c>
      <c r="D470" s="12">
        <v>1</v>
      </c>
      <c r="E470" s="22">
        <v>0</v>
      </c>
      <c r="F470" s="12" t="s">
        <v>5810</v>
      </c>
      <c r="G470" s="12" t="s">
        <v>5811</v>
      </c>
      <c r="H470" s="12"/>
      <c r="I470" s="47" t="s">
        <v>3759</v>
      </c>
      <c r="J470" s="224">
        <v>75195</v>
      </c>
    </row>
    <row r="471" spans="1:11">
      <c r="A471" s="207" t="s">
        <v>5848</v>
      </c>
      <c r="B471" s="8">
        <v>3964</v>
      </c>
      <c r="C471" s="11" t="s">
        <v>207</v>
      </c>
      <c r="D471" s="12">
        <v>1</v>
      </c>
      <c r="E471" s="22">
        <v>0</v>
      </c>
      <c r="F471" s="12" t="s">
        <v>5810</v>
      </c>
      <c r="G471" s="12" t="s">
        <v>5811</v>
      </c>
      <c r="H471" s="12"/>
      <c r="I471" s="47" t="s">
        <v>3759</v>
      </c>
      <c r="J471" s="224">
        <v>75196</v>
      </c>
    </row>
    <row r="472" spans="1:11">
      <c r="A472" s="348" t="s">
        <v>5856</v>
      </c>
      <c r="B472" s="8" t="s">
        <v>5857</v>
      </c>
      <c r="C472" s="11" t="s">
        <v>5858</v>
      </c>
      <c r="D472" s="12">
        <v>1</v>
      </c>
      <c r="E472" s="22">
        <v>0</v>
      </c>
      <c r="F472" s="12" t="s">
        <v>5852</v>
      </c>
      <c r="G472" s="12" t="s">
        <v>5853</v>
      </c>
      <c r="H472" s="12"/>
      <c r="I472" s="47" t="s">
        <v>3807</v>
      </c>
      <c r="J472" s="224">
        <v>75197</v>
      </c>
    </row>
    <row r="473" spans="1:11">
      <c r="A473" s="348" t="s">
        <v>5859</v>
      </c>
      <c r="B473" s="8">
        <v>8763227</v>
      </c>
      <c r="C473" s="11" t="s">
        <v>5860</v>
      </c>
      <c r="D473" s="12">
        <v>1</v>
      </c>
      <c r="E473" s="22">
        <v>0</v>
      </c>
      <c r="F473" s="12" t="s">
        <v>5852</v>
      </c>
      <c r="G473" s="12" t="s">
        <v>5853</v>
      </c>
      <c r="H473" s="12"/>
      <c r="I473" s="47" t="s">
        <v>3807</v>
      </c>
      <c r="J473" s="224">
        <v>75197</v>
      </c>
    </row>
    <row r="474" spans="1:11">
      <c r="A474" s="348" t="s">
        <v>5863</v>
      </c>
      <c r="B474" s="8">
        <v>285</v>
      </c>
      <c r="C474" s="11" t="s">
        <v>5864</v>
      </c>
      <c r="D474" s="12">
        <v>1</v>
      </c>
      <c r="E474" s="22">
        <v>0</v>
      </c>
      <c r="F474" s="12" t="s">
        <v>5852</v>
      </c>
      <c r="G474" s="12" t="s">
        <v>5853</v>
      </c>
      <c r="H474" s="12"/>
      <c r="I474" s="47" t="s">
        <v>3759</v>
      </c>
      <c r="J474" s="224">
        <v>75202</v>
      </c>
    </row>
    <row r="475" spans="1:11">
      <c r="A475" s="207">
        <v>1667</v>
      </c>
      <c r="B475" s="8">
        <v>2483</v>
      </c>
      <c r="C475" s="11" t="s">
        <v>5858</v>
      </c>
      <c r="D475" s="12">
        <v>1</v>
      </c>
      <c r="E475" s="22">
        <v>0</v>
      </c>
      <c r="F475" s="12" t="s">
        <v>5852</v>
      </c>
      <c r="G475" s="12" t="s">
        <v>5853</v>
      </c>
      <c r="H475" s="12"/>
      <c r="I475" s="47" t="s">
        <v>3759</v>
      </c>
      <c r="J475" s="224">
        <v>75178</v>
      </c>
    </row>
    <row r="476" spans="1:11">
      <c r="A476" s="445">
        <v>1667</v>
      </c>
      <c r="B476" s="34">
        <v>2067</v>
      </c>
      <c r="C476" s="11" t="s">
        <v>5858</v>
      </c>
      <c r="D476" s="12">
        <v>1</v>
      </c>
      <c r="E476" s="22">
        <v>0</v>
      </c>
      <c r="F476" s="12" t="s">
        <v>5852</v>
      </c>
      <c r="G476" s="12" t="s">
        <v>5853</v>
      </c>
      <c r="H476" s="12"/>
      <c r="I476" s="47" t="s">
        <v>3759</v>
      </c>
      <c r="J476" s="224">
        <v>75178</v>
      </c>
    </row>
    <row r="477" spans="1:11">
      <c r="A477" s="445">
        <v>1667</v>
      </c>
      <c r="B477" s="34">
        <v>1546</v>
      </c>
      <c r="C477" s="11" t="s">
        <v>5882</v>
      </c>
      <c r="D477" s="12">
        <v>1</v>
      </c>
      <c r="E477" s="22">
        <v>0</v>
      </c>
      <c r="F477" s="12" t="s">
        <v>5883</v>
      </c>
      <c r="G477" s="12" t="s">
        <v>5884</v>
      </c>
      <c r="H477" s="12"/>
      <c r="I477" s="47" t="s">
        <v>3759</v>
      </c>
      <c r="J477" s="224">
        <v>75178</v>
      </c>
    </row>
    <row r="478" spans="1:11">
      <c r="A478" s="445">
        <v>1667</v>
      </c>
      <c r="B478" s="34">
        <v>2926</v>
      </c>
      <c r="C478" s="11" t="s">
        <v>5882</v>
      </c>
      <c r="D478" s="12">
        <v>1</v>
      </c>
      <c r="E478" s="22">
        <v>0</v>
      </c>
      <c r="F478" s="12" t="s">
        <v>5883</v>
      </c>
      <c r="G478" s="12" t="s">
        <v>5884</v>
      </c>
      <c r="H478" s="12"/>
      <c r="I478" s="47" t="s">
        <v>3759</v>
      </c>
      <c r="J478" s="224">
        <v>75178</v>
      </c>
    </row>
    <row r="479" spans="1:11">
      <c r="A479" s="445" t="s">
        <v>5823</v>
      </c>
      <c r="B479" s="34" t="s">
        <v>5888</v>
      </c>
      <c r="C479" s="11" t="s">
        <v>5889</v>
      </c>
      <c r="D479" s="12">
        <v>1</v>
      </c>
      <c r="E479" s="22">
        <v>0</v>
      </c>
      <c r="F479" s="12" t="s">
        <v>5883</v>
      </c>
      <c r="G479" s="12" t="s">
        <v>5884</v>
      </c>
      <c r="H479" s="12"/>
      <c r="I479" s="47" t="s">
        <v>3759</v>
      </c>
      <c r="J479" s="224">
        <v>75179</v>
      </c>
    </row>
    <row r="480" spans="1:11">
      <c r="A480" s="445">
        <v>1667</v>
      </c>
      <c r="B480" s="34">
        <v>1649</v>
      </c>
      <c r="C480" s="11" t="s">
        <v>5882</v>
      </c>
      <c r="D480" s="12">
        <v>1</v>
      </c>
      <c r="E480" s="22">
        <v>0</v>
      </c>
      <c r="F480" s="12" t="s">
        <v>5928</v>
      </c>
      <c r="G480" s="12" t="s">
        <v>5944</v>
      </c>
      <c r="H480" s="12"/>
      <c r="I480" s="47" t="s">
        <v>3759</v>
      </c>
      <c r="J480" s="224">
        <v>75178</v>
      </c>
    </row>
    <row r="481" spans="1:10">
      <c r="A481" s="445">
        <v>16426</v>
      </c>
      <c r="B481" s="34">
        <v>3584</v>
      </c>
      <c r="C481" s="11" t="s">
        <v>5953</v>
      </c>
      <c r="D481" s="12">
        <v>1</v>
      </c>
      <c r="E481" s="22">
        <v>0</v>
      </c>
      <c r="F481" s="12" t="s">
        <v>5928</v>
      </c>
      <c r="G481" s="12" t="s">
        <v>5944</v>
      </c>
      <c r="H481" s="12"/>
      <c r="I481" s="47" t="s">
        <v>3759</v>
      </c>
      <c r="J481" s="224">
        <v>75189</v>
      </c>
    </row>
    <row r="482" spans="1:10">
      <c r="A482" s="206" t="s">
        <v>5990</v>
      </c>
      <c r="B482" s="34" t="s">
        <v>5991</v>
      </c>
      <c r="C482" s="11" t="s">
        <v>4034</v>
      </c>
      <c r="D482" s="12">
        <v>1</v>
      </c>
      <c r="E482" s="22">
        <v>0</v>
      </c>
      <c r="F482" s="12" t="s">
        <v>5989</v>
      </c>
      <c r="G482" s="12" t="s">
        <v>5811</v>
      </c>
      <c r="H482" s="12"/>
      <c r="I482" s="47" t="s">
        <v>3807</v>
      </c>
      <c r="J482" s="224">
        <v>75192</v>
      </c>
    </row>
    <row r="483" spans="1:10">
      <c r="A483" s="445" t="s">
        <v>5990</v>
      </c>
      <c r="B483" s="34" t="s">
        <v>6017</v>
      </c>
      <c r="C483" s="11" t="s">
        <v>207</v>
      </c>
      <c r="D483" s="12">
        <v>1</v>
      </c>
      <c r="E483" s="12">
        <v>0</v>
      </c>
      <c r="F483" s="12" t="s">
        <v>5918</v>
      </c>
      <c r="G483" s="12" t="s">
        <v>5984</v>
      </c>
      <c r="H483" s="12"/>
      <c r="I483" s="47" t="s">
        <v>3759</v>
      </c>
      <c r="J483" s="224">
        <v>75192</v>
      </c>
    </row>
    <row r="484" spans="1:10">
      <c r="A484" s="445" t="s">
        <v>4707</v>
      </c>
      <c r="B484" s="34">
        <v>6467</v>
      </c>
      <c r="C484" s="11" t="s">
        <v>207</v>
      </c>
      <c r="D484" s="12">
        <v>1</v>
      </c>
      <c r="E484" s="99">
        <v>2</v>
      </c>
      <c r="F484" s="99" t="s">
        <v>5883</v>
      </c>
      <c r="G484" s="99" t="s">
        <v>5984</v>
      </c>
      <c r="H484" s="12"/>
      <c r="I484" s="47" t="s">
        <v>3759</v>
      </c>
      <c r="J484" s="224">
        <v>75192</v>
      </c>
    </row>
    <row r="485" spans="1:10">
      <c r="A485" s="445">
        <v>320115</v>
      </c>
      <c r="B485" s="115" t="s">
        <v>6070</v>
      </c>
      <c r="C485" s="11" t="s">
        <v>6071</v>
      </c>
      <c r="D485" s="12">
        <v>3</v>
      </c>
      <c r="E485" s="23">
        <v>1</v>
      </c>
      <c r="F485" s="29" t="s">
        <v>6072</v>
      </c>
      <c r="G485" s="29" t="s">
        <v>5984</v>
      </c>
      <c r="H485" s="27" t="s">
        <v>6073</v>
      </c>
      <c r="I485" s="47" t="s">
        <v>3807</v>
      </c>
      <c r="J485" s="266" t="s">
        <v>6074</v>
      </c>
    </row>
    <row r="486" spans="1:10">
      <c r="A486" s="348" t="s">
        <v>6106</v>
      </c>
      <c r="B486" s="8">
        <v>4288632</v>
      </c>
      <c r="C486" s="11" t="s">
        <v>6107</v>
      </c>
      <c r="D486" s="12">
        <v>1</v>
      </c>
      <c r="E486" s="22">
        <v>0</v>
      </c>
      <c r="F486" s="12" t="s">
        <v>5810</v>
      </c>
      <c r="G486" s="12" t="s">
        <v>6005</v>
      </c>
      <c r="H486" s="12"/>
      <c r="I486" s="47" t="s">
        <v>6103</v>
      </c>
      <c r="J486" s="356" t="s">
        <v>5936</v>
      </c>
    </row>
    <row r="487" spans="1:10">
      <c r="A487" s="207" t="s">
        <v>4707</v>
      </c>
      <c r="B487" s="8">
        <v>8370</v>
      </c>
      <c r="C487" s="11" t="s">
        <v>5887</v>
      </c>
      <c r="D487" s="12">
        <v>1</v>
      </c>
      <c r="E487" s="100">
        <v>2</v>
      </c>
      <c r="F487" s="99" t="s">
        <v>6184</v>
      </c>
      <c r="G487" s="99" t="s">
        <v>5997</v>
      </c>
      <c r="H487" s="12"/>
      <c r="I487" s="47" t="s">
        <v>3807</v>
      </c>
      <c r="J487" s="224" t="s">
        <v>5936</v>
      </c>
    </row>
    <row r="488" spans="1:10">
      <c r="A488" s="207" t="s">
        <v>5990</v>
      </c>
      <c r="B488" s="8" t="s">
        <v>6193</v>
      </c>
      <c r="C488" s="11" t="s">
        <v>5887</v>
      </c>
      <c r="D488" s="12">
        <v>1</v>
      </c>
      <c r="E488" s="22">
        <v>0</v>
      </c>
      <c r="F488" s="12" t="s">
        <v>6184</v>
      </c>
      <c r="G488" s="12" t="s">
        <v>5997</v>
      </c>
      <c r="H488" s="12"/>
      <c r="I488" s="47" t="s">
        <v>3759</v>
      </c>
      <c r="J488" s="224">
        <v>75192</v>
      </c>
    </row>
    <row r="489" spans="1:10">
      <c r="A489" s="348" t="s">
        <v>4032</v>
      </c>
      <c r="B489" s="8" t="s">
        <v>6230</v>
      </c>
      <c r="C489" s="9" t="s">
        <v>4034</v>
      </c>
      <c r="D489" s="116">
        <v>1</v>
      </c>
      <c r="E489" s="117">
        <v>2</v>
      </c>
      <c r="F489" s="118" t="s">
        <v>6221</v>
      </c>
      <c r="G489" s="118" t="s">
        <v>5905</v>
      </c>
      <c r="H489" s="116"/>
      <c r="I489" s="47" t="s">
        <v>3807</v>
      </c>
      <c r="J489" s="224">
        <v>75185</v>
      </c>
    </row>
    <row r="490" spans="1:10">
      <c r="A490" s="348" t="s">
        <v>6257</v>
      </c>
      <c r="B490" s="8">
        <v>236</v>
      </c>
      <c r="C490" s="9" t="s">
        <v>4307</v>
      </c>
      <c r="D490" s="116">
        <v>1</v>
      </c>
      <c r="E490" s="106">
        <v>0</v>
      </c>
      <c r="F490" s="116" t="s">
        <v>6221</v>
      </c>
      <c r="G490" s="116" t="s">
        <v>5884</v>
      </c>
      <c r="H490" s="116"/>
      <c r="I490" s="47" t="s">
        <v>3807</v>
      </c>
      <c r="J490" s="224" t="s">
        <v>5936</v>
      </c>
    </row>
    <row r="491" spans="1:10">
      <c r="A491" s="348" t="s">
        <v>6346</v>
      </c>
      <c r="B491" s="8" t="s">
        <v>6347</v>
      </c>
      <c r="C491" s="9" t="s">
        <v>4657</v>
      </c>
      <c r="D491" s="116">
        <v>1</v>
      </c>
      <c r="E491" s="106">
        <v>0</v>
      </c>
      <c r="F491" s="116" t="s">
        <v>6299</v>
      </c>
      <c r="G491" s="116" t="s">
        <v>5905</v>
      </c>
      <c r="H491" s="116"/>
      <c r="I491" s="47" t="s">
        <v>3807</v>
      </c>
      <c r="J491" s="224">
        <v>75197</v>
      </c>
    </row>
    <row r="492" spans="1:10" hidden="1">
      <c r="A492" s="207" t="s">
        <v>4707</v>
      </c>
      <c r="B492" s="8" t="s">
        <v>6357</v>
      </c>
      <c r="C492" s="9" t="s">
        <v>207</v>
      </c>
      <c r="D492" s="116">
        <v>1</v>
      </c>
      <c r="E492" s="436">
        <v>2</v>
      </c>
      <c r="F492" s="437" t="s">
        <v>6355</v>
      </c>
      <c r="G492" s="437" t="s">
        <v>5853</v>
      </c>
      <c r="H492" s="116" t="s">
        <v>6356</v>
      </c>
      <c r="I492" s="47" t="s">
        <v>3759</v>
      </c>
      <c r="J492" s="224">
        <v>76918</v>
      </c>
    </row>
    <row r="493" spans="1:10">
      <c r="A493" s="348" t="s">
        <v>6430</v>
      </c>
      <c r="B493" s="9">
        <v>1448</v>
      </c>
      <c r="C493" s="16" t="s">
        <v>207</v>
      </c>
      <c r="D493" s="116">
        <v>1</v>
      </c>
      <c r="E493" s="106">
        <v>0</v>
      </c>
      <c r="F493" s="116" t="s">
        <v>6355</v>
      </c>
      <c r="G493" s="116" t="s">
        <v>6005</v>
      </c>
      <c r="H493" s="116"/>
      <c r="I493" s="47"/>
      <c r="J493" s="224">
        <v>80889</v>
      </c>
    </row>
    <row r="494" spans="1:10">
      <c r="A494" s="416" t="s">
        <v>3952</v>
      </c>
      <c r="B494" s="430">
        <v>2453</v>
      </c>
      <c r="C494" s="434" t="s">
        <v>6448</v>
      </c>
      <c r="D494" s="116">
        <v>1</v>
      </c>
      <c r="E494" s="434">
        <v>0</v>
      </c>
      <c r="F494" s="116" t="s">
        <v>6355</v>
      </c>
      <c r="G494" s="116" t="s">
        <v>5997</v>
      </c>
      <c r="H494" s="106"/>
      <c r="I494" s="47"/>
      <c r="J494" s="224">
        <v>76943</v>
      </c>
    </row>
    <row r="495" spans="1:10">
      <c r="A495" s="416" t="s">
        <v>6468</v>
      </c>
      <c r="B495" s="428" t="s">
        <v>6469</v>
      </c>
      <c r="C495" s="434" t="s">
        <v>6470</v>
      </c>
      <c r="D495" s="116">
        <v>1</v>
      </c>
      <c r="E495" s="106">
        <v>0</v>
      </c>
      <c r="F495" s="116" t="s">
        <v>6373</v>
      </c>
      <c r="G495" s="116" t="s">
        <v>5929</v>
      </c>
      <c r="H495" s="116"/>
      <c r="I495" s="47"/>
      <c r="J495" s="224">
        <v>81091</v>
      </c>
    </row>
    <row r="496" spans="1:10">
      <c r="A496" s="416" t="s">
        <v>6471</v>
      </c>
      <c r="B496" s="430">
        <v>190</v>
      </c>
      <c r="C496" s="434" t="s">
        <v>6472</v>
      </c>
      <c r="D496" s="116">
        <v>1</v>
      </c>
      <c r="E496" s="106">
        <v>0</v>
      </c>
      <c r="F496" s="116" t="s">
        <v>6373</v>
      </c>
      <c r="G496" s="116" t="s">
        <v>5929</v>
      </c>
      <c r="H496" s="116"/>
      <c r="I496" s="47"/>
      <c r="J496" s="224">
        <v>81091</v>
      </c>
    </row>
    <row r="497" spans="1:11">
      <c r="A497" s="348" t="s">
        <v>6587</v>
      </c>
      <c r="B497" s="8" t="s">
        <v>3748</v>
      </c>
      <c r="C497" s="7" t="s">
        <v>6588</v>
      </c>
      <c r="D497" s="116">
        <v>1</v>
      </c>
      <c r="E497" s="106">
        <v>0</v>
      </c>
      <c r="F497" s="116" t="s">
        <v>6221</v>
      </c>
      <c r="G497" s="116" t="s">
        <v>5984</v>
      </c>
      <c r="H497" s="116"/>
      <c r="I497" s="47" t="s">
        <v>3759</v>
      </c>
      <c r="J497" s="224">
        <v>80245</v>
      </c>
    </row>
    <row r="498" spans="1:11">
      <c r="A498" s="336" t="s">
        <v>5945</v>
      </c>
      <c r="B498" s="8">
        <v>88107936</v>
      </c>
      <c r="C498" s="9" t="s">
        <v>5946</v>
      </c>
      <c r="D498" s="116">
        <v>1</v>
      </c>
      <c r="E498" s="116">
        <v>0</v>
      </c>
      <c r="F498" s="116" t="s">
        <v>5918</v>
      </c>
      <c r="G498" s="116" t="s">
        <v>5944</v>
      </c>
      <c r="H498" s="116"/>
      <c r="I498" s="47" t="s">
        <v>3759</v>
      </c>
      <c r="J498" s="224">
        <v>75207</v>
      </c>
    </row>
    <row r="499" spans="1:11">
      <c r="A499" s="336" t="s">
        <v>5959</v>
      </c>
      <c r="B499" s="8">
        <v>79010368</v>
      </c>
      <c r="C499" s="9" t="s">
        <v>5960</v>
      </c>
      <c r="D499" s="116">
        <v>1</v>
      </c>
      <c r="E499" s="106">
        <v>0</v>
      </c>
      <c r="F499" s="116" t="s">
        <v>5918</v>
      </c>
      <c r="G499" s="116" t="s">
        <v>5905</v>
      </c>
      <c r="H499" s="116"/>
      <c r="I499" s="47" t="s">
        <v>3759</v>
      </c>
      <c r="J499" s="224">
        <v>75207</v>
      </c>
    </row>
    <row r="500" spans="1:11">
      <c r="A500" s="344" t="s">
        <v>5959</v>
      </c>
      <c r="B500" s="8">
        <v>8023199</v>
      </c>
      <c r="C500" s="9" t="s">
        <v>5960</v>
      </c>
      <c r="D500" s="116">
        <v>1</v>
      </c>
      <c r="E500" s="106">
        <v>0</v>
      </c>
      <c r="F500" s="116" t="s">
        <v>5918</v>
      </c>
      <c r="G500" s="116" t="s">
        <v>5905</v>
      </c>
      <c r="H500" s="116"/>
      <c r="I500" s="47" t="s">
        <v>3759</v>
      </c>
      <c r="J500" s="224">
        <v>75207</v>
      </c>
    </row>
    <row r="501" spans="1:11">
      <c r="A501" s="336" t="s">
        <v>5987</v>
      </c>
      <c r="B501" s="8">
        <v>1093</v>
      </c>
      <c r="C501" s="9" t="s">
        <v>5988</v>
      </c>
      <c r="D501" s="116">
        <v>1</v>
      </c>
      <c r="E501" s="106">
        <v>0</v>
      </c>
      <c r="F501" s="116" t="s">
        <v>5989</v>
      </c>
      <c r="G501" s="116" t="s">
        <v>5811</v>
      </c>
      <c r="H501" s="116"/>
      <c r="I501" s="47" t="s">
        <v>3759</v>
      </c>
      <c r="J501" s="224">
        <v>75192</v>
      </c>
    </row>
    <row r="502" spans="1:11">
      <c r="A502" s="336" t="s">
        <v>5987</v>
      </c>
      <c r="B502" s="8">
        <v>768</v>
      </c>
      <c r="C502" s="9" t="s">
        <v>5887</v>
      </c>
      <c r="D502" s="116">
        <v>1</v>
      </c>
      <c r="E502" s="116">
        <v>0</v>
      </c>
      <c r="F502" s="116" t="s">
        <v>5989</v>
      </c>
      <c r="G502" s="116" t="s">
        <v>6005</v>
      </c>
      <c r="H502" s="116"/>
      <c r="I502" s="47" t="s">
        <v>3759</v>
      </c>
      <c r="J502" s="224">
        <v>75192</v>
      </c>
    </row>
    <row r="503" spans="1:11">
      <c r="A503" s="336" t="s">
        <v>4335</v>
      </c>
      <c r="B503" s="8">
        <v>195</v>
      </c>
      <c r="C503" s="11" t="s">
        <v>4247</v>
      </c>
      <c r="D503" s="12">
        <v>1</v>
      </c>
      <c r="E503" s="22">
        <v>0</v>
      </c>
      <c r="F503" s="12" t="s">
        <v>5883</v>
      </c>
      <c r="G503" s="12" t="s">
        <v>5944</v>
      </c>
      <c r="H503" s="12"/>
      <c r="I503" s="47" t="s">
        <v>3807</v>
      </c>
      <c r="J503" s="356" t="s">
        <v>5936</v>
      </c>
    </row>
    <row r="504" spans="1:11">
      <c r="A504" s="336" t="s">
        <v>6061</v>
      </c>
      <c r="B504" s="8">
        <v>438</v>
      </c>
      <c r="C504" s="11" t="s">
        <v>4247</v>
      </c>
      <c r="D504" s="12">
        <v>1</v>
      </c>
      <c r="E504" s="22">
        <v>0</v>
      </c>
      <c r="F504" s="12" t="s">
        <v>5883</v>
      </c>
      <c r="G504" s="12" t="s">
        <v>5944</v>
      </c>
      <c r="H504" s="12"/>
      <c r="I504" s="47" t="s">
        <v>3759</v>
      </c>
      <c r="J504" s="224">
        <v>77710</v>
      </c>
    </row>
    <row r="505" spans="1:11" s="102" customFormat="1">
      <c r="A505" s="447" t="s">
        <v>6091</v>
      </c>
      <c r="B505" s="34">
        <v>1262</v>
      </c>
      <c r="C505" s="11" t="s">
        <v>6092</v>
      </c>
      <c r="D505" s="12">
        <v>1</v>
      </c>
      <c r="E505" s="22">
        <v>0</v>
      </c>
      <c r="F505" s="12" t="s">
        <v>6072</v>
      </c>
      <c r="G505" s="12" t="s">
        <v>5884</v>
      </c>
      <c r="H505" s="12"/>
      <c r="I505" s="47" t="s">
        <v>3807</v>
      </c>
      <c r="J505" s="356" t="s">
        <v>6093</v>
      </c>
      <c r="K505" s="103"/>
    </row>
    <row r="506" spans="1:11">
      <c r="A506" s="447" t="s">
        <v>4361</v>
      </c>
      <c r="B506" s="115" t="s">
        <v>6094</v>
      </c>
      <c r="C506" s="11" t="s">
        <v>3789</v>
      </c>
      <c r="D506" s="12">
        <v>2</v>
      </c>
      <c r="E506" s="23">
        <v>6</v>
      </c>
      <c r="F506" s="29" t="s">
        <v>6072</v>
      </c>
      <c r="G506" s="29" t="s">
        <v>5884</v>
      </c>
      <c r="H506" s="12"/>
      <c r="I506" s="47" t="s">
        <v>5829</v>
      </c>
      <c r="J506" s="224">
        <v>79875</v>
      </c>
    </row>
    <row r="507" spans="1:11">
      <c r="A507" s="344" t="s">
        <v>5987</v>
      </c>
      <c r="B507" s="8">
        <v>281</v>
      </c>
      <c r="C507" s="11" t="s">
        <v>4709</v>
      </c>
      <c r="D507" s="12">
        <v>1</v>
      </c>
      <c r="E507" s="22">
        <v>0</v>
      </c>
      <c r="F507" s="12" t="s">
        <v>5852</v>
      </c>
      <c r="G507" s="12" t="s">
        <v>5997</v>
      </c>
      <c r="H507" s="12"/>
      <c r="I507" s="47" t="s">
        <v>3759</v>
      </c>
      <c r="J507" s="224">
        <v>75192</v>
      </c>
    </row>
    <row r="508" spans="1:11">
      <c r="A508" s="336" t="s">
        <v>4408</v>
      </c>
      <c r="B508" s="8" t="s">
        <v>3748</v>
      </c>
      <c r="C508" s="11" t="s">
        <v>4410</v>
      </c>
      <c r="D508" s="12">
        <v>1</v>
      </c>
      <c r="E508" s="29">
        <v>2</v>
      </c>
      <c r="F508" s="29" t="s">
        <v>6184</v>
      </c>
      <c r="G508" s="29" t="s">
        <v>5811</v>
      </c>
      <c r="H508" s="12"/>
      <c r="I508" s="47" t="s">
        <v>3807</v>
      </c>
      <c r="J508" s="356" t="s">
        <v>5936</v>
      </c>
    </row>
    <row r="509" spans="1:11">
      <c r="A509" s="336" t="s">
        <v>6228</v>
      </c>
      <c r="B509" s="8" t="s">
        <v>6229</v>
      </c>
      <c r="C509" s="11" t="s">
        <v>6059</v>
      </c>
      <c r="D509" s="12">
        <v>1</v>
      </c>
      <c r="E509" s="12">
        <v>0</v>
      </c>
      <c r="F509" s="12" t="s">
        <v>6221</v>
      </c>
      <c r="G509" s="12" t="s">
        <v>5944</v>
      </c>
      <c r="H509" s="12"/>
      <c r="I509" s="47" t="s">
        <v>3759</v>
      </c>
      <c r="J509" s="224">
        <v>76846</v>
      </c>
    </row>
    <row r="510" spans="1:11">
      <c r="A510" s="336" t="s">
        <v>6240</v>
      </c>
      <c r="B510" s="8" t="s">
        <v>6241</v>
      </c>
      <c r="C510" s="11" t="s">
        <v>4247</v>
      </c>
      <c r="D510" s="12">
        <v>1</v>
      </c>
      <c r="E510" s="22">
        <v>0</v>
      </c>
      <c r="F510" s="12" t="s">
        <v>6221</v>
      </c>
      <c r="G510" s="12" t="s">
        <v>5884</v>
      </c>
      <c r="H510" s="12"/>
      <c r="I510" s="47" t="s">
        <v>3759</v>
      </c>
      <c r="J510" s="224">
        <v>75776</v>
      </c>
    </row>
    <row r="511" spans="1:11">
      <c r="A511" s="344">
        <v>2588838</v>
      </c>
      <c r="B511" s="8">
        <v>81116153</v>
      </c>
      <c r="C511" s="11" t="s">
        <v>5831</v>
      </c>
      <c r="D511" s="12">
        <v>1</v>
      </c>
      <c r="E511" s="22">
        <v>0</v>
      </c>
      <c r="F511" s="12" t="s">
        <v>6221</v>
      </c>
      <c r="G511" s="12" t="s">
        <v>5884</v>
      </c>
      <c r="H511" s="12"/>
      <c r="I511" s="47" t="s">
        <v>3759</v>
      </c>
      <c r="J511" s="224">
        <v>75234</v>
      </c>
    </row>
    <row r="512" spans="1:11">
      <c r="A512" s="336" t="s">
        <v>6331</v>
      </c>
      <c r="B512" s="8">
        <v>5424</v>
      </c>
      <c r="C512" s="11" t="s">
        <v>6332</v>
      </c>
      <c r="D512" s="12">
        <v>1</v>
      </c>
      <c r="E512" s="22">
        <v>0</v>
      </c>
      <c r="F512" s="12" t="s">
        <v>6320</v>
      </c>
      <c r="G512" s="12" t="s">
        <v>6005</v>
      </c>
      <c r="H512" s="12"/>
      <c r="I512" s="47" t="s">
        <v>3759</v>
      </c>
      <c r="J512" s="224">
        <v>76906</v>
      </c>
    </row>
    <row r="513" spans="1:10">
      <c r="A513" s="336" t="s">
        <v>6333</v>
      </c>
      <c r="B513" s="8" t="s">
        <v>6334</v>
      </c>
      <c r="C513" s="11" t="s">
        <v>6335</v>
      </c>
      <c r="D513" s="12">
        <v>1</v>
      </c>
      <c r="E513" s="22">
        <v>0</v>
      </c>
      <c r="F513" s="12" t="s">
        <v>6320</v>
      </c>
      <c r="G513" s="12" t="s">
        <v>6005</v>
      </c>
      <c r="H513" s="12"/>
      <c r="I513" s="47" t="s">
        <v>3759</v>
      </c>
      <c r="J513" s="224">
        <v>76906</v>
      </c>
    </row>
    <row r="514" spans="1:10">
      <c r="A514" s="420" t="s">
        <v>3265</v>
      </c>
      <c r="B514" s="429">
        <v>83858</v>
      </c>
      <c r="C514" s="203" t="s">
        <v>4140</v>
      </c>
      <c r="D514" s="12">
        <v>1</v>
      </c>
      <c r="E514" s="166">
        <v>1</v>
      </c>
      <c r="F514" s="12" t="s">
        <v>6355</v>
      </c>
      <c r="G514" s="12" t="s">
        <v>5997</v>
      </c>
      <c r="H514" s="22"/>
      <c r="I514" s="47"/>
      <c r="J514" s="224" t="s">
        <v>6431</v>
      </c>
    </row>
    <row r="515" spans="1:10">
      <c r="A515" s="420">
        <v>26405</v>
      </c>
      <c r="B515" s="429">
        <v>42596</v>
      </c>
      <c r="C515" s="239" t="s">
        <v>6452</v>
      </c>
      <c r="D515" s="116">
        <v>1</v>
      </c>
      <c r="E515" s="434">
        <v>1</v>
      </c>
      <c r="F515" s="116" t="s">
        <v>6355</v>
      </c>
      <c r="G515" s="116" t="s">
        <v>5997</v>
      </c>
      <c r="H515" s="106"/>
      <c r="I515" s="47"/>
      <c r="J515" s="224" t="s">
        <v>6431</v>
      </c>
    </row>
    <row r="516" spans="1:10">
      <c r="A516" s="336" t="s">
        <v>5945</v>
      </c>
      <c r="B516" s="8">
        <v>127455</v>
      </c>
      <c r="C516" s="9" t="s">
        <v>6573</v>
      </c>
      <c r="D516" s="116">
        <v>1</v>
      </c>
      <c r="E516" s="106">
        <v>0</v>
      </c>
      <c r="F516" s="116" t="s">
        <v>6267</v>
      </c>
      <c r="G516" s="116" t="s">
        <v>6005</v>
      </c>
      <c r="H516" s="116"/>
      <c r="I516" s="47" t="s">
        <v>3759</v>
      </c>
      <c r="J516" s="224">
        <v>75190</v>
      </c>
    </row>
    <row r="517" spans="1:10">
      <c r="A517" s="336" t="s">
        <v>6586</v>
      </c>
      <c r="B517" s="8" t="s">
        <v>3748</v>
      </c>
      <c r="C517" s="9" t="s">
        <v>4558</v>
      </c>
      <c r="D517" s="116">
        <v>1</v>
      </c>
      <c r="E517" s="106">
        <v>0</v>
      </c>
      <c r="F517" s="116" t="s">
        <v>6221</v>
      </c>
      <c r="G517" s="116" t="s">
        <v>5984</v>
      </c>
      <c r="H517" s="116"/>
      <c r="I517" s="47" t="s">
        <v>3759</v>
      </c>
      <c r="J517" s="224">
        <v>80245</v>
      </c>
    </row>
    <row r="518" spans="1:10">
      <c r="A518" s="336" t="s">
        <v>6065</v>
      </c>
      <c r="B518" s="8">
        <v>1326</v>
      </c>
      <c r="C518" s="9" t="s">
        <v>418</v>
      </c>
      <c r="D518" s="116">
        <v>1</v>
      </c>
      <c r="E518" s="106">
        <v>0</v>
      </c>
      <c r="F518" s="116" t="s">
        <v>6462</v>
      </c>
      <c r="G518" s="116" t="s">
        <v>5929</v>
      </c>
      <c r="H518" s="116"/>
      <c r="I518" s="47" t="s">
        <v>3759</v>
      </c>
      <c r="J518" s="224">
        <v>80821</v>
      </c>
    </row>
    <row r="519" spans="1:10">
      <c r="A519" s="425" t="s">
        <v>6628</v>
      </c>
      <c r="B519" s="428" t="s">
        <v>6629</v>
      </c>
      <c r="C519" s="434" t="s">
        <v>6630</v>
      </c>
      <c r="D519" s="116">
        <v>1</v>
      </c>
      <c r="E519" s="106">
        <v>0</v>
      </c>
      <c r="F519" s="106" t="s">
        <v>6617</v>
      </c>
      <c r="G519" s="116" t="s">
        <v>5853</v>
      </c>
      <c r="H519" s="116"/>
      <c r="I519" s="47"/>
      <c r="J519" s="224">
        <v>81091</v>
      </c>
    </row>
    <row r="520" spans="1:10">
      <c r="A520" s="425" t="s">
        <v>6631</v>
      </c>
      <c r="B520" s="428" t="s">
        <v>6632</v>
      </c>
      <c r="C520" s="434" t="s">
        <v>6244</v>
      </c>
      <c r="D520" s="116">
        <v>1</v>
      </c>
      <c r="E520" s="106">
        <v>0</v>
      </c>
      <c r="F520" s="106" t="s">
        <v>6617</v>
      </c>
      <c r="G520" s="116" t="s">
        <v>5853</v>
      </c>
      <c r="H520" s="116"/>
      <c r="I520" s="47"/>
      <c r="J520" s="224">
        <v>81091</v>
      </c>
    </row>
    <row r="521" spans="1:10">
      <c r="A521" s="362" t="s">
        <v>5808</v>
      </c>
      <c r="B521" s="8">
        <v>5232</v>
      </c>
      <c r="C521" s="9" t="s">
        <v>5809</v>
      </c>
      <c r="D521" s="116">
        <v>1</v>
      </c>
      <c r="E521" s="106">
        <v>0</v>
      </c>
      <c r="F521" s="116" t="s">
        <v>5810</v>
      </c>
      <c r="G521" s="116" t="s">
        <v>5811</v>
      </c>
      <c r="H521" s="116"/>
      <c r="I521" s="47" t="s">
        <v>3807</v>
      </c>
      <c r="J521" s="224">
        <v>75187</v>
      </c>
    </row>
    <row r="522" spans="1:10">
      <c r="A522" s="366" t="s">
        <v>5845</v>
      </c>
      <c r="B522" s="8" t="s">
        <v>5893</v>
      </c>
      <c r="C522" s="9" t="s">
        <v>2205</v>
      </c>
      <c r="D522" s="116">
        <v>1</v>
      </c>
      <c r="E522" s="106">
        <v>0</v>
      </c>
      <c r="F522" s="116" t="s">
        <v>5883</v>
      </c>
      <c r="G522" s="116" t="s">
        <v>5884</v>
      </c>
      <c r="H522" s="116"/>
      <c r="I522" s="47" t="s">
        <v>3759</v>
      </c>
      <c r="J522" s="224">
        <v>75180</v>
      </c>
    </row>
    <row r="523" spans="1:10">
      <c r="A523" s="362" t="s">
        <v>4052</v>
      </c>
      <c r="B523" s="8">
        <v>9312</v>
      </c>
      <c r="C523" s="9" t="s">
        <v>4657</v>
      </c>
      <c r="D523" s="116">
        <v>1</v>
      </c>
      <c r="E523" s="436">
        <v>1</v>
      </c>
      <c r="F523" s="437" t="s">
        <v>5883</v>
      </c>
      <c r="G523" s="437" t="s">
        <v>5884</v>
      </c>
      <c r="H523" s="437"/>
      <c r="I523" s="47" t="s">
        <v>3759</v>
      </c>
      <c r="J523" s="224">
        <v>75197</v>
      </c>
    </row>
    <row r="524" spans="1:10">
      <c r="A524" s="362" t="s">
        <v>5904</v>
      </c>
      <c r="B524" s="8">
        <v>29118</v>
      </c>
      <c r="C524" s="11" t="s">
        <v>4657</v>
      </c>
      <c r="D524" s="12">
        <v>1</v>
      </c>
      <c r="E524" s="22">
        <v>0</v>
      </c>
      <c r="F524" s="12" t="s">
        <v>5883</v>
      </c>
      <c r="G524" s="12" t="s">
        <v>5884</v>
      </c>
      <c r="H524" s="12"/>
      <c r="I524" s="47" t="s">
        <v>3759</v>
      </c>
      <c r="J524" s="224">
        <v>75197</v>
      </c>
    </row>
    <row r="525" spans="1:10">
      <c r="A525" s="362" t="s">
        <v>5906</v>
      </c>
      <c r="B525" s="8">
        <v>59364</v>
      </c>
      <c r="C525" s="11" t="s">
        <v>207</v>
      </c>
      <c r="D525" s="12">
        <v>1</v>
      </c>
      <c r="E525" s="22">
        <v>0</v>
      </c>
      <c r="F525" s="12" t="s">
        <v>5883</v>
      </c>
      <c r="G525" s="12" t="s">
        <v>5905</v>
      </c>
      <c r="H525" s="12"/>
      <c r="I525" s="47" t="s">
        <v>3759</v>
      </c>
      <c r="J525" s="224">
        <v>75193</v>
      </c>
    </row>
    <row r="526" spans="1:10">
      <c r="A526" s="366" t="s">
        <v>5845</v>
      </c>
      <c r="B526" s="13" t="s">
        <v>5938</v>
      </c>
      <c r="C526" s="11" t="s">
        <v>2205</v>
      </c>
      <c r="D526" s="12">
        <v>1</v>
      </c>
      <c r="E526" s="12">
        <v>0</v>
      </c>
      <c r="F526" s="98" t="s">
        <v>5928</v>
      </c>
      <c r="G526" s="12" t="s">
        <v>5929</v>
      </c>
      <c r="H526" s="12"/>
      <c r="I526" s="47" t="s">
        <v>3807</v>
      </c>
      <c r="J526" s="224">
        <v>75180</v>
      </c>
    </row>
    <row r="527" spans="1:10">
      <c r="A527" s="367" t="s">
        <v>5845</v>
      </c>
      <c r="B527" s="8" t="s">
        <v>5940</v>
      </c>
      <c r="C527" s="11" t="s">
        <v>2205</v>
      </c>
      <c r="D527" s="12">
        <v>1</v>
      </c>
      <c r="E527" s="12">
        <v>0</v>
      </c>
      <c r="F527" s="98" t="s">
        <v>5928</v>
      </c>
      <c r="G527" s="12" t="s">
        <v>5929</v>
      </c>
      <c r="H527" s="12"/>
      <c r="I527" s="47" t="s">
        <v>3759</v>
      </c>
      <c r="J527" s="224">
        <v>75180</v>
      </c>
    </row>
    <row r="528" spans="1:10">
      <c r="A528" s="366" t="s">
        <v>5845</v>
      </c>
      <c r="B528" s="8" t="s">
        <v>5952</v>
      </c>
      <c r="C528" s="11" t="s">
        <v>2205</v>
      </c>
      <c r="D528" s="12">
        <v>1</v>
      </c>
      <c r="E528" s="22">
        <v>0</v>
      </c>
      <c r="F528" s="12" t="s">
        <v>5928</v>
      </c>
      <c r="G528" s="12" t="s">
        <v>5944</v>
      </c>
      <c r="H528" s="12"/>
      <c r="I528" s="47" t="s">
        <v>3759</v>
      </c>
      <c r="J528" s="224">
        <v>75180</v>
      </c>
    </row>
    <row r="529" spans="1:11">
      <c r="A529" s="367" t="s">
        <v>5954</v>
      </c>
      <c r="B529" s="8" t="s">
        <v>5955</v>
      </c>
      <c r="C529" s="11" t="s">
        <v>2205</v>
      </c>
      <c r="D529" s="12">
        <v>1</v>
      </c>
      <c r="E529" s="22">
        <v>0</v>
      </c>
      <c r="F529" s="12" t="s">
        <v>5928</v>
      </c>
      <c r="G529" s="12" t="s">
        <v>5944</v>
      </c>
      <c r="H529" s="12"/>
      <c r="I529" s="47" t="s">
        <v>3807</v>
      </c>
      <c r="J529" s="224">
        <v>75176</v>
      </c>
    </row>
    <row r="530" spans="1:11">
      <c r="A530" s="419" t="s">
        <v>6053</v>
      </c>
      <c r="B530" s="34">
        <v>15066</v>
      </c>
      <c r="C530" s="11" t="s">
        <v>6054</v>
      </c>
      <c r="D530" s="12">
        <v>1</v>
      </c>
      <c r="E530" s="20">
        <v>0</v>
      </c>
      <c r="F530" s="12" t="s">
        <v>5883</v>
      </c>
      <c r="G530" s="12" t="s">
        <v>6005</v>
      </c>
      <c r="H530" s="12"/>
      <c r="I530" s="47" t="s">
        <v>3807</v>
      </c>
      <c r="J530" s="356" t="s">
        <v>5936</v>
      </c>
    </row>
    <row r="531" spans="1:11" ht="43.2">
      <c r="A531" s="448" t="s">
        <v>6066</v>
      </c>
      <c r="B531" s="130" t="s">
        <v>6067</v>
      </c>
      <c r="C531" s="15" t="s">
        <v>3939</v>
      </c>
      <c r="D531" s="30">
        <v>9</v>
      </c>
      <c r="E531" s="31">
        <v>0</v>
      </c>
      <c r="F531" s="30" t="s">
        <v>5883</v>
      </c>
      <c r="G531" s="30" t="s">
        <v>5944</v>
      </c>
      <c r="H531" s="30"/>
      <c r="I531" s="48" t="s">
        <v>6068</v>
      </c>
      <c r="J531" s="226" t="s">
        <v>6069</v>
      </c>
      <c r="K531" s="102"/>
    </row>
    <row r="532" spans="1:11">
      <c r="A532" s="419" t="s">
        <v>6101</v>
      </c>
      <c r="B532" s="34">
        <v>98328756</v>
      </c>
      <c r="C532" s="11" t="s">
        <v>6102</v>
      </c>
      <c r="D532" s="12">
        <v>1</v>
      </c>
      <c r="E532" s="22">
        <v>0</v>
      </c>
      <c r="F532" s="12" t="s">
        <v>5810</v>
      </c>
      <c r="G532" s="12" t="s">
        <v>6005</v>
      </c>
      <c r="H532" s="12"/>
      <c r="I532" s="47" t="s">
        <v>6103</v>
      </c>
      <c r="J532" s="356" t="s">
        <v>5936</v>
      </c>
    </row>
    <row r="533" spans="1:11">
      <c r="A533" s="419" t="s">
        <v>6185</v>
      </c>
      <c r="B533" s="34" t="s">
        <v>6186</v>
      </c>
      <c r="C533" s="11" t="s">
        <v>5887</v>
      </c>
      <c r="D533" s="12">
        <v>1</v>
      </c>
      <c r="E533" s="22">
        <v>0</v>
      </c>
      <c r="F533" s="12" t="s">
        <v>6184</v>
      </c>
      <c r="G533" s="12" t="s">
        <v>5997</v>
      </c>
      <c r="H533" s="12"/>
      <c r="I533" s="47" t="s">
        <v>3807</v>
      </c>
      <c r="J533" s="356" t="s">
        <v>5936</v>
      </c>
    </row>
    <row r="534" spans="1:11">
      <c r="A534" s="419" t="s">
        <v>6199</v>
      </c>
      <c r="B534" s="34">
        <v>76804</v>
      </c>
      <c r="C534" s="11" t="s">
        <v>6200</v>
      </c>
      <c r="D534" s="12">
        <v>1</v>
      </c>
      <c r="E534" s="12">
        <v>0</v>
      </c>
      <c r="F534" s="12" t="s">
        <v>6166</v>
      </c>
      <c r="G534" s="12" t="s">
        <v>5884</v>
      </c>
      <c r="H534" s="12"/>
      <c r="I534" s="47" t="s">
        <v>3807</v>
      </c>
      <c r="J534" s="224">
        <v>75181</v>
      </c>
    </row>
    <row r="535" spans="1:11">
      <c r="A535" s="419" t="s">
        <v>6101</v>
      </c>
      <c r="B535" s="34" t="s">
        <v>6212</v>
      </c>
      <c r="C535" s="11" t="s">
        <v>3775</v>
      </c>
      <c r="D535" s="12">
        <v>1</v>
      </c>
      <c r="E535" s="12">
        <v>0</v>
      </c>
      <c r="F535" s="12" t="s">
        <v>6184</v>
      </c>
      <c r="G535" s="12" t="s">
        <v>5853</v>
      </c>
      <c r="H535" s="12"/>
      <c r="I535" s="47" t="s">
        <v>3807</v>
      </c>
      <c r="J535" s="224">
        <v>76846</v>
      </c>
    </row>
    <row r="536" spans="1:11">
      <c r="A536" s="422">
        <v>129475</v>
      </c>
      <c r="B536" s="34" t="s">
        <v>6232</v>
      </c>
      <c r="C536" s="11" t="s">
        <v>4838</v>
      </c>
      <c r="D536" s="12">
        <v>1</v>
      </c>
      <c r="E536" s="22">
        <v>0</v>
      </c>
      <c r="F536" s="12" t="s">
        <v>6221</v>
      </c>
      <c r="G536" s="12" t="s">
        <v>5905</v>
      </c>
      <c r="H536" s="12"/>
      <c r="I536" s="47" t="s">
        <v>3759</v>
      </c>
      <c r="J536" s="224">
        <v>75776</v>
      </c>
    </row>
    <row r="537" spans="1:11">
      <c r="A537" s="419" t="s">
        <v>6237</v>
      </c>
      <c r="B537" s="34">
        <v>284</v>
      </c>
      <c r="C537" s="11" t="s">
        <v>6238</v>
      </c>
      <c r="D537" s="12">
        <v>1</v>
      </c>
      <c r="E537" s="22">
        <v>0</v>
      </c>
      <c r="F537" s="12" t="s">
        <v>6221</v>
      </c>
      <c r="G537" s="12" t="s">
        <v>5884</v>
      </c>
      <c r="H537" s="265" t="s">
        <v>6239</v>
      </c>
      <c r="I537" s="47" t="s">
        <v>3807</v>
      </c>
      <c r="J537" s="224">
        <v>76799</v>
      </c>
    </row>
    <row r="538" spans="1:11">
      <c r="A538" s="360" t="s">
        <v>3879</v>
      </c>
      <c r="B538" s="358" t="s">
        <v>6274</v>
      </c>
      <c r="C538" s="357" t="s">
        <v>3880</v>
      </c>
      <c r="D538" s="3">
        <v>1</v>
      </c>
      <c r="E538" s="22">
        <v>0</v>
      </c>
      <c r="F538" s="12" t="s">
        <v>6267</v>
      </c>
      <c r="G538" s="12" t="s">
        <v>5811</v>
      </c>
      <c r="H538" s="12"/>
      <c r="I538" s="47"/>
      <c r="J538" s="224">
        <v>81709</v>
      </c>
    </row>
    <row r="539" spans="1:11">
      <c r="A539" s="360" t="s">
        <v>6280</v>
      </c>
      <c r="B539" s="358" t="s">
        <v>3748</v>
      </c>
      <c r="C539" s="357" t="s">
        <v>6281</v>
      </c>
      <c r="D539" s="3">
        <v>1</v>
      </c>
      <c r="E539" s="22">
        <v>0</v>
      </c>
      <c r="F539" s="12" t="s">
        <v>6267</v>
      </c>
      <c r="G539" s="12" t="s">
        <v>5811</v>
      </c>
      <c r="H539" s="12"/>
      <c r="I539" s="47"/>
      <c r="J539" s="224">
        <v>81709</v>
      </c>
    </row>
    <row r="540" spans="1:11">
      <c r="A540" s="285" t="s">
        <v>6358</v>
      </c>
      <c r="B540" s="285" t="s">
        <v>3748</v>
      </c>
      <c r="C540" s="418" t="s">
        <v>6359</v>
      </c>
      <c r="D540" s="287">
        <v>1</v>
      </c>
      <c r="E540" s="287"/>
      <c r="F540" s="287" t="s">
        <v>6355</v>
      </c>
      <c r="G540" s="287" t="s">
        <v>5853</v>
      </c>
      <c r="H540" s="287" t="s">
        <v>6360</v>
      </c>
      <c r="I540" s="47"/>
    </row>
    <row r="541" spans="1:11">
      <c r="A541" s="285" t="s">
        <v>6361</v>
      </c>
      <c r="B541" s="285" t="s">
        <v>3748</v>
      </c>
      <c r="C541" s="418" t="s">
        <v>6362</v>
      </c>
      <c r="D541" s="287">
        <v>1</v>
      </c>
      <c r="E541" s="287"/>
      <c r="F541" s="287" t="s">
        <v>6355</v>
      </c>
      <c r="G541" s="287" t="s">
        <v>5853</v>
      </c>
      <c r="H541" s="287" t="s">
        <v>6360</v>
      </c>
      <c r="I541" s="47"/>
    </row>
    <row r="542" spans="1:11">
      <c r="A542" s="285" t="s">
        <v>6363</v>
      </c>
      <c r="B542" s="285">
        <v>3291</v>
      </c>
      <c r="C542" s="418" t="s">
        <v>6364</v>
      </c>
      <c r="D542" s="287">
        <v>1</v>
      </c>
      <c r="E542" s="287"/>
      <c r="F542" s="287" t="s">
        <v>6355</v>
      </c>
      <c r="G542" s="287" t="s">
        <v>5853</v>
      </c>
      <c r="H542" s="287" t="s">
        <v>6360</v>
      </c>
      <c r="I542" s="47"/>
    </row>
    <row r="543" spans="1:11">
      <c r="A543" s="285" t="s">
        <v>6365</v>
      </c>
      <c r="B543" s="285" t="s">
        <v>6366</v>
      </c>
      <c r="C543" s="418" t="s">
        <v>5306</v>
      </c>
      <c r="D543" s="287">
        <v>1</v>
      </c>
      <c r="E543" s="287"/>
      <c r="F543" s="287" t="s">
        <v>6355</v>
      </c>
      <c r="G543" s="287" t="s">
        <v>5853</v>
      </c>
      <c r="H543" s="287" t="s">
        <v>6360</v>
      </c>
      <c r="I543" s="47"/>
    </row>
    <row r="544" spans="1:11">
      <c r="A544" s="285" t="s">
        <v>4861</v>
      </c>
      <c r="B544" s="285" t="s">
        <v>6367</v>
      </c>
      <c r="C544" s="418" t="s">
        <v>4645</v>
      </c>
      <c r="D544" s="287">
        <v>1</v>
      </c>
      <c r="E544" s="287"/>
      <c r="F544" s="287" t="s">
        <v>6355</v>
      </c>
      <c r="G544" s="287" t="s">
        <v>5853</v>
      </c>
      <c r="H544" s="287" t="s">
        <v>6360</v>
      </c>
      <c r="I544" s="47"/>
    </row>
    <row r="545" spans="1:9">
      <c r="A545" s="285" t="s">
        <v>6368</v>
      </c>
      <c r="B545" s="285" t="s">
        <v>6369</v>
      </c>
      <c r="C545" s="418" t="s">
        <v>6370</v>
      </c>
      <c r="D545" s="287">
        <v>1</v>
      </c>
      <c r="E545" s="287"/>
      <c r="F545" s="287" t="s">
        <v>6355</v>
      </c>
      <c r="G545" s="287" t="s">
        <v>5853</v>
      </c>
      <c r="H545" s="287" t="s">
        <v>6360</v>
      </c>
      <c r="I545" s="47"/>
    </row>
    <row r="546" spans="1:9">
      <c r="A546" s="285" t="s">
        <v>6377</v>
      </c>
      <c r="B546" s="286" t="s">
        <v>3748</v>
      </c>
      <c r="C546" s="433" t="s">
        <v>6378</v>
      </c>
      <c r="D546" s="287">
        <v>1</v>
      </c>
      <c r="E546" s="159"/>
      <c r="F546" s="287" t="s">
        <v>6373</v>
      </c>
      <c r="G546" s="287" t="s">
        <v>5967</v>
      </c>
      <c r="H546" s="287" t="s">
        <v>6360</v>
      </c>
      <c r="I546" s="47"/>
    </row>
    <row r="547" spans="1:9">
      <c r="A547" s="285" t="s">
        <v>6379</v>
      </c>
      <c r="B547" s="286" t="s">
        <v>3748</v>
      </c>
      <c r="C547" s="288" t="s">
        <v>6380</v>
      </c>
      <c r="D547" s="287">
        <v>1</v>
      </c>
      <c r="E547" s="159"/>
      <c r="F547" s="287" t="s">
        <v>6373</v>
      </c>
      <c r="G547" s="287" t="s">
        <v>5967</v>
      </c>
      <c r="H547" s="287" t="s">
        <v>6360</v>
      </c>
      <c r="I547" s="47"/>
    </row>
    <row r="548" spans="1:9">
      <c r="A548" s="285" t="s">
        <v>6381</v>
      </c>
      <c r="B548" s="286" t="s">
        <v>3748</v>
      </c>
      <c r="C548" s="288" t="s">
        <v>6382</v>
      </c>
      <c r="D548" s="287">
        <v>1</v>
      </c>
      <c r="E548" s="159"/>
      <c r="F548" s="287" t="s">
        <v>6373</v>
      </c>
      <c r="G548" s="287" t="s">
        <v>5967</v>
      </c>
      <c r="H548" s="287" t="s">
        <v>6360</v>
      </c>
      <c r="I548" s="47"/>
    </row>
    <row r="549" spans="1:9">
      <c r="A549" s="285" t="s">
        <v>6383</v>
      </c>
      <c r="B549" s="286" t="s">
        <v>3748</v>
      </c>
      <c r="C549" s="288" t="s">
        <v>6384</v>
      </c>
      <c r="D549" s="287">
        <v>2</v>
      </c>
      <c r="E549" s="159"/>
      <c r="F549" s="287" t="s">
        <v>6373</v>
      </c>
      <c r="G549" s="287" t="s">
        <v>5967</v>
      </c>
      <c r="H549" s="287" t="s">
        <v>6360</v>
      </c>
      <c r="I549" s="47"/>
    </row>
    <row r="550" spans="1:9">
      <c r="A550" s="285" t="s">
        <v>6385</v>
      </c>
      <c r="B550" s="286" t="s">
        <v>3748</v>
      </c>
      <c r="C550" s="289" t="s">
        <v>6386</v>
      </c>
      <c r="D550" s="287">
        <v>1</v>
      </c>
      <c r="E550" s="159"/>
      <c r="F550" s="287" t="s">
        <v>6373</v>
      </c>
      <c r="G550" s="287" t="s">
        <v>5967</v>
      </c>
      <c r="H550" s="287" t="s">
        <v>6360</v>
      </c>
      <c r="I550" s="47"/>
    </row>
    <row r="551" spans="1:9">
      <c r="A551" s="285" t="s">
        <v>6387</v>
      </c>
      <c r="B551" s="286" t="s">
        <v>3748</v>
      </c>
      <c r="C551" s="289" t="s">
        <v>6388</v>
      </c>
      <c r="D551" s="287">
        <v>1</v>
      </c>
      <c r="E551" s="159"/>
      <c r="F551" s="287" t="s">
        <v>6373</v>
      </c>
      <c r="G551" s="287" t="s">
        <v>5967</v>
      </c>
      <c r="H551" s="287" t="s">
        <v>6360</v>
      </c>
      <c r="I551" s="47"/>
    </row>
    <row r="552" spans="1:9">
      <c r="A552" s="285" t="s">
        <v>6389</v>
      </c>
      <c r="B552" s="286" t="s">
        <v>3748</v>
      </c>
      <c r="C552" s="288" t="s">
        <v>6390</v>
      </c>
      <c r="D552" s="287">
        <v>1</v>
      </c>
      <c r="E552" s="159"/>
      <c r="F552" s="287" t="s">
        <v>6373</v>
      </c>
      <c r="G552" s="287" t="s">
        <v>5967</v>
      </c>
      <c r="H552" s="287" t="s">
        <v>6360</v>
      </c>
      <c r="I552" s="47"/>
    </row>
    <row r="553" spans="1:9">
      <c r="A553" s="285" t="s">
        <v>6391</v>
      </c>
      <c r="B553" s="286" t="s">
        <v>3748</v>
      </c>
      <c r="C553" s="288" t="s">
        <v>6390</v>
      </c>
      <c r="D553" s="287">
        <v>1</v>
      </c>
      <c r="E553" s="159"/>
      <c r="F553" s="287" t="s">
        <v>6373</v>
      </c>
      <c r="G553" s="287" t="s">
        <v>5967</v>
      </c>
      <c r="H553" s="287" t="s">
        <v>6360</v>
      </c>
      <c r="I553" s="47"/>
    </row>
    <row r="554" spans="1:9">
      <c r="A554" s="285" t="s">
        <v>6392</v>
      </c>
      <c r="B554" s="286" t="s">
        <v>3748</v>
      </c>
      <c r="C554" s="288" t="s">
        <v>6393</v>
      </c>
      <c r="D554" s="287">
        <v>1</v>
      </c>
      <c r="E554" s="159"/>
      <c r="F554" s="287" t="s">
        <v>6373</v>
      </c>
      <c r="G554" s="287" t="s">
        <v>5967</v>
      </c>
      <c r="H554" s="287" t="s">
        <v>6360</v>
      </c>
      <c r="I554" s="47"/>
    </row>
    <row r="555" spans="1:9">
      <c r="A555" s="285" t="s">
        <v>6394</v>
      </c>
      <c r="B555" s="286" t="s">
        <v>3748</v>
      </c>
      <c r="C555" s="288" t="s">
        <v>6395</v>
      </c>
      <c r="D555" s="287">
        <v>1</v>
      </c>
      <c r="E555" s="159"/>
      <c r="F555" s="287" t="s">
        <v>6373</v>
      </c>
      <c r="G555" s="287" t="s">
        <v>5967</v>
      </c>
      <c r="H555" s="287" t="s">
        <v>6360</v>
      </c>
      <c r="I555" s="47"/>
    </row>
    <row r="556" spans="1:9">
      <c r="A556" s="285" t="s">
        <v>4841</v>
      </c>
      <c r="B556" s="286">
        <v>950</v>
      </c>
      <c r="C556" s="288" t="s">
        <v>6396</v>
      </c>
      <c r="D556" s="287">
        <v>1</v>
      </c>
      <c r="E556" s="159"/>
      <c r="F556" s="287" t="s">
        <v>6373</v>
      </c>
      <c r="G556" s="287" t="s">
        <v>5967</v>
      </c>
      <c r="H556" s="287" t="s">
        <v>6360</v>
      </c>
      <c r="I556" s="47"/>
    </row>
    <row r="557" spans="1:9">
      <c r="A557" s="285" t="s">
        <v>4841</v>
      </c>
      <c r="B557" s="286">
        <v>16969</v>
      </c>
      <c r="C557" s="288" t="s">
        <v>6396</v>
      </c>
      <c r="D557" s="287">
        <v>1</v>
      </c>
      <c r="E557" s="159"/>
      <c r="F557" s="287" t="s">
        <v>6373</v>
      </c>
      <c r="G557" s="287" t="s">
        <v>5967</v>
      </c>
      <c r="H557" s="287" t="s">
        <v>6360</v>
      </c>
      <c r="I557" s="47"/>
    </row>
    <row r="558" spans="1:9">
      <c r="A558" s="285" t="s">
        <v>6397</v>
      </c>
      <c r="B558" s="286" t="s">
        <v>6398</v>
      </c>
      <c r="C558" s="288" t="s">
        <v>6399</v>
      </c>
      <c r="D558" s="287">
        <v>1</v>
      </c>
      <c r="E558" s="159"/>
      <c r="F558" s="287" t="s">
        <v>6373</v>
      </c>
      <c r="G558" s="287" t="s">
        <v>5967</v>
      </c>
      <c r="H558" s="287" t="s">
        <v>6360</v>
      </c>
      <c r="I558" s="47"/>
    </row>
    <row r="559" spans="1:9">
      <c r="A559" s="285" t="s">
        <v>6400</v>
      </c>
      <c r="B559" s="286" t="s">
        <v>6401</v>
      </c>
      <c r="C559" s="288" t="s">
        <v>6402</v>
      </c>
      <c r="D559" s="287">
        <v>1</v>
      </c>
      <c r="E559" s="159"/>
      <c r="F559" s="287" t="s">
        <v>6373</v>
      </c>
      <c r="G559" s="287" t="s">
        <v>5967</v>
      </c>
      <c r="H559" s="287" t="s">
        <v>6360</v>
      </c>
      <c r="I559" s="47"/>
    </row>
    <row r="560" spans="1:9">
      <c r="A560" s="285" t="s">
        <v>5782</v>
      </c>
      <c r="B560" s="286" t="s">
        <v>6403</v>
      </c>
      <c r="C560" s="288" t="s">
        <v>6404</v>
      </c>
      <c r="D560" s="287" t="s">
        <v>8147</v>
      </c>
      <c r="E560" s="159"/>
      <c r="F560" s="287" t="s">
        <v>6373</v>
      </c>
      <c r="G560" s="287" t="s">
        <v>5967</v>
      </c>
      <c r="H560" s="287" t="s">
        <v>6360</v>
      </c>
      <c r="I560" s="47"/>
    </row>
    <row r="561" spans="1:10">
      <c r="A561" s="285" t="s">
        <v>5795</v>
      </c>
      <c r="B561" s="286" t="s">
        <v>3748</v>
      </c>
      <c r="C561" s="288" t="s">
        <v>6405</v>
      </c>
      <c r="D561" s="287">
        <v>1</v>
      </c>
      <c r="E561" s="159"/>
      <c r="F561" s="287" t="s">
        <v>6373</v>
      </c>
      <c r="G561" s="287" t="s">
        <v>5967</v>
      </c>
      <c r="H561" s="287" t="s">
        <v>6360</v>
      </c>
      <c r="I561" s="47"/>
    </row>
    <row r="562" spans="1:10">
      <c r="A562" s="285" t="s">
        <v>6406</v>
      </c>
      <c r="B562" s="286" t="s">
        <v>3748</v>
      </c>
      <c r="C562" s="288" t="s">
        <v>6407</v>
      </c>
      <c r="D562" s="287">
        <v>1</v>
      </c>
      <c r="E562" s="159"/>
      <c r="F562" s="287" t="s">
        <v>6373</v>
      </c>
      <c r="G562" s="287" t="s">
        <v>5967</v>
      </c>
      <c r="H562" s="287" t="s">
        <v>6360</v>
      </c>
      <c r="I562" s="47"/>
    </row>
    <row r="563" spans="1:10">
      <c r="A563" s="285" t="s">
        <v>6408</v>
      </c>
      <c r="B563" s="286">
        <v>2690</v>
      </c>
      <c r="C563" s="288" t="s">
        <v>6409</v>
      </c>
      <c r="D563" s="287">
        <v>1</v>
      </c>
      <c r="E563" s="159"/>
      <c r="F563" s="287" t="s">
        <v>6373</v>
      </c>
      <c r="G563" s="287" t="s">
        <v>5967</v>
      </c>
      <c r="H563" s="287" t="s">
        <v>6360</v>
      </c>
      <c r="I563" s="47"/>
    </row>
    <row r="564" spans="1:10">
      <c r="A564" s="285" t="s">
        <v>6410</v>
      </c>
      <c r="B564" s="286">
        <v>11621670823</v>
      </c>
      <c r="C564" s="288" t="s">
        <v>6411</v>
      </c>
      <c r="D564" s="287">
        <v>1</v>
      </c>
      <c r="E564" s="159"/>
      <c r="F564" s="287" t="s">
        <v>6373</v>
      </c>
      <c r="G564" s="287" t="s">
        <v>5967</v>
      </c>
      <c r="H564" s="287" t="s">
        <v>6360</v>
      </c>
      <c r="I564" s="47"/>
    </row>
    <row r="565" spans="1:10">
      <c r="A565" s="285" t="s">
        <v>5703</v>
      </c>
      <c r="B565" s="286">
        <v>218014000</v>
      </c>
      <c r="C565" s="288" t="s">
        <v>6412</v>
      </c>
      <c r="D565" s="287">
        <v>1</v>
      </c>
      <c r="E565" s="159"/>
      <c r="F565" s="287" t="s">
        <v>6373</v>
      </c>
      <c r="G565" s="287" t="s">
        <v>5967</v>
      </c>
      <c r="H565" s="287" t="s">
        <v>6360</v>
      </c>
      <c r="I565" s="47"/>
    </row>
    <row r="566" spans="1:10">
      <c r="A566" s="285" t="s">
        <v>6413</v>
      </c>
      <c r="B566" s="286">
        <v>150281</v>
      </c>
      <c r="C566" s="288" t="s">
        <v>3789</v>
      </c>
      <c r="D566" s="287">
        <v>1</v>
      </c>
      <c r="E566" s="159"/>
      <c r="F566" s="287" t="s">
        <v>6373</v>
      </c>
      <c r="G566" s="287" t="s">
        <v>5967</v>
      </c>
      <c r="H566" s="287" t="s">
        <v>6360</v>
      </c>
      <c r="I566" s="47"/>
    </row>
    <row r="567" spans="1:10">
      <c r="A567" s="285" t="s">
        <v>6414</v>
      </c>
      <c r="B567" s="286" t="s">
        <v>3748</v>
      </c>
      <c r="C567" s="288" t="s">
        <v>6415</v>
      </c>
      <c r="D567" s="287">
        <v>1</v>
      </c>
      <c r="E567" s="159"/>
      <c r="F567" s="287" t="s">
        <v>6373</v>
      </c>
      <c r="G567" s="287" t="s">
        <v>5967</v>
      </c>
      <c r="H567" s="287" t="s">
        <v>6360</v>
      </c>
      <c r="I567" s="47"/>
    </row>
    <row r="568" spans="1:10">
      <c r="A568" s="285" t="s">
        <v>6416</v>
      </c>
      <c r="B568" s="286" t="s">
        <v>3748</v>
      </c>
      <c r="C568" s="288" t="s">
        <v>6417</v>
      </c>
      <c r="D568" s="287">
        <v>1</v>
      </c>
      <c r="E568" s="159"/>
      <c r="F568" s="287" t="s">
        <v>6373</v>
      </c>
      <c r="G568" s="287" t="s">
        <v>5967</v>
      </c>
      <c r="H568" s="287" t="s">
        <v>6360</v>
      </c>
      <c r="I568" s="47"/>
    </row>
    <row r="569" spans="1:10">
      <c r="A569" s="285" t="s">
        <v>6418</v>
      </c>
      <c r="B569" s="286" t="s">
        <v>3748</v>
      </c>
      <c r="C569" s="288" t="s">
        <v>5793</v>
      </c>
      <c r="D569" s="287">
        <v>4</v>
      </c>
      <c r="E569" s="159"/>
      <c r="F569" s="287" t="s">
        <v>6373</v>
      </c>
      <c r="G569" s="287" t="s">
        <v>5967</v>
      </c>
      <c r="H569" s="287" t="s">
        <v>6360</v>
      </c>
      <c r="I569" s="47"/>
    </row>
    <row r="570" spans="1:10">
      <c r="A570" s="285" t="s">
        <v>6419</v>
      </c>
      <c r="B570" s="286" t="s">
        <v>3748</v>
      </c>
      <c r="C570" s="288" t="s">
        <v>6420</v>
      </c>
      <c r="D570" s="287">
        <v>3</v>
      </c>
      <c r="E570" s="159"/>
      <c r="F570" s="287" t="s">
        <v>6373</v>
      </c>
      <c r="G570" s="287" t="s">
        <v>5967</v>
      </c>
      <c r="H570" s="287" t="s">
        <v>6360</v>
      </c>
      <c r="I570" s="47"/>
    </row>
    <row r="571" spans="1:10" hidden="1">
      <c r="A571" s="362" t="s">
        <v>6421</v>
      </c>
      <c r="B571" s="8">
        <v>10567</v>
      </c>
      <c r="C571" s="11" t="s">
        <v>207</v>
      </c>
      <c r="D571" s="12">
        <v>1</v>
      </c>
      <c r="E571" s="22">
        <v>0</v>
      </c>
      <c r="F571" s="12" t="s">
        <v>6355</v>
      </c>
      <c r="G571" s="12" t="s">
        <v>6005</v>
      </c>
      <c r="H571" s="12" t="s">
        <v>6356</v>
      </c>
      <c r="I571" s="47" t="s">
        <v>3759</v>
      </c>
      <c r="J571" s="224">
        <v>76916</v>
      </c>
    </row>
    <row r="572" spans="1:10" hidden="1">
      <c r="A572" s="362" t="s">
        <v>6425</v>
      </c>
      <c r="B572" s="8" t="s">
        <v>3748</v>
      </c>
      <c r="C572" s="11" t="s">
        <v>6426</v>
      </c>
      <c r="D572" s="12">
        <v>1</v>
      </c>
      <c r="E572" s="22">
        <v>0</v>
      </c>
      <c r="F572" s="12" t="s">
        <v>6355</v>
      </c>
      <c r="G572" s="12" t="s">
        <v>6005</v>
      </c>
      <c r="H572" s="12" t="s">
        <v>6356</v>
      </c>
      <c r="I572" s="47" t="s">
        <v>3807</v>
      </c>
      <c r="J572" s="224" t="s">
        <v>5936</v>
      </c>
    </row>
    <row r="573" spans="1:10" hidden="1">
      <c r="A573" s="362" t="s">
        <v>6427</v>
      </c>
      <c r="B573" s="8">
        <v>5125</v>
      </c>
      <c r="C573" s="11" t="s">
        <v>6428</v>
      </c>
      <c r="D573" s="12">
        <v>1</v>
      </c>
      <c r="E573" s="22">
        <v>0</v>
      </c>
      <c r="F573" s="12" t="s">
        <v>6355</v>
      </c>
      <c r="G573" s="12" t="s">
        <v>6005</v>
      </c>
      <c r="H573" s="12" t="s">
        <v>6356</v>
      </c>
      <c r="I573" s="47" t="s">
        <v>3807</v>
      </c>
      <c r="J573" s="224">
        <v>76919</v>
      </c>
    </row>
    <row r="574" spans="1:10" hidden="1">
      <c r="A574" s="362" t="s">
        <v>6429</v>
      </c>
      <c r="B574" s="8">
        <v>3636681</v>
      </c>
      <c r="C574" s="11" t="s">
        <v>4629</v>
      </c>
      <c r="D574" s="12">
        <v>1</v>
      </c>
      <c r="E574" s="22">
        <v>0</v>
      </c>
      <c r="F574" s="12" t="s">
        <v>6355</v>
      </c>
      <c r="G574" s="12" t="s">
        <v>6005</v>
      </c>
      <c r="H574" s="12" t="s">
        <v>6356</v>
      </c>
      <c r="I574" s="47" t="s">
        <v>3807</v>
      </c>
      <c r="J574" s="224">
        <v>76916</v>
      </c>
    </row>
    <row r="575" spans="1:10">
      <c r="A575" s="333" t="s">
        <v>6456</v>
      </c>
      <c r="B575" s="222" t="s">
        <v>6457</v>
      </c>
      <c r="C575" s="33" t="s">
        <v>6458</v>
      </c>
      <c r="D575" s="12">
        <v>1</v>
      </c>
      <c r="E575" s="3">
        <v>0</v>
      </c>
      <c r="F575" s="12" t="s">
        <v>6355</v>
      </c>
      <c r="G575" s="12" t="s">
        <v>5997</v>
      </c>
      <c r="H575" s="22"/>
      <c r="I575" s="47"/>
      <c r="J575" s="224" t="s">
        <v>5936</v>
      </c>
    </row>
    <row r="576" spans="1:10">
      <c r="A576" s="443" t="s">
        <v>6066</v>
      </c>
      <c r="B576" s="430">
        <v>125848</v>
      </c>
      <c r="C576" s="166" t="s">
        <v>3936</v>
      </c>
      <c r="D576" s="12">
        <v>1</v>
      </c>
      <c r="E576" s="22">
        <v>0</v>
      </c>
      <c r="F576" s="12" t="s">
        <v>6373</v>
      </c>
      <c r="G576" s="12" t="s">
        <v>5929</v>
      </c>
      <c r="H576" s="12"/>
      <c r="I576" s="47"/>
      <c r="J576" s="224">
        <v>81091</v>
      </c>
    </row>
    <row r="577" spans="1:10">
      <c r="A577" s="443" t="s">
        <v>6066</v>
      </c>
      <c r="B577" s="430">
        <v>179002</v>
      </c>
      <c r="C577" s="166" t="s">
        <v>3936</v>
      </c>
      <c r="D577" s="12">
        <v>1</v>
      </c>
      <c r="E577" s="22">
        <v>0</v>
      </c>
      <c r="F577" s="12" t="s">
        <v>6373</v>
      </c>
      <c r="G577" s="12" t="s">
        <v>5929</v>
      </c>
      <c r="H577" s="12"/>
      <c r="I577" s="47"/>
      <c r="J577" s="224">
        <v>81091</v>
      </c>
    </row>
    <row r="578" spans="1:10">
      <c r="A578" s="443" t="s">
        <v>6066</v>
      </c>
      <c r="B578" s="430">
        <v>178899</v>
      </c>
      <c r="C578" s="166" t="s">
        <v>3936</v>
      </c>
      <c r="D578" s="12">
        <v>1</v>
      </c>
      <c r="E578" s="22">
        <v>0</v>
      </c>
      <c r="F578" s="12" t="s">
        <v>6373</v>
      </c>
      <c r="G578" s="12" t="s">
        <v>5929</v>
      </c>
      <c r="H578" s="12"/>
      <c r="I578" s="47"/>
      <c r="J578" s="224">
        <v>81091</v>
      </c>
    </row>
    <row r="579" spans="1:10">
      <c r="A579" s="443" t="s">
        <v>6066</v>
      </c>
      <c r="B579" s="430">
        <v>139616</v>
      </c>
      <c r="C579" s="166" t="s">
        <v>3936</v>
      </c>
      <c r="D579" s="12">
        <v>1</v>
      </c>
      <c r="E579" s="22">
        <v>0</v>
      </c>
      <c r="F579" s="12" t="s">
        <v>6373</v>
      </c>
      <c r="G579" s="12" t="s">
        <v>5929</v>
      </c>
      <c r="H579" s="12"/>
      <c r="I579" s="47"/>
      <c r="J579" s="224">
        <v>81091</v>
      </c>
    </row>
    <row r="580" spans="1:10">
      <c r="A580" s="285" t="s">
        <v>6476</v>
      </c>
      <c r="B580" s="285" t="s">
        <v>3748</v>
      </c>
      <c r="C580" s="418" t="s">
        <v>6477</v>
      </c>
      <c r="D580" s="287">
        <v>1</v>
      </c>
      <c r="E580" s="287"/>
      <c r="F580" s="287" t="s">
        <v>6373</v>
      </c>
      <c r="G580" s="287" t="s">
        <v>5905</v>
      </c>
      <c r="H580" s="287" t="s">
        <v>6360</v>
      </c>
      <c r="I580" s="47"/>
    </row>
    <row r="581" spans="1:10">
      <c r="A581" s="285" t="s">
        <v>6478</v>
      </c>
      <c r="B581" s="285" t="s">
        <v>3748</v>
      </c>
      <c r="C581" s="418" t="s">
        <v>6479</v>
      </c>
      <c r="D581" s="287">
        <v>1</v>
      </c>
      <c r="E581" s="287"/>
      <c r="F581" s="287" t="s">
        <v>6373</v>
      </c>
      <c r="G581" s="287" t="s">
        <v>5905</v>
      </c>
      <c r="H581" s="287" t="s">
        <v>6360</v>
      </c>
      <c r="I581" s="47"/>
    </row>
    <row r="582" spans="1:10">
      <c r="A582" s="285" t="s">
        <v>6480</v>
      </c>
      <c r="B582" s="285" t="s">
        <v>3748</v>
      </c>
      <c r="C582" s="418" t="s">
        <v>6481</v>
      </c>
      <c r="D582" s="287">
        <v>1</v>
      </c>
      <c r="E582" s="287"/>
      <c r="F582" s="287" t="s">
        <v>6373</v>
      </c>
      <c r="G582" s="287" t="s">
        <v>5905</v>
      </c>
      <c r="H582" s="287" t="s">
        <v>6360</v>
      </c>
      <c r="I582" s="47"/>
    </row>
    <row r="583" spans="1:10">
      <c r="A583" s="285" t="s">
        <v>6482</v>
      </c>
      <c r="B583" s="285" t="s">
        <v>6483</v>
      </c>
      <c r="C583" s="418" t="s">
        <v>6484</v>
      </c>
      <c r="D583" s="287">
        <v>1</v>
      </c>
      <c r="E583" s="287"/>
      <c r="F583" s="287" t="s">
        <v>6373</v>
      </c>
      <c r="G583" s="287" t="s">
        <v>5905</v>
      </c>
      <c r="H583" s="287" t="s">
        <v>6360</v>
      </c>
      <c r="I583" s="47"/>
    </row>
    <row r="584" spans="1:10">
      <c r="A584" s="285" t="s">
        <v>6485</v>
      </c>
      <c r="B584" s="285" t="s">
        <v>3748</v>
      </c>
      <c r="C584" s="418" t="s">
        <v>6486</v>
      </c>
      <c r="D584" s="287">
        <v>1</v>
      </c>
      <c r="E584" s="287"/>
      <c r="F584" s="287" t="s">
        <v>6373</v>
      </c>
      <c r="G584" s="287" t="s">
        <v>5905</v>
      </c>
      <c r="H584" s="287" t="s">
        <v>6360</v>
      </c>
      <c r="I584" s="47"/>
    </row>
    <row r="585" spans="1:10">
      <c r="A585" s="285" t="s">
        <v>6487</v>
      </c>
      <c r="B585" s="285" t="s">
        <v>3748</v>
      </c>
      <c r="C585" s="418" t="s">
        <v>6488</v>
      </c>
      <c r="D585" s="287">
        <v>1</v>
      </c>
      <c r="E585" s="287"/>
      <c r="F585" s="287" t="s">
        <v>6373</v>
      </c>
      <c r="G585" s="287" t="s">
        <v>5905</v>
      </c>
      <c r="H585" s="287" t="s">
        <v>6360</v>
      </c>
      <c r="I585" s="47"/>
    </row>
    <row r="586" spans="1:10">
      <c r="A586" s="285" t="s">
        <v>6489</v>
      </c>
      <c r="B586" s="285" t="s">
        <v>3748</v>
      </c>
      <c r="C586" s="418" t="s">
        <v>6488</v>
      </c>
      <c r="D586" s="287">
        <v>1</v>
      </c>
      <c r="E586" s="287"/>
      <c r="F586" s="287" t="s">
        <v>6373</v>
      </c>
      <c r="G586" s="287" t="s">
        <v>5905</v>
      </c>
      <c r="H586" s="287" t="s">
        <v>6360</v>
      </c>
      <c r="I586" s="47"/>
    </row>
    <row r="587" spans="1:10">
      <c r="A587" s="285" t="s">
        <v>6490</v>
      </c>
      <c r="B587" s="285" t="s">
        <v>3748</v>
      </c>
      <c r="C587" s="418" t="s">
        <v>6491</v>
      </c>
      <c r="D587" s="287">
        <v>1</v>
      </c>
      <c r="E587" s="287"/>
      <c r="F587" s="287" t="s">
        <v>6373</v>
      </c>
      <c r="G587" s="287" t="s">
        <v>5905</v>
      </c>
      <c r="H587" s="287" t="s">
        <v>6360</v>
      </c>
      <c r="I587" s="47"/>
    </row>
    <row r="588" spans="1:10">
      <c r="A588" s="285" t="s">
        <v>6492</v>
      </c>
      <c r="B588" s="285" t="s">
        <v>3748</v>
      </c>
      <c r="C588" s="418" t="s">
        <v>6493</v>
      </c>
      <c r="D588" s="287">
        <v>1</v>
      </c>
      <c r="E588" s="287"/>
      <c r="F588" s="287" t="s">
        <v>6373</v>
      </c>
      <c r="G588" s="287" t="s">
        <v>5905</v>
      </c>
      <c r="H588" s="287" t="s">
        <v>6360</v>
      </c>
      <c r="I588" s="47"/>
    </row>
    <row r="589" spans="1:10">
      <c r="A589" s="285" t="s">
        <v>6494</v>
      </c>
      <c r="B589" s="285" t="s">
        <v>3748</v>
      </c>
      <c r="C589" s="418" t="s">
        <v>6495</v>
      </c>
      <c r="D589" s="287">
        <v>1</v>
      </c>
      <c r="E589" s="287"/>
      <c r="F589" s="287" t="s">
        <v>6373</v>
      </c>
      <c r="G589" s="287" t="s">
        <v>5905</v>
      </c>
      <c r="H589" s="287" t="s">
        <v>6360</v>
      </c>
      <c r="I589" s="47"/>
    </row>
    <row r="590" spans="1:10">
      <c r="A590" s="285" t="s">
        <v>6496</v>
      </c>
      <c r="B590" s="285" t="s">
        <v>3748</v>
      </c>
      <c r="C590" s="418" t="s">
        <v>6497</v>
      </c>
      <c r="D590" s="287">
        <v>1</v>
      </c>
      <c r="E590" s="287"/>
      <c r="F590" s="287" t="s">
        <v>6373</v>
      </c>
      <c r="G590" s="287" t="s">
        <v>5905</v>
      </c>
      <c r="H590" s="287" t="s">
        <v>6360</v>
      </c>
      <c r="I590" s="47"/>
    </row>
    <row r="591" spans="1:10">
      <c r="A591" s="418" t="s">
        <v>6498</v>
      </c>
      <c r="B591" s="418" t="s">
        <v>3748</v>
      </c>
      <c r="C591" s="418" t="s">
        <v>6499</v>
      </c>
      <c r="D591" s="287">
        <v>1</v>
      </c>
      <c r="E591" s="287"/>
      <c r="F591" s="287" t="s">
        <v>6373</v>
      </c>
      <c r="G591" s="287" t="s">
        <v>5905</v>
      </c>
      <c r="H591" s="287" t="s">
        <v>6360</v>
      </c>
      <c r="I591" s="47"/>
    </row>
    <row r="592" spans="1:10">
      <c r="A592" s="418" t="s">
        <v>6500</v>
      </c>
      <c r="B592" s="418" t="s">
        <v>3748</v>
      </c>
      <c r="C592" s="418" t="s">
        <v>6501</v>
      </c>
      <c r="D592" s="287">
        <v>1</v>
      </c>
      <c r="E592" s="287"/>
      <c r="F592" s="287" t="s">
        <v>6373</v>
      </c>
      <c r="G592" s="287" t="s">
        <v>5905</v>
      </c>
      <c r="H592" s="287" t="s">
        <v>6360</v>
      </c>
      <c r="I592" s="47"/>
    </row>
    <row r="593" spans="1:11">
      <c r="A593" s="418" t="s">
        <v>2755</v>
      </c>
      <c r="B593" s="418" t="s">
        <v>3748</v>
      </c>
      <c r="C593" s="418" t="s">
        <v>6502</v>
      </c>
      <c r="D593" s="287">
        <v>1</v>
      </c>
      <c r="E593" s="287"/>
      <c r="F593" s="287" t="s">
        <v>6373</v>
      </c>
      <c r="G593" s="287" t="s">
        <v>5905</v>
      </c>
      <c r="H593" s="287" t="s">
        <v>6360</v>
      </c>
      <c r="I593" s="47"/>
    </row>
    <row r="594" spans="1:11">
      <c r="A594" s="418" t="s">
        <v>6522</v>
      </c>
      <c r="B594" s="418" t="s">
        <v>6523</v>
      </c>
      <c r="C594" s="289" t="s">
        <v>6524</v>
      </c>
      <c r="D594" s="287">
        <v>1</v>
      </c>
      <c r="E594" s="418"/>
      <c r="F594" s="287" t="s">
        <v>6373</v>
      </c>
      <c r="G594" s="287" t="s">
        <v>5884</v>
      </c>
      <c r="H594" s="287" t="s">
        <v>6360</v>
      </c>
      <c r="I594" s="47"/>
    </row>
    <row r="595" spans="1:11">
      <c r="A595" s="418" t="s">
        <v>6525</v>
      </c>
      <c r="B595" s="418" t="s">
        <v>6526</v>
      </c>
      <c r="C595" s="289" t="s">
        <v>6527</v>
      </c>
      <c r="D595" s="287">
        <v>1</v>
      </c>
      <c r="E595" s="418"/>
      <c r="F595" s="287" t="s">
        <v>6373</v>
      </c>
      <c r="G595" s="287" t="s">
        <v>5884</v>
      </c>
      <c r="H595" s="287" t="s">
        <v>6360</v>
      </c>
      <c r="I595" s="47"/>
    </row>
    <row r="596" spans="1:11">
      <c r="A596" s="418" t="s">
        <v>6528</v>
      </c>
      <c r="B596" s="418" t="s">
        <v>6529</v>
      </c>
      <c r="C596" s="418" t="s">
        <v>6530</v>
      </c>
      <c r="D596" s="287">
        <v>1</v>
      </c>
      <c r="E596" s="418"/>
      <c r="F596" s="287" t="s">
        <v>6373</v>
      </c>
      <c r="G596" s="287" t="s">
        <v>5884</v>
      </c>
      <c r="H596" s="287" t="s">
        <v>6360</v>
      </c>
      <c r="I596" s="47"/>
    </row>
    <row r="597" spans="1:11">
      <c r="A597" s="418" t="s">
        <v>6531</v>
      </c>
      <c r="B597" s="418">
        <v>50335700152</v>
      </c>
      <c r="C597" s="289" t="s">
        <v>6532</v>
      </c>
      <c r="D597" s="287">
        <v>1</v>
      </c>
      <c r="E597" s="418"/>
      <c r="F597" s="287" t="s">
        <v>6373</v>
      </c>
      <c r="G597" s="287" t="s">
        <v>5884</v>
      </c>
      <c r="H597" s="287" t="s">
        <v>6360</v>
      </c>
      <c r="I597" s="47"/>
    </row>
    <row r="598" spans="1:11">
      <c r="A598" s="285" t="s">
        <v>6533</v>
      </c>
      <c r="B598" s="285">
        <v>40350104582</v>
      </c>
      <c r="C598" s="289" t="s">
        <v>6534</v>
      </c>
      <c r="D598" s="287">
        <v>1</v>
      </c>
      <c r="E598" s="418"/>
      <c r="F598" s="287" t="s">
        <v>6373</v>
      </c>
      <c r="G598" s="287" t="s">
        <v>5884</v>
      </c>
      <c r="H598" s="287" t="s">
        <v>6360</v>
      </c>
      <c r="I598" s="47"/>
    </row>
    <row r="599" spans="1:11">
      <c r="A599" s="418" t="s">
        <v>5736</v>
      </c>
      <c r="B599" s="418">
        <v>50134502785</v>
      </c>
      <c r="C599" s="289" t="s">
        <v>6535</v>
      </c>
      <c r="D599" s="287">
        <v>1</v>
      </c>
      <c r="E599" s="418"/>
      <c r="F599" s="287" t="s">
        <v>6373</v>
      </c>
      <c r="G599" s="287" t="s">
        <v>5884</v>
      </c>
      <c r="H599" s="287" t="s">
        <v>6360</v>
      </c>
      <c r="I599" s="47"/>
    </row>
    <row r="600" spans="1:11">
      <c r="A600" s="418" t="s">
        <v>6536</v>
      </c>
      <c r="B600" s="418" t="s">
        <v>3748</v>
      </c>
      <c r="C600" s="418" t="s">
        <v>6537</v>
      </c>
      <c r="D600" s="287">
        <v>1</v>
      </c>
      <c r="E600" s="418"/>
      <c r="F600" s="287" t="s">
        <v>6373</v>
      </c>
      <c r="G600" s="287" t="s">
        <v>5884</v>
      </c>
      <c r="H600" s="287" t="s">
        <v>6360</v>
      </c>
      <c r="I600" s="47"/>
    </row>
    <row r="601" spans="1:11">
      <c r="A601" s="418" t="s">
        <v>6538</v>
      </c>
      <c r="B601" s="418">
        <v>50350108537</v>
      </c>
      <c r="C601" s="418" t="s">
        <v>6539</v>
      </c>
      <c r="D601" s="287">
        <v>1</v>
      </c>
      <c r="E601" s="418"/>
      <c r="F601" s="287" t="s">
        <v>6373</v>
      </c>
      <c r="G601" s="287" t="s">
        <v>5884</v>
      </c>
      <c r="H601" s="287" t="s">
        <v>6360</v>
      </c>
      <c r="I601" s="47"/>
    </row>
    <row r="602" spans="1:11">
      <c r="A602" s="418" t="s">
        <v>6540</v>
      </c>
      <c r="B602" s="418" t="s">
        <v>3748</v>
      </c>
      <c r="C602" s="418" t="s">
        <v>6541</v>
      </c>
      <c r="D602" s="287">
        <v>1</v>
      </c>
      <c r="E602" s="418"/>
      <c r="F602" s="287" t="s">
        <v>6373</v>
      </c>
      <c r="G602" s="287" t="s">
        <v>5884</v>
      </c>
      <c r="H602" s="287" t="s">
        <v>6360</v>
      </c>
      <c r="I602" s="47"/>
    </row>
    <row r="603" spans="1:11" s="148" customFormat="1">
      <c r="A603" s="293">
        <v>3321520</v>
      </c>
      <c r="B603" s="432" t="s">
        <v>6625</v>
      </c>
      <c r="C603" s="293" t="s">
        <v>4103</v>
      </c>
      <c r="D603" s="27">
        <v>2</v>
      </c>
      <c r="E603" s="21">
        <v>1</v>
      </c>
      <c r="F603" s="21" t="s">
        <v>6617</v>
      </c>
      <c r="G603" s="27" t="s">
        <v>5853</v>
      </c>
      <c r="H603" s="27" t="s">
        <v>3754</v>
      </c>
      <c r="I603" s="294" t="s">
        <v>3807</v>
      </c>
      <c r="J603" s="224">
        <v>80430</v>
      </c>
      <c r="K603" s="103"/>
    </row>
  </sheetData>
  <autoFilter ref="A1:K603" xr:uid="{63130C41-CE5F-48C4-8FB9-26B24A5AB56B}">
    <filterColumn colId="7">
      <filters blank="1">
        <filter val="APU"/>
        <filter val="INV 59712"/>
        <filter val="JOSE"/>
        <filter val="MISSING"/>
        <filter val="REVISAR SERIAL"/>
        <filter val="RO 38497"/>
        <filter val="RO38498"/>
      </filters>
    </filterColumn>
    <sortState xmlns:xlrd2="http://schemas.microsoft.com/office/spreadsheetml/2017/richdata2" ref="A2:K603">
      <sortCondition sortBy="cellColor" ref="A1:A603" dxfId="247"/>
    </sortState>
  </autoFilter>
  <conditionalFormatting sqref="D1:D403 H1:H1048576 D410:D488 D503:D514 D524:D1048576">
    <cfRule type="containsText" dxfId="104" priority="4" operator="containsText" text="RO">
      <formula>NOT(ISERROR(SEARCH("RO",D1)))</formula>
    </cfRule>
  </conditionalFormatting>
  <conditionalFormatting sqref="D251">
    <cfRule type="containsText" dxfId="103" priority="6" operator="containsText" text="TERRA">
      <formula>NOT(ISERROR(SEARCH("TERRA",D251)))</formula>
    </cfRule>
    <cfRule type="containsText" dxfId="102" priority="7" operator="containsText" text="NO SISTEMA">
      <formula>NOT(ISERROR(SEARCH("NO SISTEMA",D251)))</formula>
    </cfRule>
    <cfRule type="containsText" dxfId="101" priority="8" operator="containsText" text="VENDIDO">
      <formula>NOT(ISERROR(SEARCH("VENDIDO",D251)))</formula>
    </cfRule>
    <cfRule type="containsText" dxfId="100" priority="9" operator="containsText" text="CAMBIO">
      <formula>NOT(ISERROR(SEARCH("CAMBIO",D251)))</formula>
    </cfRule>
  </conditionalFormatting>
  <conditionalFormatting sqref="D344:D357">
    <cfRule type="containsText" dxfId="99" priority="3" operator="containsText" text="VENDIDO">
      <formula>NOT(ISERROR(SEARCH("VENDIDO",D344)))</formula>
    </cfRule>
  </conditionalFormatting>
  <conditionalFormatting sqref="D405">
    <cfRule type="containsText" dxfId="98" priority="1" operator="containsText" text="RO">
      <formula>NOT(ISERROR(SEARCH("RO",D405)))</formula>
    </cfRule>
  </conditionalFormatting>
  <conditionalFormatting sqref="D447">
    <cfRule type="containsText" dxfId="97" priority="10" operator="containsText" text="VENDIDO">
      <formula>NOT(ISERROR(SEARCH("VENDIDO",D447)))</formula>
    </cfRule>
  </conditionalFormatting>
  <conditionalFormatting sqref="E1:E289 E291:E403 E410:E453 E471:E488 E503:E514 E524:E1048576">
    <cfRule type="containsText" dxfId="96" priority="27" operator="containsText" text="NO SISTEMA">
      <formula>NOT(ISERROR(SEARCH("NO SISTEMA",E1)))</formula>
    </cfRule>
    <cfRule type="containsText" dxfId="95" priority="28" operator="containsText" text="VENDIDO">
      <formula>NOT(ISERROR(SEARCH("VENDIDO",E1)))</formula>
    </cfRule>
    <cfRule type="containsText" dxfId="94" priority="29" operator="containsText" text="CAMBIO">
      <formula>NOT(ISERROR(SEARCH("CAMBIO",E1)))</formula>
    </cfRule>
  </conditionalFormatting>
  <conditionalFormatting sqref="E1:E403 E410:E453 E471:E488 E503:E514 E524:E1048576">
    <cfRule type="containsText" dxfId="93" priority="17" operator="containsText" text="NO ILS">
      <formula>NOT(ISERROR(SEARCH("NO ILS",E1)))</formula>
    </cfRule>
  </conditionalFormatting>
  <conditionalFormatting sqref="F235:H235">
    <cfRule type="containsText" dxfId="92" priority="24" operator="containsText" text="NO SISTEMA">
      <formula>NOT(ISERROR(SEARCH("NO SISTEMA",F235)))</formula>
    </cfRule>
    <cfRule type="containsText" dxfId="91" priority="25" operator="containsText" text="VENDIDO">
      <formula>NOT(ISERROR(SEARCH("VENDIDO",F235)))</formula>
    </cfRule>
    <cfRule type="containsText" dxfId="90" priority="26" operator="containsText" text="CAMBIO">
      <formula>NOT(ISERROR(SEARCH("CAMBIO",F235)))</formula>
    </cfRule>
  </conditionalFormatting>
  <conditionalFormatting sqref="F251:H251">
    <cfRule type="containsText" dxfId="89" priority="21" operator="containsText" text="NO SISTEMA">
      <formula>NOT(ISERROR(SEARCH("NO SISTEMA",F251)))</formula>
    </cfRule>
    <cfRule type="containsText" dxfId="88" priority="22" operator="containsText" text="VENDIDO">
      <formula>NOT(ISERROR(SEARCH("VENDIDO",F251)))</formula>
    </cfRule>
    <cfRule type="containsText" dxfId="87" priority="23" operator="containsText" text="CAMBIO">
      <formula>NOT(ISERROR(SEARCH("CAMBIO",F251)))</formula>
    </cfRule>
  </conditionalFormatting>
  <conditionalFormatting sqref="F262:H262">
    <cfRule type="containsText" dxfId="86" priority="18" operator="containsText" text="NO SISTEMA">
      <formula>NOT(ISERROR(SEARCH("NO SISTEMA",F262)))</formula>
    </cfRule>
    <cfRule type="containsText" dxfId="85" priority="19" operator="containsText" text="VENDIDO">
      <formula>NOT(ISERROR(SEARCH("VENDIDO",F262)))</formula>
    </cfRule>
    <cfRule type="containsText" dxfId="84" priority="20" operator="containsText" text="CAMBIO">
      <formula>NOT(ISERROR(SEARCH("CAMBIO",F262)))</formula>
    </cfRule>
  </conditionalFormatting>
  <conditionalFormatting sqref="F453:H459 H460 F461:H470">
    <cfRule type="containsText" dxfId="83" priority="12" operator="containsText" text="NO ILS">
      <formula>NOT(ISERROR(SEARCH("NO ILS",F453)))</formula>
    </cfRule>
    <cfRule type="containsText" dxfId="82" priority="13" operator="containsText" text="NO SISTEMA">
      <formula>NOT(ISERROR(SEARCH("NO SISTEMA",F453)))</formula>
    </cfRule>
    <cfRule type="containsText" dxfId="81" priority="14" operator="containsText" text="VENDIDO">
      <formula>NOT(ISERROR(SEARCH("VENDIDO",F453)))</formula>
    </cfRule>
    <cfRule type="containsText" dxfId="80" priority="15" operator="containsText" text="CAMBIO">
      <formula>NOT(ISERROR(SEARCH("CAMBIO",F453)))</formula>
    </cfRule>
  </conditionalFormatting>
  <conditionalFormatting sqref="H1:H406 H410:H488 H503:H514 H524:H1048576 J74:J76 J82 J130:J133 J139 J152 J154 J168 J179:J181 J185 J188 J190 J192 J210 K212 J215:J216 J218 J223 J229 J231:J235 J237:J238 J241:J242 J247:J248 J250:J251 J253 J255 J259 J264 J269:J271 J275 J296 J307:J309">
    <cfRule type="containsText" dxfId="79" priority="11" operator="containsText" text="TERRA">
      <formula>NOT(ISERROR(SEARCH("TERRA",H1)))</formula>
    </cfRule>
  </conditionalFormatting>
  <conditionalFormatting sqref="I1:I1048576">
    <cfRule type="containsText" dxfId="78" priority="5" operator="containsText" text="NO">
      <formula>NOT(ISERROR(SEARCH("NO",I1)))</formula>
    </cfRule>
  </conditionalFormatting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0AD7-03CB-42C2-B85E-6C2312EF4173}">
  <sheetPr>
    <tabColor rgb="FFFFC000"/>
    <pageSetUpPr fitToPage="1"/>
  </sheetPr>
  <dimension ref="A1:J263"/>
  <sheetViews>
    <sheetView workbookViewId="0">
      <pane ySplit="1" topLeftCell="A13" activePane="bottomLeft" state="frozen"/>
      <selection activeCell="M1001" sqref="M1001"/>
      <selection pane="bottomLeft" activeCell="J13" sqref="J13:K13"/>
    </sheetView>
  </sheetViews>
  <sheetFormatPr defaultRowHeight="14.4"/>
  <cols>
    <col min="1" max="1" width="22.33203125" style="181" customWidth="1"/>
    <col min="2" max="2" width="29.88671875" style="181" customWidth="1"/>
    <col min="3" max="3" width="24.88671875" style="181" customWidth="1"/>
    <col min="4" max="4" width="16.33203125" style="26" customWidth="1"/>
    <col min="5" max="5" width="7.88671875" style="26" customWidth="1"/>
    <col min="6" max="6" width="10.33203125" style="24" customWidth="1"/>
    <col min="7" max="7" width="21.33203125" style="6" customWidth="1"/>
    <col min="8" max="8" width="9.33203125" style="6" hidden="1" customWidth="1"/>
    <col min="9" max="9" width="10.109375" style="190" hidden="1" customWidth="1"/>
  </cols>
  <sheetData>
    <row r="1" spans="1:9" s="1" customFormat="1" ht="36" customHeight="1">
      <c r="A1" s="182" t="s">
        <v>5804</v>
      </c>
      <c r="B1" s="182" t="s">
        <v>3740</v>
      </c>
      <c r="C1" s="37" t="s">
        <v>3741</v>
      </c>
      <c r="D1" s="36" t="s">
        <v>3742</v>
      </c>
      <c r="E1" s="37" t="s">
        <v>5805</v>
      </c>
      <c r="F1" s="36" t="s">
        <v>3743</v>
      </c>
      <c r="G1" s="36" t="s">
        <v>3746</v>
      </c>
      <c r="H1" s="125" t="s">
        <v>6643</v>
      </c>
      <c r="I1" s="190"/>
    </row>
    <row r="2" spans="1:9" ht="18.75" customHeight="1">
      <c r="A2" s="178" t="s">
        <v>6644</v>
      </c>
      <c r="B2" s="177">
        <v>5368</v>
      </c>
      <c r="C2" s="177" t="s">
        <v>6645</v>
      </c>
      <c r="D2" s="98">
        <v>1</v>
      </c>
      <c r="E2" s="12">
        <v>0</v>
      </c>
      <c r="F2" s="12" t="s">
        <v>6646</v>
      </c>
      <c r="G2" s="47"/>
      <c r="H2" s="3" t="s">
        <v>3759</v>
      </c>
    </row>
    <row r="3" spans="1:9">
      <c r="A3" s="178" t="s">
        <v>6647</v>
      </c>
      <c r="B3" s="177">
        <v>2171</v>
      </c>
      <c r="C3" s="178" t="s">
        <v>6648</v>
      </c>
      <c r="D3" s="12">
        <v>1</v>
      </c>
      <c r="E3" s="12">
        <v>0</v>
      </c>
      <c r="F3" s="12" t="s">
        <v>6646</v>
      </c>
      <c r="G3" s="47"/>
      <c r="H3" s="3" t="s">
        <v>3759</v>
      </c>
    </row>
    <row r="4" spans="1:9">
      <c r="A4" s="178" t="s">
        <v>6649</v>
      </c>
      <c r="B4" s="177" t="s">
        <v>6650</v>
      </c>
      <c r="C4" s="178" t="s">
        <v>6651</v>
      </c>
      <c r="D4" s="12">
        <v>1</v>
      </c>
      <c r="E4" s="12">
        <v>0</v>
      </c>
      <c r="F4" s="12" t="s">
        <v>6646</v>
      </c>
      <c r="G4" s="47"/>
      <c r="H4" s="127" t="s">
        <v>3759</v>
      </c>
      <c r="I4" s="190" t="s">
        <v>5936</v>
      </c>
    </row>
    <row r="5" spans="1:9">
      <c r="A5" s="178" t="s">
        <v>6652</v>
      </c>
      <c r="B5" s="177">
        <v>2178</v>
      </c>
      <c r="C5" s="178" t="s">
        <v>6653</v>
      </c>
      <c r="D5" s="12">
        <v>1</v>
      </c>
      <c r="E5" s="12">
        <v>0</v>
      </c>
      <c r="F5" s="12" t="s">
        <v>6646</v>
      </c>
      <c r="G5" s="47"/>
      <c r="H5" s="3" t="s">
        <v>3759</v>
      </c>
    </row>
    <row r="6" spans="1:9">
      <c r="A6" s="7" t="s">
        <v>6654</v>
      </c>
      <c r="B6" s="7" t="s">
        <v>6655</v>
      </c>
      <c r="C6" s="17" t="s">
        <v>6656</v>
      </c>
      <c r="D6" s="12">
        <v>1</v>
      </c>
      <c r="E6" s="12">
        <v>0</v>
      </c>
      <c r="F6" s="12" t="s">
        <v>6646</v>
      </c>
      <c r="G6" s="47"/>
      <c r="H6" s="3"/>
    </row>
    <row r="7" spans="1:9">
      <c r="A7" s="178" t="s">
        <v>6657</v>
      </c>
      <c r="B7" s="177">
        <v>8949</v>
      </c>
      <c r="C7" s="178" t="s">
        <v>6658</v>
      </c>
      <c r="D7" s="12">
        <v>1</v>
      </c>
      <c r="E7" s="12">
        <v>0</v>
      </c>
      <c r="F7" s="12" t="s">
        <v>6646</v>
      </c>
      <c r="G7" s="47"/>
      <c r="H7" s="3"/>
    </row>
    <row r="8" spans="1:9">
      <c r="A8" s="178" t="s">
        <v>6659</v>
      </c>
      <c r="B8" s="177">
        <v>1835</v>
      </c>
      <c r="C8" s="178" t="s">
        <v>6660</v>
      </c>
      <c r="D8" s="12">
        <v>1</v>
      </c>
      <c r="E8" s="12">
        <v>0</v>
      </c>
      <c r="F8" s="12" t="s">
        <v>6646</v>
      </c>
      <c r="G8" s="47"/>
      <c r="H8" s="3" t="s">
        <v>3759</v>
      </c>
    </row>
    <row r="9" spans="1:9">
      <c r="A9" s="178" t="s">
        <v>6661</v>
      </c>
      <c r="B9" s="176" t="s">
        <v>6662</v>
      </c>
      <c r="C9" s="178" t="s">
        <v>6663</v>
      </c>
      <c r="D9" s="12">
        <v>1</v>
      </c>
      <c r="E9" s="12">
        <v>0</v>
      </c>
      <c r="F9" s="12" t="s">
        <v>6646</v>
      </c>
      <c r="G9" s="47"/>
      <c r="H9" s="3" t="s">
        <v>3759</v>
      </c>
    </row>
    <row r="10" spans="1:9">
      <c r="A10" s="178" t="s">
        <v>6664</v>
      </c>
      <c r="B10" s="177" t="s">
        <v>6665</v>
      </c>
      <c r="C10" s="178" t="s">
        <v>6666</v>
      </c>
      <c r="D10" s="12">
        <v>3</v>
      </c>
      <c r="E10" s="12">
        <v>0</v>
      </c>
      <c r="F10" s="12" t="s">
        <v>6646</v>
      </c>
      <c r="G10" s="47"/>
      <c r="H10" s="3" t="s">
        <v>3759</v>
      </c>
    </row>
    <row r="11" spans="1:9">
      <c r="A11" s="178" t="s">
        <v>4277</v>
      </c>
      <c r="B11" s="176" t="s">
        <v>6667</v>
      </c>
      <c r="C11" s="178" t="s">
        <v>6666</v>
      </c>
      <c r="D11" s="12">
        <v>5</v>
      </c>
      <c r="E11" s="29">
        <v>1</v>
      </c>
      <c r="F11" s="12" t="s">
        <v>6646</v>
      </c>
      <c r="G11" s="47"/>
      <c r="H11" s="3" t="s">
        <v>3759</v>
      </c>
    </row>
    <row r="12" spans="1:9">
      <c r="A12" s="178" t="s">
        <v>5396</v>
      </c>
      <c r="B12" s="176" t="s">
        <v>6668</v>
      </c>
      <c r="C12" s="178" t="s">
        <v>6669</v>
      </c>
      <c r="D12" s="12">
        <v>1</v>
      </c>
      <c r="E12" s="29">
        <v>1</v>
      </c>
      <c r="F12" s="12" t="s">
        <v>6646</v>
      </c>
      <c r="G12" s="50"/>
      <c r="H12" s="3" t="s">
        <v>3759</v>
      </c>
    </row>
    <row r="13" spans="1:9" ht="21.6">
      <c r="A13" s="188" t="s">
        <v>4366</v>
      </c>
      <c r="B13" s="176" t="s">
        <v>6670</v>
      </c>
      <c r="C13" s="178" t="s">
        <v>4368</v>
      </c>
      <c r="D13" s="12">
        <v>2</v>
      </c>
      <c r="E13" s="12">
        <v>0</v>
      </c>
      <c r="F13" s="12" t="s">
        <v>6646</v>
      </c>
      <c r="G13" s="297"/>
      <c r="H13" s="3" t="s">
        <v>4678</v>
      </c>
      <c r="I13" s="191" t="s">
        <v>6671</v>
      </c>
    </row>
    <row r="14" spans="1:9">
      <c r="A14" s="188" t="s">
        <v>6672</v>
      </c>
      <c r="B14" s="177">
        <v>12733</v>
      </c>
      <c r="C14" s="178" t="s">
        <v>6673</v>
      </c>
      <c r="D14" s="12">
        <v>1</v>
      </c>
      <c r="E14" s="12">
        <v>0</v>
      </c>
      <c r="F14" s="12" t="s">
        <v>6646</v>
      </c>
      <c r="G14" s="47"/>
      <c r="H14" s="3" t="s">
        <v>3759</v>
      </c>
    </row>
    <row r="15" spans="1:9">
      <c r="A15" s="178"/>
      <c r="B15" s="177"/>
      <c r="C15" s="178"/>
      <c r="D15" s="12"/>
      <c r="E15" s="12"/>
      <c r="F15" s="12"/>
      <c r="G15" s="47"/>
      <c r="H15" s="3" t="s">
        <v>3807</v>
      </c>
      <c r="I15" s="190">
        <v>77789</v>
      </c>
    </row>
    <row r="16" spans="1:9">
      <c r="A16" s="178" t="s">
        <v>6674</v>
      </c>
      <c r="B16" s="177">
        <v>110356</v>
      </c>
      <c r="C16" s="178" t="s">
        <v>6675</v>
      </c>
      <c r="D16" s="12">
        <v>1</v>
      </c>
      <c r="E16" s="12">
        <v>0</v>
      </c>
      <c r="F16" s="22" t="s">
        <v>6676</v>
      </c>
      <c r="G16" s="47"/>
      <c r="H16" s="3" t="s">
        <v>3759</v>
      </c>
    </row>
    <row r="17" spans="1:9">
      <c r="A17" s="178" t="s">
        <v>6677</v>
      </c>
      <c r="B17" s="177">
        <v>130</v>
      </c>
      <c r="C17" s="178" t="s">
        <v>6678</v>
      </c>
      <c r="D17" s="12">
        <v>1</v>
      </c>
      <c r="E17" s="12">
        <v>0</v>
      </c>
      <c r="F17" s="22" t="s">
        <v>6676</v>
      </c>
      <c r="G17" s="47"/>
      <c r="H17" s="3" t="s">
        <v>3759</v>
      </c>
    </row>
    <row r="18" spans="1:9">
      <c r="A18" s="178" t="s">
        <v>6661</v>
      </c>
      <c r="B18" s="177">
        <v>14149</v>
      </c>
      <c r="C18" s="178" t="s">
        <v>6663</v>
      </c>
      <c r="D18" s="12">
        <v>1</v>
      </c>
      <c r="E18" s="12">
        <v>0</v>
      </c>
      <c r="F18" s="22" t="s">
        <v>6676</v>
      </c>
      <c r="G18" s="47"/>
      <c r="H18" s="3" t="s">
        <v>3759</v>
      </c>
    </row>
    <row r="19" spans="1:9">
      <c r="A19" s="178" t="s">
        <v>6679</v>
      </c>
      <c r="B19" s="177">
        <v>2954</v>
      </c>
      <c r="C19" s="178" t="s">
        <v>6678</v>
      </c>
      <c r="D19" s="12">
        <v>1</v>
      </c>
      <c r="E19" s="12">
        <v>0</v>
      </c>
      <c r="F19" s="22" t="s">
        <v>6676</v>
      </c>
      <c r="G19" s="47"/>
      <c r="H19" s="3" t="s">
        <v>3759</v>
      </c>
    </row>
    <row r="20" spans="1:9">
      <c r="A20" s="178" t="s">
        <v>5158</v>
      </c>
      <c r="B20" s="177">
        <v>567</v>
      </c>
      <c r="C20" s="178" t="s">
        <v>5159</v>
      </c>
      <c r="D20" s="12">
        <v>1</v>
      </c>
      <c r="E20" s="29">
        <v>0</v>
      </c>
      <c r="F20" s="22" t="s">
        <v>6676</v>
      </c>
      <c r="G20" s="47"/>
      <c r="H20" s="3" t="s">
        <v>3807</v>
      </c>
      <c r="I20" s="190" t="s">
        <v>6680</v>
      </c>
    </row>
    <row r="21" spans="1:9">
      <c r="A21" s="178" t="s">
        <v>5111</v>
      </c>
      <c r="B21" s="177" t="s">
        <v>6681</v>
      </c>
      <c r="C21" s="178" t="s">
        <v>5112</v>
      </c>
      <c r="D21" s="12">
        <v>2</v>
      </c>
      <c r="E21" s="12">
        <v>0</v>
      </c>
      <c r="F21" s="22" t="s">
        <v>6676</v>
      </c>
      <c r="G21" s="47"/>
      <c r="H21" s="3" t="s">
        <v>3759</v>
      </c>
    </row>
    <row r="22" spans="1:9">
      <c r="A22" s="178" t="s">
        <v>6682</v>
      </c>
      <c r="B22" s="177">
        <v>12710</v>
      </c>
      <c r="C22" s="178" t="s">
        <v>6648</v>
      </c>
      <c r="D22" s="12">
        <v>1</v>
      </c>
      <c r="E22" s="12">
        <v>0</v>
      </c>
      <c r="F22" s="22" t="s">
        <v>6676</v>
      </c>
      <c r="G22" s="47"/>
      <c r="H22" s="3" t="s">
        <v>3759</v>
      </c>
    </row>
    <row r="23" spans="1:9">
      <c r="A23" s="178" t="s">
        <v>6664</v>
      </c>
      <c r="B23" s="183" t="s">
        <v>6683</v>
      </c>
      <c r="C23" s="178" t="s">
        <v>6666</v>
      </c>
      <c r="D23" s="12">
        <v>2</v>
      </c>
      <c r="E23" s="12">
        <v>0</v>
      </c>
      <c r="F23" s="22" t="s">
        <v>6676</v>
      </c>
      <c r="G23" s="47"/>
      <c r="H23" s="3" t="s">
        <v>3807</v>
      </c>
      <c r="I23" s="190" t="s">
        <v>6684</v>
      </c>
    </row>
    <row r="24" spans="1:9">
      <c r="A24" s="178" t="s">
        <v>6685</v>
      </c>
      <c r="B24" s="177">
        <v>2833</v>
      </c>
      <c r="C24" s="178" t="s">
        <v>6660</v>
      </c>
      <c r="D24" s="12">
        <v>1</v>
      </c>
      <c r="E24" s="12">
        <v>0</v>
      </c>
      <c r="F24" s="22" t="s">
        <v>6676</v>
      </c>
      <c r="G24" s="47"/>
      <c r="H24" s="3" t="s">
        <v>3759</v>
      </c>
    </row>
    <row r="25" spans="1:9">
      <c r="A25" s="178" t="s">
        <v>6686</v>
      </c>
      <c r="B25" s="177">
        <v>8729</v>
      </c>
      <c r="C25" s="178" t="s">
        <v>6660</v>
      </c>
      <c r="D25" s="12">
        <v>1</v>
      </c>
      <c r="E25" s="12">
        <v>0</v>
      </c>
      <c r="F25" s="22" t="s">
        <v>6676</v>
      </c>
      <c r="G25" s="47"/>
      <c r="H25" s="3" t="s">
        <v>3759</v>
      </c>
    </row>
    <row r="26" spans="1:9">
      <c r="A26" s="178" t="s">
        <v>6687</v>
      </c>
      <c r="B26" s="177">
        <v>2155</v>
      </c>
      <c r="C26" s="178" t="s">
        <v>6688</v>
      </c>
      <c r="D26" s="12">
        <v>1</v>
      </c>
      <c r="E26" s="12">
        <v>0</v>
      </c>
      <c r="F26" s="22" t="s">
        <v>6676</v>
      </c>
      <c r="G26" s="47"/>
      <c r="H26" s="3" t="s">
        <v>3759</v>
      </c>
    </row>
    <row r="27" spans="1:9">
      <c r="A27" s="203" t="s">
        <v>6689</v>
      </c>
      <c r="B27" s="204" t="s">
        <v>6690</v>
      </c>
      <c r="C27" s="75" t="s">
        <v>6691</v>
      </c>
      <c r="D27" s="12">
        <v>1</v>
      </c>
      <c r="E27" s="166">
        <v>0</v>
      </c>
      <c r="F27" s="22" t="s">
        <v>6676</v>
      </c>
      <c r="G27" s="47"/>
      <c r="H27" s="3"/>
    </row>
    <row r="28" spans="1:9">
      <c r="A28" s="203" t="s">
        <v>5158</v>
      </c>
      <c r="B28" s="204">
        <v>2113</v>
      </c>
      <c r="C28" s="203" t="s">
        <v>6692</v>
      </c>
      <c r="D28" s="12">
        <v>1</v>
      </c>
      <c r="E28" s="12">
        <v>0</v>
      </c>
      <c r="F28" s="22" t="s">
        <v>6676</v>
      </c>
      <c r="G28" s="47"/>
      <c r="H28" s="3" t="s">
        <v>3759</v>
      </c>
      <c r="I28" s="224" t="s">
        <v>6431</v>
      </c>
    </row>
    <row r="29" spans="1:9">
      <c r="A29" s="178"/>
      <c r="B29" s="177"/>
      <c r="C29" s="178"/>
      <c r="D29" s="12"/>
      <c r="E29" s="12"/>
      <c r="F29" s="22"/>
      <c r="G29" s="47"/>
      <c r="H29" s="3"/>
    </row>
    <row r="30" spans="1:9">
      <c r="A30" s="178" t="s">
        <v>4773</v>
      </c>
      <c r="B30" s="177">
        <v>96112782</v>
      </c>
      <c r="C30" s="178" t="s">
        <v>6693</v>
      </c>
      <c r="D30" s="12">
        <v>1</v>
      </c>
      <c r="E30" s="29">
        <v>1</v>
      </c>
      <c r="F30" s="22" t="s">
        <v>6694</v>
      </c>
      <c r="G30" s="47"/>
      <c r="H30" s="3" t="s">
        <v>6103</v>
      </c>
      <c r="I30" s="190" t="s">
        <v>6695</v>
      </c>
    </row>
    <row r="31" spans="1:9" ht="28.8">
      <c r="A31" s="178" t="s">
        <v>4772</v>
      </c>
      <c r="B31" s="176" t="s">
        <v>6696</v>
      </c>
      <c r="C31" s="178" t="s">
        <v>6693</v>
      </c>
      <c r="D31" s="12">
        <v>4</v>
      </c>
      <c r="E31" s="12">
        <v>0</v>
      </c>
      <c r="F31" s="22" t="s">
        <v>6694</v>
      </c>
      <c r="G31" s="47"/>
      <c r="H31" s="3" t="s">
        <v>6697</v>
      </c>
      <c r="I31" s="190" t="s">
        <v>6698</v>
      </c>
    </row>
    <row r="32" spans="1:9">
      <c r="A32" s="178" t="s">
        <v>6699</v>
      </c>
      <c r="B32" s="177">
        <v>1661794</v>
      </c>
      <c r="C32" s="178" t="s">
        <v>3862</v>
      </c>
      <c r="D32" s="12">
        <v>1</v>
      </c>
      <c r="E32" s="12">
        <v>0</v>
      </c>
      <c r="F32" s="22" t="s">
        <v>6694</v>
      </c>
      <c r="G32" s="47"/>
      <c r="H32" s="3" t="s">
        <v>6103</v>
      </c>
      <c r="I32" s="190" t="s">
        <v>6700</v>
      </c>
    </row>
    <row r="33" spans="1:9" s="1" customFormat="1" ht="28.8">
      <c r="A33" s="96" t="s">
        <v>6701</v>
      </c>
      <c r="B33" s="184" t="s">
        <v>6702</v>
      </c>
      <c r="C33" s="96" t="s">
        <v>6703</v>
      </c>
      <c r="D33" s="30">
        <v>1</v>
      </c>
      <c r="E33" s="30">
        <v>1</v>
      </c>
      <c r="F33" s="31" t="s">
        <v>6694</v>
      </c>
      <c r="G33" s="33"/>
      <c r="H33" s="33" t="s">
        <v>6103</v>
      </c>
      <c r="I33" s="190" t="s">
        <v>5936</v>
      </c>
    </row>
    <row r="34" spans="1:9">
      <c r="A34" s="188" t="s">
        <v>4997</v>
      </c>
      <c r="B34" s="176">
        <v>318</v>
      </c>
      <c r="C34" s="178" t="s">
        <v>6704</v>
      </c>
      <c r="D34" s="12">
        <v>1</v>
      </c>
      <c r="E34" s="29">
        <v>2</v>
      </c>
      <c r="F34" s="22" t="s">
        <v>6694</v>
      </c>
      <c r="G34" s="3"/>
      <c r="H34" s="3" t="s">
        <v>6103</v>
      </c>
      <c r="I34" s="190" t="s">
        <v>5936</v>
      </c>
    </row>
    <row r="35" spans="1:9">
      <c r="A35" s="178" t="s">
        <v>6705</v>
      </c>
      <c r="B35" s="177" t="s">
        <v>6706</v>
      </c>
      <c r="C35" s="178" t="s">
        <v>6704</v>
      </c>
      <c r="D35" s="12">
        <v>3</v>
      </c>
      <c r="E35" s="12">
        <v>0</v>
      </c>
      <c r="F35" s="22" t="s">
        <v>6694</v>
      </c>
      <c r="G35" s="47"/>
      <c r="H35" s="3" t="s">
        <v>3759</v>
      </c>
    </row>
    <row r="36" spans="1:9">
      <c r="A36" s="178" t="s">
        <v>5551</v>
      </c>
      <c r="B36" s="177">
        <v>575</v>
      </c>
      <c r="C36" s="178" t="s">
        <v>5552</v>
      </c>
      <c r="D36" s="12">
        <v>1</v>
      </c>
      <c r="E36" s="29">
        <v>1</v>
      </c>
      <c r="F36" s="22" t="s">
        <v>6694</v>
      </c>
      <c r="G36" s="47"/>
      <c r="H36" s="3" t="s">
        <v>3759</v>
      </c>
      <c r="I36" s="190" t="s">
        <v>5936</v>
      </c>
    </row>
    <row r="37" spans="1:9">
      <c r="A37" s="178" t="s">
        <v>6707</v>
      </c>
      <c r="B37" s="177">
        <v>1619</v>
      </c>
      <c r="C37" s="178" t="s">
        <v>6708</v>
      </c>
      <c r="D37" s="12">
        <v>1</v>
      </c>
      <c r="E37" s="12">
        <v>0</v>
      </c>
      <c r="F37" s="22" t="s">
        <v>6694</v>
      </c>
      <c r="G37" s="47"/>
      <c r="H37" s="3" t="s">
        <v>3759</v>
      </c>
    </row>
    <row r="38" spans="1:9">
      <c r="A38" s="178" t="s">
        <v>6709</v>
      </c>
      <c r="B38" s="177">
        <v>4003</v>
      </c>
      <c r="C38" s="178" t="s">
        <v>6710</v>
      </c>
      <c r="D38" s="12">
        <v>1</v>
      </c>
      <c r="E38" s="12">
        <v>0</v>
      </c>
      <c r="F38" s="22" t="s">
        <v>6694</v>
      </c>
      <c r="G38" s="3"/>
      <c r="H38" s="3" t="s">
        <v>6103</v>
      </c>
      <c r="I38" s="190" t="s">
        <v>5936</v>
      </c>
    </row>
    <row r="39" spans="1:9">
      <c r="A39" s="188" t="s">
        <v>5100</v>
      </c>
      <c r="B39" s="177">
        <v>581</v>
      </c>
      <c r="C39" s="178" t="s">
        <v>6711</v>
      </c>
      <c r="D39" s="12">
        <v>1</v>
      </c>
      <c r="E39" s="12">
        <v>0</v>
      </c>
      <c r="F39" s="22" t="s">
        <v>6694</v>
      </c>
      <c r="G39" s="47"/>
      <c r="H39" s="3" t="s">
        <v>3759</v>
      </c>
    </row>
    <row r="40" spans="1:9">
      <c r="A40" s="178" t="s">
        <v>5374</v>
      </c>
      <c r="B40" s="176">
        <v>117</v>
      </c>
      <c r="C40" s="178" t="s">
        <v>5375</v>
      </c>
      <c r="D40" s="12">
        <v>1</v>
      </c>
      <c r="E40" s="29">
        <v>1</v>
      </c>
      <c r="F40" s="22" t="s">
        <v>6694</v>
      </c>
      <c r="G40" s="3"/>
      <c r="H40" s="3" t="s">
        <v>3759</v>
      </c>
    </row>
    <row r="41" spans="1:9">
      <c r="A41" s="178" t="s">
        <v>4370</v>
      </c>
      <c r="B41" s="176" t="s">
        <v>6712</v>
      </c>
      <c r="C41" s="178" t="s">
        <v>6713</v>
      </c>
      <c r="D41" s="12">
        <v>3</v>
      </c>
      <c r="E41" s="29">
        <v>4</v>
      </c>
      <c r="F41" s="22" t="s">
        <v>6694</v>
      </c>
      <c r="G41" s="47"/>
      <c r="H41" s="3" t="s">
        <v>6060</v>
      </c>
      <c r="I41" s="190" t="s">
        <v>6714</v>
      </c>
    </row>
    <row r="42" spans="1:9">
      <c r="A42" s="178" t="s">
        <v>3931</v>
      </c>
      <c r="B42" s="177">
        <v>21208</v>
      </c>
      <c r="C42" s="178" t="s">
        <v>3932</v>
      </c>
      <c r="D42" s="12">
        <v>1</v>
      </c>
      <c r="E42" s="29">
        <v>1</v>
      </c>
      <c r="F42" s="22" t="s">
        <v>6694</v>
      </c>
      <c r="G42" s="47"/>
      <c r="H42" s="3" t="s">
        <v>6103</v>
      </c>
      <c r="I42" s="190" t="s">
        <v>6715</v>
      </c>
    </row>
    <row r="43" spans="1:9">
      <c r="A43" s="178" t="s">
        <v>6716</v>
      </c>
      <c r="B43" s="177">
        <v>61053</v>
      </c>
      <c r="C43" s="178" t="s">
        <v>6717</v>
      </c>
      <c r="D43" s="12">
        <v>1</v>
      </c>
      <c r="E43" s="12">
        <v>0</v>
      </c>
      <c r="F43" s="22" t="s">
        <v>6694</v>
      </c>
      <c r="G43" s="47"/>
      <c r="H43" s="3" t="s">
        <v>3759</v>
      </c>
    </row>
    <row r="44" spans="1:9">
      <c r="A44" s="178" t="s">
        <v>6718</v>
      </c>
      <c r="B44" s="176" t="s">
        <v>6719</v>
      </c>
      <c r="C44" s="178" t="s">
        <v>6720</v>
      </c>
      <c r="D44" s="12">
        <v>2</v>
      </c>
      <c r="E44" s="12">
        <v>0</v>
      </c>
      <c r="F44" s="22" t="s">
        <v>6694</v>
      </c>
      <c r="G44" s="282" t="s">
        <v>6721</v>
      </c>
      <c r="H44" s="3" t="s">
        <v>6103</v>
      </c>
      <c r="I44" s="190" t="s">
        <v>6722</v>
      </c>
    </row>
    <row r="45" spans="1:9">
      <c r="A45" s="178" t="s">
        <v>4560</v>
      </c>
      <c r="B45" s="177" t="s">
        <v>6723</v>
      </c>
      <c r="C45" s="178" t="s">
        <v>6724</v>
      </c>
      <c r="D45" s="12">
        <v>1</v>
      </c>
      <c r="E45" s="29">
        <v>2</v>
      </c>
      <c r="F45" s="22" t="s">
        <v>6694</v>
      </c>
      <c r="G45" s="3"/>
      <c r="H45" s="3" t="s">
        <v>6103</v>
      </c>
      <c r="I45" s="190" t="s">
        <v>5936</v>
      </c>
    </row>
    <row r="46" spans="1:9">
      <c r="A46" s="178" t="s">
        <v>6725</v>
      </c>
      <c r="B46" s="177" t="s">
        <v>6726</v>
      </c>
      <c r="C46" s="178" t="s">
        <v>6727</v>
      </c>
      <c r="D46" s="12">
        <v>1</v>
      </c>
      <c r="E46" s="12">
        <v>0</v>
      </c>
      <c r="F46" s="22" t="s">
        <v>6694</v>
      </c>
      <c r="G46" s="3"/>
      <c r="H46" s="3" t="s">
        <v>6103</v>
      </c>
      <c r="I46" s="190" t="s">
        <v>5936</v>
      </c>
    </row>
    <row r="47" spans="1:9">
      <c r="A47" s="178" t="s">
        <v>4556</v>
      </c>
      <c r="B47" s="177" t="s">
        <v>6728</v>
      </c>
      <c r="C47" s="178" t="s">
        <v>6688</v>
      </c>
      <c r="D47" s="12">
        <v>2</v>
      </c>
      <c r="E47" s="29">
        <v>1</v>
      </c>
      <c r="F47" s="22" t="s">
        <v>6694</v>
      </c>
      <c r="G47" s="3"/>
      <c r="H47" s="3" t="s">
        <v>6103</v>
      </c>
      <c r="I47" s="190" t="s">
        <v>5936</v>
      </c>
    </row>
    <row r="48" spans="1:9">
      <c r="A48" s="178" t="s">
        <v>6729</v>
      </c>
      <c r="B48" s="177">
        <v>193737</v>
      </c>
      <c r="C48" s="178" t="s">
        <v>6688</v>
      </c>
      <c r="D48" s="12">
        <v>1</v>
      </c>
      <c r="E48" s="12">
        <v>0</v>
      </c>
      <c r="F48" s="22" t="s">
        <v>6694</v>
      </c>
      <c r="G48" s="3"/>
      <c r="H48" s="3" t="s">
        <v>3759</v>
      </c>
    </row>
    <row r="49" spans="1:9">
      <c r="A49" s="178" t="s">
        <v>3320</v>
      </c>
      <c r="B49" s="177" t="s">
        <v>6730</v>
      </c>
      <c r="C49" s="178" t="s">
        <v>6688</v>
      </c>
      <c r="D49" s="12">
        <v>1</v>
      </c>
      <c r="E49" s="12">
        <v>0</v>
      </c>
      <c r="F49" s="22" t="s">
        <v>6694</v>
      </c>
      <c r="G49" s="3"/>
      <c r="H49" s="3" t="s">
        <v>3759</v>
      </c>
    </row>
    <row r="50" spans="1:9">
      <c r="A50" s="178" t="s">
        <v>6731</v>
      </c>
      <c r="B50" s="177" t="s">
        <v>6732</v>
      </c>
      <c r="C50" s="178" t="s">
        <v>6688</v>
      </c>
      <c r="D50" s="12">
        <v>1</v>
      </c>
      <c r="E50" s="12">
        <v>0</v>
      </c>
      <c r="F50" s="22" t="s">
        <v>6694</v>
      </c>
      <c r="G50" s="3"/>
      <c r="H50" s="3" t="s">
        <v>6103</v>
      </c>
    </row>
    <row r="51" spans="1:9">
      <c r="A51" s="178" t="s">
        <v>6733</v>
      </c>
      <c r="B51" s="177" t="s">
        <v>6734</v>
      </c>
      <c r="C51" s="178" t="s">
        <v>6688</v>
      </c>
      <c r="D51" s="12">
        <v>1</v>
      </c>
      <c r="E51" s="12">
        <v>0</v>
      </c>
      <c r="F51" s="22" t="s">
        <v>6694</v>
      </c>
      <c r="G51" s="3"/>
      <c r="H51" s="3" t="s">
        <v>3759</v>
      </c>
    </row>
    <row r="52" spans="1:9">
      <c r="A52" s="178" t="s">
        <v>5072</v>
      </c>
      <c r="B52" s="177">
        <v>2552</v>
      </c>
      <c r="C52" s="178" t="s">
        <v>6735</v>
      </c>
      <c r="D52" s="12">
        <v>1</v>
      </c>
      <c r="E52" s="29">
        <v>2</v>
      </c>
      <c r="F52" s="22" t="s">
        <v>6694</v>
      </c>
      <c r="G52" s="3"/>
      <c r="H52" s="3" t="s">
        <v>6103</v>
      </c>
      <c r="I52" s="190" t="s">
        <v>5936</v>
      </c>
    </row>
    <row r="53" spans="1:9">
      <c r="A53" s="178" t="s">
        <v>6736</v>
      </c>
      <c r="B53" s="177">
        <v>3695</v>
      </c>
      <c r="C53" s="178" t="s">
        <v>6737</v>
      </c>
      <c r="D53" s="12">
        <v>1</v>
      </c>
      <c r="E53" s="12">
        <v>0</v>
      </c>
      <c r="F53" s="22" t="s">
        <v>6694</v>
      </c>
      <c r="G53" s="47"/>
      <c r="H53" s="3" t="s">
        <v>3759</v>
      </c>
    </row>
    <row r="54" spans="1:9">
      <c r="A54" s="178" t="s">
        <v>6738</v>
      </c>
      <c r="B54" s="177" t="s">
        <v>6739</v>
      </c>
      <c r="C54" s="178" t="s">
        <v>6737</v>
      </c>
      <c r="D54" s="12">
        <v>2</v>
      </c>
      <c r="E54" s="12">
        <v>0</v>
      </c>
      <c r="F54" s="22" t="s">
        <v>6694</v>
      </c>
      <c r="G54" s="47"/>
      <c r="H54" s="3" t="s">
        <v>3759</v>
      </c>
    </row>
    <row r="55" spans="1:9">
      <c r="A55" s="178" t="s">
        <v>6740</v>
      </c>
      <c r="B55" s="177">
        <v>4130</v>
      </c>
      <c r="C55" s="178" t="s">
        <v>6737</v>
      </c>
      <c r="D55" s="12">
        <v>1</v>
      </c>
      <c r="E55" s="12">
        <v>0</v>
      </c>
      <c r="F55" s="22" t="s">
        <v>6694</v>
      </c>
      <c r="G55" s="47"/>
      <c r="H55" s="3" t="s">
        <v>3759</v>
      </c>
    </row>
    <row r="56" spans="1:9">
      <c r="A56" s="178" t="s">
        <v>6741</v>
      </c>
      <c r="B56" s="177" t="s">
        <v>6742</v>
      </c>
      <c r="C56" s="178" t="s">
        <v>4387</v>
      </c>
      <c r="D56" s="12">
        <v>1</v>
      </c>
      <c r="E56" s="12">
        <v>0</v>
      </c>
      <c r="F56" s="22" t="s">
        <v>6694</v>
      </c>
      <c r="G56" s="3"/>
      <c r="H56" s="3" t="s">
        <v>6103</v>
      </c>
      <c r="I56" s="190" t="s">
        <v>5936</v>
      </c>
    </row>
    <row r="57" spans="1:9">
      <c r="A57" s="178" t="s">
        <v>4415</v>
      </c>
      <c r="B57" s="177" t="s">
        <v>6743</v>
      </c>
      <c r="C57" s="178" t="s">
        <v>6744</v>
      </c>
      <c r="D57" s="12">
        <v>2</v>
      </c>
      <c r="E57" s="99">
        <v>1</v>
      </c>
      <c r="F57" s="100" t="s">
        <v>6694</v>
      </c>
      <c r="G57" s="47"/>
      <c r="H57" s="3" t="s">
        <v>3759</v>
      </c>
    </row>
    <row r="58" spans="1:9">
      <c r="A58" s="178" t="s">
        <v>5538</v>
      </c>
      <c r="B58" s="177" t="s">
        <v>5712</v>
      </c>
      <c r="C58" s="177" t="s">
        <v>1423</v>
      </c>
      <c r="D58" s="12">
        <v>1</v>
      </c>
      <c r="E58" s="99">
        <v>1</v>
      </c>
      <c r="F58" s="100" t="s">
        <v>6694</v>
      </c>
      <c r="G58" s="47"/>
      <c r="H58" s="3" t="s">
        <v>3759</v>
      </c>
    </row>
    <row r="59" spans="1:9">
      <c r="A59" s="188" t="s">
        <v>6745</v>
      </c>
      <c r="B59" s="177" t="s">
        <v>6746</v>
      </c>
      <c r="C59" s="177" t="s">
        <v>4909</v>
      </c>
      <c r="D59" s="12">
        <v>2</v>
      </c>
      <c r="E59" s="12">
        <v>0</v>
      </c>
      <c r="F59" s="22" t="s">
        <v>6694</v>
      </c>
      <c r="G59" s="3"/>
      <c r="H59" s="3" t="s">
        <v>6103</v>
      </c>
      <c r="I59" s="190" t="s">
        <v>5936</v>
      </c>
    </row>
    <row r="60" spans="1:9">
      <c r="A60" s="33" t="s">
        <v>4772</v>
      </c>
      <c r="B60" s="33">
        <v>8930350</v>
      </c>
      <c r="C60" s="33" t="s">
        <v>3862</v>
      </c>
      <c r="D60" s="12">
        <v>1</v>
      </c>
      <c r="E60" s="12">
        <v>0</v>
      </c>
      <c r="F60" s="22" t="s">
        <v>6694</v>
      </c>
      <c r="G60" s="3"/>
      <c r="H60" s="3" t="s">
        <v>3759</v>
      </c>
      <c r="I60" s="224">
        <v>81307</v>
      </c>
    </row>
    <row r="61" spans="1:9">
      <c r="A61" s="13" t="s">
        <v>6747</v>
      </c>
      <c r="B61" s="13" t="s">
        <v>6748</v>
      </c>
      <c r="C61" s="10" t="s">
        <v>640</v>
      </c>
      <c r="D61" s="10">
        <v>2</v>
      </c>
      <c r="E61" s="12">
        <v>0</v>
      </c>
      <c r="F61" s="22" t="s">
        <v>6694</v>
      </c>
      <c r="G61" s="3"/>
      <c r="H61" s="3"/>
      <c r="I61" s="224"/>
    </row>
    <row r="62" spans="1:9">
      <c r="A62" s="7" t="s">
        <v>6749</v>
      </c>
      <c r="B62" s="7">
        <v>1561</v>
      </c>
      <c r="C62" s="10" t="s">
        <v>640</v>
      </c>
      <c r="D62" s="10">
        <v>1</v>
      </c>
      <c r="E62" s="12">
        <v>0</v>
      </c>
      <c r="F62" s="22" t="s">
        <v>6694</v>
      </c>
      <c r="G62" s="3"/>
      <c r="H62" s="3"/>
      <c r="I62" s="224"/>
    </row>
    <row r="63" spans="1:9">
      <c r="A63" s="7" t="s">
        <v>6750</v>
      </c>
      <c r="B63" s="7">
        <v>3576</v>
      </c>
      <c r="C63" s="10" t="s">
        <v>640</v>
      </c>
      <c r="D63" s="10">
        <v>1</v>
      </c>
      <c r="E63" s="12">
        <v>0</v>
      </c>
      <c r="F63" s="22" t="s">
        <v>6694</v>
      </c>
      <c r="G63" s="3"/>
      <c r="H63" s="3"/>
      <c r="I63" s="224"/>
    </row>
    <row r="64" spans="1:9">
      <c r="A64" s="7" t="s">
        <v>6751</v>
      </c>
      <c r="B64" s="7">
        <v>4489</v>
      </c>
      <c r="C64" s="10" t="s">
        <v>6688</v>
      </c>
      <c r="D64" s="10">
        <v>1</v>
      </c>
      <c r="E64" s="12">
        <v>0</v>
      </c>
      <c r="F64" s="22" t="s">
        <v>6694</v>
      </c>
      <c r="G64" s="3"/>
      <c r="H64" s="3"/>
      <c r="I64" s="224"/>
    </row>
    <row r="66" spans="1:9" ht="21.6">
      <c r="A66" s="178" t="s">
        <v>4493</v>
      </c>
      <c r="B66" s="176" t="s">
        <v>6752</v>
      </c>
      <c r="C66" s="178" t="s">
        <v>6753</v>
      </c>
      <c r="D66" s="12">
        <v>3</v>
      </c>
      <c r="E66" s="29">
        <v>1</v>
      </c>
      <c r="F66" s="22" t="s">
        <v>6754</v>
      </c>
      <c r="G66" s="47"/>
      <c r="H66" s="3" t="s">
        <v>6076</v>
      </c>
      <c r="I66" s="190" t="s">
        <v>6755</v>
      </c>
    </row>
    <row r="67" spans="1:9">
      <c r="A67" s="178" t="s">
        <v>6756</v>
      </c>
      <c r="B67" s="176" t="s">
        <v>6757</v>
      </c>
      <c r="C67" s="178" t="s">
        <v>6758</v>
      </c>
      <c r="D67" s="12">
        <v>2</v>
      </c>
      <c r="E67" s="12">
        <v>0</v>
      </c>
      <c r="F67" s="22" t="s">
        <v>6754</v>
      </c>
      <c r="G67" s="47"/>
      <c r="H67" s="3" t="s">
        <v>6076</v>
      </c>
      <c r="I67" s="190" t="s">
        <v>6759</v>
      </c>
    </row>
    <row r="68" spans="1:9">
      <c r="A68" s="178" t="s">
        <v>6760</v>
      </c>
      <c r="B68" s="176" t="s">
        <v>6761</v>
      </c>
      <c r="C68" s="178" t="s">
        <v>6762</v>
      </c>
      <c r="D68" s="12">
        <v>1</v>
      </c>
      <c r="E68" s="12">
        <v>0</v>
      </c>
      <c r="F68" s="22" t="s">
        <v>6754</v>
      </c>
      <c r="G68" s="47" t="s">
        <v>6763</v>
      </c>
      <c r="H68" s="3" t="s">
        <v>3759</v>
      </c>
    </row>
    <row r="69" spans="1:9">
      <c r="A69" s="178" t="s">
        <v>6764</v>
      </c>
      <c r="B69" s="177">
        <v>2731</v>
      </c>
      <c r="C69" s="178" t="s">
        <v>6765</v>
      </c>
      <c r="D69" s="12">
        <v>1</v>
      </c>
      <c r="E69" s="12">
        <v>0</v>
      </c>
      <c r="F69" s="22" t="s">
        <v>6754</v>
      </c>
      <c r="G69" s="3"/>
      <c r="H69" s="3" t="s">
        <v>3807</v>
      </c>
      <c r="I69" s="190" t="s">
        <v>5936</v>
      </c>
    </row>
    <row r="70" spans="1:9">
      <c r="A70" s="178" t="s">
        <v>6766</v>
      </c>
      <c r="B70" s="177" t="s">
        <v>6767</v>
      </c>
      <c r="C70" s="178" t="s">
        <v>6768</v>
      </c>
      <c r="D70" s="12">
        <v>2</v>
      </c>
      <c r="E70" s="12">
        <v>0</v>
      </c>
      <c r="F70" s="22" t="s">
        <v>6754</v>
      </c>
      <c r="G70" s="47"/>
      <c r="H70" s="3" t="s">
        <v>3759</v>
      </c>
    </row>
    <row r="71" spans="1:9">
      <c r="A71" s="178" t="s">
        <v>6769</v>
      </c>
      <c r="B71" s="177">
        <v>4657</v>
      </c>
      <c r="C71" s="178" t="s">
        <v>6770</v>
      </c>
      <c r="D71" s="12">
        <v>1</v>
      </c>
      <c r="E71" s="12">
        <v>0</v>
      </c>
      <c r="F71" s="22" t="s">
        <v>6754</v>
      </c>
      <c r="G71" s="3"/>
      <c r="H71" s="3" t="s">
        <v>6103</v>
      </c>
      <c r="I71" s="190" t="s">
        <v>5936</v>
      </c>
    </row>
    <row r="72" spans="1:9" ht="31.8">
      <c r="A72" s="178" t="s">
        <v>4277</v>
      </c>
      <c r="B72" s="176" t="s">
        <v>6771</v>
      </c>
      <c r="C72" s="178" t="s">
        <v>6772</v>
      </c>
      <c r="D72" s="12">
        <v>5</v>
      </c>
      <c r="E72" s="29">
        <v>1</v>
      </c>
      <c r="F72" s="22" t="s">
        <v>6754</v>
      </c>
      <c r="G72" s="47"/>
      <c r="H72" s="3" t="s">
        <v>6773</v>
      </c>
      <c r="I72" s="190" t="s">
        <v>6774</v>
      </c>
    </row>
    <row r="73" spans="1:9" ht="28.8">
      <c r="A73" s="178" t="s">
        <v>6775</v>
      </c>
      <c r="B73" s="176" t="s">
        <v>6776</v>
      </c>
      <c r="C73" s="178" t="s">
        <v>6777</v>
      </c>
      <c r="D73" s="12">
        <v>1</v>
      </c>
      <c r="E73" s="12">
        <v>0</v>
      </c>
      <c r="F73" s="22" t="s">
        <v>6754</v>
      </c>
      <c r="G73" s="47"/>
      <c r="H73" s="3" t="s">
        <v>6076</v>
      </c>
      <c r="I73" s="190" t="s">
        <v>6778</v>
      </c>
    </row>
    <row r="74" spans="1:9">
      <c r="A74" s="178" t="s">
        <v>6779</v>
      </c>
      <c r="B74" s="177">
        <v>680105</v>
      </c>
      <c r="C74" s="178" t="s">
        <v>6780</v>
      </c>
      <c r="D74" s="12">
        <v>1</v>
      </c>
      <c r="E74" s="12">
        <v>0</v>
      </c>
      <c r="F74" s="22" t="s">
        <v>6754</v>
      </c>
      <c r="G74" s="47"/>
      <c r="H74" s="3" t="s">
        <v>3759</v>
      </c>
    </row>
    <row r="75" spans="1:9" ht="28.8">
      <c r="A75" s="178" t="s">
        <v>6781</v>
      </c>
      <c r="B75" s="177" t="s">
        <v>6782</v>
      </c>
      <c r="C75" s="178" t="s">
        <v>6783</v>
      </c>
      <c r="D75" s="12">
        <v>1</v>
      </c>
      <c r="E75" s="12">
        <v>0</v>
      </c>
      <c r="F75" s="22" t="s">
        <v>6754</v>
      </c>
      <c r="G75" s="47"/>
      <c r="H75" s="3" t="s">
        <v>3807</v>
      </c>
      <c r="I75" s="190" t="s">
        <v>6784</v>
      </c>
    </row>
    <row r="76" spans="1:9" ht="28.8">
      <c r="A76" s="96" t="s">
        <v>4219</v>
      </c>
      <c r="B76" s="130" t="s">
        <v>6785</v>
      </c>
      <c r="C76" s="96" t="s">
        <v>6786</v>
      </c>
      <c r="D76" s="30">
        <v>6</v>
      </c>
      <c r="E76" s="35">
        <v>1</v>
      </c>
      <c r="F76" s="31" t="s">
        <v>6754</v>
      </c>
      <c r="G76" s="49"/>
      <c r="H76" s="33" t="s">
        <v>6195</v>
      </c>
      <c r="I76" s="190" t="s">
        <v>6787</v>
      </c>
    </row>
    <row r="77" spans="1:9">
      <c r="A77" s="178">
        <v>3199949</v>
      </c>
      <c r="B77" s="177" t="s">
        <v>6788</v>
      </c>
      <c r="C77" s="178" t="s">
        <v>6789</v>
      </c>
      <c r="D77" s="12">
        <v>1</v>
      </c>
      <c r="E77" s="12">
        <v>0</v>
      </c>
      <c r="F77" s="22" t="s">
        <v>6754</v>
      </c>
      <c r="G77" s="3"/>
      <c r="H77" s="3" t="s">
        <v>3807</v>
      </c>
      <c r="I77" s="190" t="s">
        <v>5936</v>
      </c>
    </row>
    <row r="78" spans="1:9">
      <c r="A78" s="187" t="s">
        <v>6790</v>
      </c>
      <c r="B78" s="177" t="s">
        <v>6791</v>
      </c>
      <c r="C78" s="178" t="s">
        <v>6792</v>
      </c>
      <c r="D78" s="12">
        <v>1</v>
      </c>
      <c r="E78" s="12">
        <v>0</v>
      </c>
      <c r="F78" s="22" t="s">
        <v>6754</v>
      </c>
      <c r="G78" s="47"/>
      <c r="H78" s="3" t="s">
        <v>3759</v>
      </c>
    </row>
    <row r="79" spans="1:9">
      <c r="A79" s="178" t="s">
        <v>3924</v>
      </c>
      <c r="B79" s="177">
        <v>1233</v>
      </c>
      <c r="C79" s="178" t="s">
        <v>6793</v>
      </c>
      <c r="D79" s="12">
        <v>1</v>
      </c>
      <c r="E79" s="29">
        <v>1</v>
      </c>
      <c r="F79" s="22" t="s">
        <v>6754</v>
      </c>
      <c r="G79" s="47"/>
      <c r="H79" s="3" t="s">
        <v>3807</v>
      </c>
      <c r="I79" s="190" t="s">
        <v>6794</v>
      </c>
    </row>
    <row r="80" spans="1:9">
      <c r="A80" s="33" t="s">
        <v>6760</v>
      </c>
      <c r="B80" s="33" t="s">
        <v>6795</v>
      </c>
      <c r="C80" s="33" t="s">
        <v>6796</v>
      </c>
      <c r="D80" s="12">
        <v>1</v>
      </c>
      <c r="E80" s="166">
        <v>0</v>
      </c>
      <c r="F80" s="22" t="s">
        <v>6754</v>
      </c>
      <c r="G80" s="47"/>
      <c r="H80" s="3"/>
    </row>
    <row r="81" spans="1:9">
      <c r="A81" s="178" t="s">
        <v>5394</v>
      </c>
      <c r="B81" s="183">
        <v>90100545</v>
      </c>
      <c r="C81" s="178" t="s">
        <v>6797</v>
      </c>
      <c r="D81" s="12">
        <v>1</v>
      </c>
      <c r="E81" s="12">
        <v>1</v>
      </c>
      <c r="F81" s="22" t="s">
        <v>6754</v>
      </c>
      <c r="G81" s="47"/>
      <c r="H81" s="3"/>
    </row>
    <row r="82" spans="1:9">
      <c r="A82" s="165" t="s">
        <v>6798</v>
      </c>
      <c r="B82" s="163" t="s">
        <v>6799</v>
      </c>
      <c r="C82" s="166" t="s">
        <v>6800</v>
      </c>
      <c r="D82" s="12">
        <v>1</v>
      </c>
      <c r="E82" s="166">
        <v>0</v>
      </c>
      <c r="F82" s="22" t="s">
        <v>6754</v>
      </c>
      <c r="G82" s="47"/>
      <c r="H82" s="3"/>
    </row>
    <row r="83" spans="1:9">
      <c r="A83" s="179"/>
      <c r="B83" s="179"/>
      <c r="C83" s="179"/>
      <c r="D83" s="51"/>
      <c r="E83" s="51"/>
      <c r="F83" s="22"/>
      <c r="G83" s="47"/>
      <c r="H83" s="3"/>
    </row>
    <row r="84" spans="1:9">
      <c r="A84" s="178" t="s">
        <v>5094</v>
      </c>
      <c r="B84" s="177" t="s">
        <v>8127</v>
      </c>
      <c r="C84" s="178" t="s">
        <v>6801</v>
      </c>
      <c r="D84" s="12" t="s">
        <v>8128</v>
      </c>
      <c r="E84" s="29">
        <v>0</v>
      </c>
      <c r="F84" s="22" t="s">
        <v>6802</v>
      </c>
      <c r="G84" s="3"/>
      <c r="H84" s="3" t="s">
        <v>3807</v>
      </c>
      <c r="I84" s="190" t="s">
        <v>5936</v>
      </c>
    </row>
    <row r="85" spans="1:9">
      <c r="A85" s="178" t="s">
        <v>6803</v>
      </c>
      <c r="B85" s="176" t="s">
        <v>6804</v>
      </c>
      <c r="C85" s="178" t="s">
        <v>6805</v>
      </c>
      <c r="D85" s="12">
        <v>3</v>
      </c>
      <c r="E85" s="12">
        <v>0</v>
      </c>
      <c r="F85" s="22" t="s">
        <v>6802</v>
      </c>
      <c r="G85" s="47"/>
      <c r="H85" s="3" t="s">
        <v>6076</v>
      </c>
    </row>
    <row r="86" spans="1:9">
      <c r="A86" s="178" t="s">
        <v>6806</v>
      </c>
      <c r="B86" s="177">
        <v>8203439</v>
      </c>
      <c r="C86" s="178" t="s">
        <v>6807</v>
      </c>
      <c r="D86" s="12">
        <v>1</v>
      </c>
      <c r="E86" s="12">
        <v>0</v>
      </c>
      <c r="F86" s="22" t="s">
        <v>6802</v>
      </c>
      <c r="G86" s="47"/>
      <c r="H86" s="3" t="s">
        <v>3759</v>
      </c>
    </row>
    <row r="87" spans="1:9">
      <c r="A87" s="178" t="s">
        <v>6808</v>
      </c>
      <c r="B87" s="177" t="s">
        <v>6809</v>
      </c>
      <c r="C87" s="178" t="s">
        <v>6810</v>
      </c>
      <c r="D87" s="12">
        <v>1</v>
      </c>
      <c r="E87" s="12">
        <v>0</v>
      </c>
      <c r="F87" s="22" t="s">
        <v>6802</v>
      </c>
      <c r="G87" s="47"/>
      <c r="H87" s="3" t="s">
        <v>3759</v>
      </c>
    </row>
    <row r="88" spans="1:9">
      <c r="A88" s="178" t="s">
        <v>6811</v>
      </c>
      <c r="B88" s="177">
        <v>594</v>
      </c>
      <c r="C88" s="178" t="s">
        <v>6812</v>
      </c>
      <c r="D88" s="12">
        <v>1</v>
      </c>
      <c r="E88" s="12">
        <v>0</v>
      </c>
      <c r="F88" s="22" t="s">
        <v>6802</v>
      </c>
      <c r="G88" s="3"/>
      <c r="H88" s="3" t="s">
        <v>3807</v>
      </c>
      <c r="I88" s="190" t="s">
        <v>5936</v>
      </c>
    </row>
    <row r="89" spans="1:9">
      <c r="A89" s="178" t="s">
        <v>6813</v>
      </c>
      <c r="B89" s="177">
        <v>80043009</v>
      </c>
      <c r="C89" s="178" t="s">
        <v>6814</v>
      </c>
      <c r="D89" s="12">
        <v>1</v>
      </c>
      <c r="E89" s="12">
        <v>0</v>
      </c>
      <c r="F89" s="22" t="s">
        <v>6802</v>
      </c>
      <c r="G89" s="47"/>
      <c r="H89" s="3" t="s">
        <v>3759</v>
      </c>
    </row>
    <row r="90" spans="1:9">
      <c r="A90" s="178" t="s">
        <v>6815</v>
      </c>
      <c r="B90" s="177">
        <v>5052082</v>
      </c>
      <c r="C90" s="178" t="s">
        <v>6816</v>
      </c>
      <c r="D90" s="12">
        <v>1</v>
      </c>
      <c r="E90" s="12">
        <v>0</v>
      </c>
      <c r="F90" s="22" t="s">
        <v>6802</v>
      </c>
      <c r="G90" s="47"/>
      <c r="H90" s="3" t="s">
        <v>3759</v>
      </c>
    </row>
    <row r="91" spans="1:9">
      <c r="A91" s="180" t="s">
        <v>6817</v>
      </c>
      <c r="B91" s="177">
        <v>3133</v>
      </c>
      <c r="C91" s="178" t="s">
        <v>6818</v>
      </c>
      <c r="D91" s="12">
        <v>1</v>
      </c>
      <c r="E91" s="12">
        <v>0</v>
      </c>
      <c r="F91" s="22" t="s">
        <v>6802</v>
      </c>
      <c r="G91" s="47"/>
      <c r="H91" s="3" t="s">
        <v>3759</v>
      </c>
    </row>
    <row r="92" spans="1:9">
      <c r="A92" s="178" t="s">
        <v>6819</v>
      </c>
      <c r="B92" s="177" t="s">
        <v>6820</v>
      </c>
      <c r="C92" s="178" t="s">
        <v>4221</v>
      </c>
      <c r="D92" s="12">
        <v>1</v>
      </c>
      <c r="E92" s="12">
        <v>0</v>
      </c>
      <c r="F92" s="22" t="s">
        <v>6802</v>
      </c>
      <c r="G92" s="3"/>
      <c r="H92" s="3" t="s">
        <v>3807</v>
      </c>
      <c r="I92" s="190" t="s">
        <v>5936</v>
      </c>
    </row>
    <row r="93" spans="1:9" s="1" customFormat="1" ht="20.399999999999999">
      <c r="A93" s="96" t="s">
        <v>3966</v>
      </c>
      <c r="B93" s="184" t="s">
        <v>6821</v>
      </c>
      <c r="C93" s="96" t="s">
        <v>6669</v>
      </c>
      <c r="D93" s="30">
        <v>2</v>
      </c>
      <c r="E93" s="35">
        <v>1</v>
      </c>
      <c r="F93" s="31" t="s">
        <v>6802</v>
      </c>
      <c r="G93" s="48"/>
      <c r="H93" s="33" t="s">
        <v>6103</v>
      </c>
      <c r="I93" s="192" t="s">
        <v>6822</v>
      </c>
    </row>
    <row r="94" spans="1:9">
      <c r="A94" s="178" t="s">
        <v>6823</v>
      </c>
      <c r="B94" s="177" t="s">
        <v>6824</v>
      </c>
      <c r="C94" s="178" t="s">
        <v>6825</v>
      </c>
      <c r="D94" s="12">
        <v>1</v>
      </c>
      <c r="E94" s="12">
        <v>0</v>
      </c>
      <c r="F94" s="22" t="s">
        <v>6802</v>
      </c>
      <c r="G94" s="47"/>
      <c r="H94" s="3" t="s">
        <v>3759</v>
      </c>
    </row>
    <row r="95" spans="1:9">
      <c r="A95" s="178" t="s">
        <v>3942</v>
      </c>
      <c r="B95" s="177">
        <v>2183</v>
      </c>
      <c r="C95" s="178" t="s">
        <v>6826</v>
      </c>
      <c r="D95" s="12">
        <v>1</v>
      </c>
      <c r="E95" s="29">
        <v>1</v>
      </c>
      <c r="F95" s="22" t="s">
        <v>6802</v>
      </c>
      <c r="G95" s="47"/>
      <c r="H95" s="3" t="s">
        <v>3807</v>
      </c>
    </row>
    <row r="96" spans="1:9">
      <c r="A96" s="180" t="s">
        <v>6827</v>
      </c>
      <c r="B96" s="177">
        <v>2172</v>
      </c>
      <c r="C96" s="178" t="s">
        <v>6828</v>
      </c>
      <c r="D96" s="12">
        <v>1</v>
      </c>
      <c r="E96" s="12">
        <v>0</v>
      </c>
      <c r="F96" s="22" t="s">
        <v>6802</v>
      </c>
      <c r="G96" s="47"/>
      <c r="H96" s="3" t="s">
        <v>3807</v>
      </c>
      <c r="I96" s="190" t="s">
        <v>6829</v>
      </c>
    </row>
    <row r="97" spans="1:10">
      <c r="A97" s="178" t="s">
        <v>5189</v>
      </c>
      <c r="B97" s="177" t="s">
        <v>6830</v>
      </c>
      <c r="C97" s="178" t="s">
        <v>4221</v>
      </c>
      <c r="D97" s="12">
        <v>1</v>
      </c>
      <c r="E97" s="29">
        <v>1</v>
      </c>
      <c r="F97" s="22" t="s">
        <v>6802</v>
      </c>
      <c r="G97" s="3"/>
      <c r="H97" s="3" t="s">
        <v>3807</v>
      </c>
      <c r="I97" s="190" t="s">
        <v>5936</v>
      </c>
    </row>
    <row r="98" spans="1:10">
      <c r="A98" s="178" t="s">
        <v>6831</v>
      </c>
      <c r="B98" s="176" t="s">
        <v>6832</v>
      </c>
      <c r="C98" s="178" t="s">
        <v>4221</v>
      </c>
      <c r="D98" s="12">
        <v>2</v>
      </c>
      <c r="E98" s="12">
        <v>0</v>
      </c>
      <c r="F98" s="22" t="s">
        <v>6802</v>
      </c>
      <c r="G98" s="47"/>
      <c r="H98" s="3" t="s">
        <v>5829</v>
      </c>
      <c r="I98" s="190" t="s">
        <v>6833</v>
      </c>
    </row>
    <row r="99" spans="1:10">
      <c r="A99" s="178" t="s">
        <v>4978</v>
      </c>
      <c r="B99" s="177" t="s">
        <v>6834</v>
      </c>
      <c r="C99" s="178" t="s">
        <v>4221</v>
      </c>
      <c r="D99" s="12">
        <v>1</v>
      </c>
      <c r="E99" s="29">
        <v>2</v>
      </c>
      <c r="F99" s="22" t="s">
        <v>6802</v>
      </c>
      <c r="G99" s="3"/>
      <c r="H99" s="3" t="s">
        <v>3807</v>
      </c>
      <c r="I99" s="190" t="s">
        <v>5936</v>
      </c>
    </row>
    <row r="100" spans="1:10" ht="21" customHeight="1">
      <c r="A100" s="96" t="s">
        <v>4953</v>
      </c>
      <c r="B100" s="130" t="s">
        <v>6835</v>
      </c>
      <c r="C100" s="96" t="s">
        <v>6768</v>
      </c>
      <c r="D100" s="30">
        <v>1</v>
      </c>
      <c r="E100" s="30">
        <v>0</v>
      </c>
      <c r="F100" s="31" t="s">
        <v>6802</v>
      </c>
      <c r="G100" s="263"/>
      <c r="H100" s="33" t="s">
        <v>5829</v>
      </c>
      <c r="I100" s="190" t="s">
        <v>6836</v>
      </c>
    </row>
    <row r="101" spans="1:10">
      <c r="A101" s="177" t="s">
        <v>6837</v>
      </c>
      <c r="B101" s="177">
        <v>90102481</v>
      </c>
      <c r="C101" s="178" t="s">
        <v>6838</v>
      </c>
      <c r="D101" s="12">
        <v>1</v>
      </c>
      <c r="E101" s="12">
        <v>0</v>
      </c>
      <c r="F101" s="22" t="s">
        <v>6802</v>
      </c>
      <c r="G101" s="3"/>
      <c r="H101" s="3" t="s">
        <v>3807</v>
      </c>
      <c r="I101" s="190" t="s">
        <v>5936</v>
      </c>
    </row>
    <row r="102" spans="1:10">
      <c r="A102" s="178" t="s">
        <v>6839</v>
      </c>
      <c r="B102" s="177">
        <v>3564</v>
      </c>
      <c r="C102" s="178" t="s">
        <v>6840</v>
      </c>
      <c r="D102" s="12">
        <v>1</v>
      </c>
      <c r="E102" s="12">
        <v>0</v>
      </c>
      <c r="F102" s="22" t="s">
        <v>6802</v>
      </c>
      <c r="G102" s="3"/>
      <c r="H102" s="3" t="s">
        <v>3807</v>
      </c>
      <c r="I102" s="190" t="s">
        <v>5936</v>
      </c>
    </row>
    <row r="103" spans="1:10">
      <c r="A103" s="33" t="s">
        <v>4953</v>
      </c>
      <c r="B103" s="33" t="s">
        <v>6841</v>
      </c>
      <c r="C103" s="33" t="s">
        <v>5116</v>
      </c>
      <c r="D103" s="12">
        <v>1</v>
      </c>
      <c r="E103" s="12">
        <v>0</v>
      </c>
      <c r="F103" s="22" t="s">
        <v>6802</v>
      </c>
      <c r="G103" s="3"/>
      <c r="H103" s="3" t="s">
        <v>3759</v>
      </c>
      <c r="I103" s="224">
        <v>81290</v>
      </c>
    </row>
    <row r="104" spans="1:10">
      <c r="A104" s="33" t="s">
        <v>5330</v>
      </c>
      <c r="B104" s="33">
        <v>2816</v>
      </c>
      <c r="C104" s="33" t="s">
        <v>5095</v>
      </c>
      <c r="D104" s="12">
        <v>1</v>
      </c>
      <c r="E104" s="166">
        <v>0</v>
      </c>
      <c r="F104" s="22" t="s">
        <v>6802</v>
      </c>
      <c r="G104" s="47"/>
      <c r="H104" s="3"/>
    </row>
    <row r="105" spans="1:10">
      <c r="A105" s="222" t="s">
        <v>6842</v>
      </c>
      <c r="B105" s="222">
        <v>25614</v>
      </c>
      <c r="C105" s="33" t="s">
        <v>6843</v>
      </c>
      <c r="D105" s="12">
        <v>1</v>
      </c>
      <c r="E105" s="166">
        <v>0</v>
      </c>
      <c r="F105" s="22" t="s">
        <v>6802</v>
      </c>
      <c r="G105" s="47"/>
      <c r="H105" s="3"/>
    </row>
    <row r="106" spans="1:10">
      <c r="A106" s="222"/>
      <c r="B106" s="222"/>
      <c r="C106" s="33"/>
      <c r="D106" s="12"/>
      <c r="E106" s="166"/>
      <c r="F106" s="22"/>
      <c r="G106" s="47"/>
      <c r="H106" s="3"/>
    </row>
    <row r="107" spans="1:10">
      <c r="A107" s="7" t="s">
        <v>6844</v>
      </c>
      <c r="B107" s="7">
        <v>7038</v>
      </c>
      <c r="C107" s="10" t="s">
        <v>6845</v>
      </c>
      <c r="D107" s="10">
        <v>1</v>
      </c>
      <c r="E107" s="12">
        <v>0</v>
      </c>
      <c r="F107" s="12" t="s">
        <v>6846</v>
      </c>
      <c r="G107" s="47"/>
      <c r="H107" s="3"/>
    </row>
    <row r="108" spans="1:10">
      <c r="A108" s="7" t="s">
        <v>4930</v>
      </c>
      <c r="B108" s="7" t="s">
        <v>6847</v>
      </c>
      <c r="C108" s="10" t="s">
        <v>5696</v>
      </c>
      <c r="D108" s="10">
        <v>3</v>
      </c>
      <c r="E108" s="12">
        <v>1</v>
      </c>
      <c r="F108" s="12" t="s">
        <v>6846</v>
      </c>
      <c r="G108" s="3"/>
      <c r="H108" s="3" t="s">
        <v>3807</v>
      </c>
      <c r="I108" s="190" t="s">
        <v>5936</v>
      </c>
      <c r="J108" t="s">
        <v>6848</v>
      </c>
    </row>
    <row r="109" spans="1:10">
      <c r="A109" s="7" t="s">
        <v>5158</v>
      </c>
      <c r="B109" s="7">
        <v>1357</v>
      </c>
      <c r="C109" s="10" t="s">
        <v>5182</v>
      </c>
      <c r="D109" s="10">
        <v>1</v>
      </c>
      <c r="E109" s="12">
        <v>0</v>
      </c>
      <c r="F109" s="12" t="s">
        <v>6846</v>
      </c>
      <c r="G109" s="47"/>
      <c r="H109" s="3"/>
    </row>
    <row r="110" spans="1:10">
      <c r="A110" s="7" t="s">
        <v>4767</v>
      </c>
      <c r="B110" s="7" t="s">
        <v>6849</v>
      </c>
      <c r="C110" s="10" t="s">
        <v>6850</v>
      </c>
      <c r="D110" s="10">
        <v>2</v>
      </c>
      <c r="E110" s="12">
        <v>0</v>
      </c>
      <c r="F110" s="12" t="s">
        <v>6846</v>
      </c>
      <c r="G110" s="47"/>
      <c r="H110" s="3"/>
    </row>
    <row r="111" spans="1:10">
      <c r="A111" s="13" t="s">
        <v>6851</v>
      </c>
      <c r="B111" s="13" t="s">
        <v>6852</v>
      </c>
      <c r="C111" s="10" t="s">
        <v>6669</v>
      </c>
      <c r="D111" s="10">
        <v>1</v>
      </c>
      <c r="E111" s="12">
        <v>0</v>
      </c>
      <c r="F111" s="12" t="s">
        <v>6846</v>
      </c>
      <c r="G111" s="47"/>
      <c r="H111" s="3"/>
    </row>
    <row r="112" spans="1:10">
      <c r="A112" s="7" t="s">
        <v>5111</v>
      </c>
      <c r="B112" s="7" t="s">
        <v>6853</v>
      </c>
      <c r="C112" s="10" t="s">
        <v>5112</v>
      </c>
      <c r="D112" s="175">
        <v>3</v>
      </c>
      <c r="E112" s="12">
        <v>1</v>
      </c>
      <c r="F112" s="12" t="s">
        <v>6846</v>
      </c>
      <c r="G112" s="47"/>
      <c r="H112" s="3"/>
    </row>
    <row r="113" spans="1:9">
      <c r="A113" s="7" t="s">
        <v>6736</v>
      </c>
      <c r="B113" s="7">
        <v>697</v>
      </c>
      <c r="C113" s="10" t="s">
        <v>6688</v>
      </c>
      <c r="D113" s="10">
        <v>1</v>
      </c>
      <c r="E113" s="12">
        <v>0</v>
      </c>
      <c r="F113" s="12" t="s">
        <v>6846</v>
      </c>
      <c r="G113" s="47"/>
      <c r="H113" s="3"/>
    </row>
    <row r="114" spans="1:9">
      <c r="A114" s="7" t="s">
        <v>3970</v>
      </c>
      <c r="B114" s="7">
        <v>4585</v>
      </c>
      <c r="C114" s="10" t="s">
        <v>6854</v>
      </c>
      <c r="D114" s="175">
        <v>1</v>
      </c>
      <c r="E114" s="12">
        <v>2</v>
      </c>
      <c r="F114" s="12" t="s">
        <v>6846</v>
      </c>
      <c r="G114" s="47"/>
      <c r="H114" s="3"/>
    </row>
    <row r="115" spans="1:9">
      <c r="A115" s="178" t="s">
        <v>6855</v>
      </c>
      <c r="B115" s="177" t="s">
        <v>6856</v>
      </c>
      <c r="C115" s="178" t="s">
        <v>6857</v>
      </c>
      <c r="D115" s="12">
        <v>1</v>
      </c>
      <c r="E115" s="12">
        <v>0</v>
      </c>
      <c r="F115" s="12" t="s">
        <v>6846</v>
      </c>
      <c r="G115" s="47"/>
      <c r="H115" s="3"/>
    </row>
    <row r="116" spans="1:9">
      <c r="A116" s="7" t="s">
        <v>6858</v>
      </c>
      <c r="B116" s="7">
        <v>6393</v>
      </c>
      <c r="C116" s="10" t="s">
        <v>640</v>
      </c>
      <c r="D116" s="10">
        <v>1</v>
      </c>
      <c r="E116" s="12">
        <v>0</v>
      </c>
      <c r="F116" s="12" t="s">
        <v>6846</v>
      </c>
      <c r="G116" s="47"/>
      <c r="H116" s="3"/>
    </row>
    <row r="117" spans="1:9">
      <c r="A117" s="7" t="s">
        <v>6859</v>
      </c>
      <c r="B117" s="7">
        <v>959</v>
      </c>
      <c r="C117" s="10" t="s">
        <v>6860</v>
      </c>
      <c r="D117" s="10">
        <v>1</v>
      </c>
      <c r="E117" s="12">
        <v>0</v>
      </c>
      <c r="F117" s="12" t="s">
        <v>6846</v>
      </c>
      <c r="G117" s="47"/>
      <c r="H117" s="3"/>
    </row>
    <row r="118" spans="1:9">
      <c r="A118" s="7" t="s">
        <v>6861</v>
      </c>
      <c r="B118" s="7">
        <v>10758</v>
      </c>
      <c r="C118" s="10" t="s">
        <v>6651</v>
      </c>
      <c r="D118" s="10">
        <v>1</v>
      </c>
      <c r="E118" s="12">
        <v>0</v>
      </c>
      <c r="F118" s="12" t="s">
        <v>6846</v>
      </c>
      <c r="G118" s="47"/>
      <c r="H118" s="3"/>
    </row>
    <row r="119" spans="1:9">
      <c r="A119" s="7" t="s">
        <v>6862</v>
      </c>
      <c r="B119" s="7">
        <v>1061</v>
      </c>
      <c r="C119" s="10" t="s">
        <v>6860</v>
      </c>
      <c r="D119" s="10">
        <v>1</v>
      </c>
      <c r="E119" s="12">
        <v>0</v>
      </c>
      <c r="F119" s="12" t="s">
        <v>6846</v>
      </c>
      <c r="G119" s="47"/>
      <c r="H119" s="3"/>
    </row>
    <row r="120" spans="1:9">
      <c r="A120" s="16" t="s">
        <v>6863</v>
      </c>
      <c r="B120" s="16" t="s">
        <v>6864</v>
      </c>
      <c r="C120" s="17" t="s">
        <v>6865</v>
      </c>
      <c r="D120" s="17">
        <v>1</v>
      </c>
      <c r="E120" s="30">
        <v>0</v>
      </c>
      <c r="F120" s="12" t="s">
        <v>6846</v>
      </c>
      <c r="G120" s="47"/>
      <c r="H120" s="3"/>
    </row>
    <row r="121" spans="1:9">
      <c r="A121" s="41" t="s">
        <v>4995</v>
      </c>
      <c r="B121" s="41" t="s">
        <v>6866</v>
      </c>
      <c r="C121" s="41" t="s">
        <v>1423</v>
      </c>
      <c r="D121" s="12">
        <v>1</v>
      </c>
      <c r="E121" s="12">
        <v>1</v>
      </c>
      <c r="F121" s="12" t="s">
        <v>6846</v>
      </c>
      <c r="G121" s="47"/>
      <c r="H121" s="3" t="s">
        <v>3807</v>
      </c>
      <c r="I121" s="190" t="s">
        <v>6867</v>
      </c>
    </row>
    <row r="122" spans="1:9">
      <c r="A122" s="41" t="s">
        <v>6868</v>
      </c>
      <c r="B122" s="41" t="s">
        <v>6869</v>
      </c>
      <c r="C122" s="41" t="s">
        <v>6870</v>
      </c>
      <c r="D122" s="12">
        <v>1</v>
      </c>
      <c r="E122" s="12">
        <v>0</v>
      </c>
      <c r="F122" s="12" t="s">
        <v>6846</v>
      </c>
      <c r="G122" s="47"/>
      <c r="H122" s="3" t="s">
        <v>6103</v>
      </c>
      <c r="I122" s="190" t="s">
        <v>6871</v>
      </c>
    </row>
    <row r="123" spans="1:9">
      <c r="A123" s="41" t="s">
        <v>6872</v>
      </c>
      <c r="B123" s="41" t="s">
        <v>6873</v>
      </c>
      <c r="C123" s="41" t="s">
        <v>640</v>
      </c>
      <c r="D123" s="12">
        <v>1</v>
      </c>
      <c r="E123" s="12">
        <v>0</v>
      </c>
      <c r="F123" s="12" t="s">
        <v>6846</v>
      </c>
      <c r="G123" s="47"/>
      <c r="H123" s="3" t="s">
        <v>3759</v>
      </c>
    </row>
    <row r="124" spans="1:9">
      <c r="A124" s="41" t="s">
        <v>6874</v>
      </c>
      <c r="B124" s="41" t="s">
        <v>6875</v>
      </c>
      <c r="C124" s="41" t="s">
        <v>6876</v>
      </c>
      <c r="D124" s="12">
        <v>2</v>
      </c>
      <c r="E124" s="12">
        <v>0</v>
      </c>
      <c r="F124" s="12" t="s">
        <v>6846</v>
      </c>
      <c r="G124" s="47"/>
      <c r="H124" s="3" t="s">
        <v>3759</v>
      </c>
    </row>
    <row r="125" spans="1:9">
      <c r="A125" s="41">
        <v>2587567</v>
      </c>
      <c r="B125" s="41">
        <v>85091941</v>
      </c>
      <c r="C125" s="41" t="s">
        <v>6877</v>
      </c>
      <c r="D125" s="12">
        <v>1</v>
      </c>
      <c r="E125" s="12">
        <v>0</v>
      </c>
      <c r="F125" s="12" t="s">
        <v>6846</v>
      </c>
      <c r="G125" s="47"/>
      <c r="H125" s="3" t="s">
        <v>3759</v>
      </c>
    </row>
    <row r="126" spans="1:9">
      <c r="A126" s="41" t="s">
        <v>6878</v>
      </c>
      <c r="B126" s="41">
        <v>80110334</v>
      </c>
      <c r="C126" s="41" t="s">
        <v>6879</v>
      </c>
      <c r="D126" s="12">
        <v>1</v>
      </c>
      <c r="E126" s="12">
        <v>0</v>
      </c>
      <c r="F126" s="12" t="s">
        <v>6846</v>
      </c>
      <c r="G126" s="47"/>
      <c r="H126" s="3" t="s">
        <v>3759</v>
      </c>
    </row>
    <row r="127" spans="1:9">
      <c r="A127" s="41" t="s">
        <v>6880</v>
      </c>
      <c r="B127" s="41">
        <v>84080429</v>
      </c>
      <c r="C127" s="41" t="s">
        <v>6881</v>
      </c>
      <c r="D127" s="12">
        <v>1</v>
      </c>
      <c r="E127" s="12">
        <v>0</v>
      </c>
      <c r="F127" s="12" t="s">
        <v>6846</v>
      </c>
      <c r="G127" s="47"/>
      <c r="H127" s="3" t="s">
        <v>3759</v>
      </c>
      <c r="I127" s="190" t="s">
        <v>6882</v>
      </c>
    </row>
    <row r="128" spans="1:9">
      <c r="A128" s="41" t="s">
        <v>6883</v>
      </c>
      <c r="B128" s="41">
        <v>7061016</v>
      </c>
      <c r="C128" s="41" t="s">
        <v>6884</v>
      </c>
      <c r="D128" s="12">
        <v>1</v>
      </c>
      <c r="E128" s="12">
        <v>0</v>
      </c>
      <c r="F128" s="12" t="s">
        <v>6846</v>
      </c>
      <c r="G128" s="47"/>
      <c r="H128" s="3" t="s">
        <v>3759</v>
      </c>
      <c r="I128" s="190" t="s">
        <v>6871</v>
      </c>
    </row>
    <row r="129" spans="1:9">
      <c r="A129" s="41" t="s">
        <v>6885</v>
      </c>
      <c r="B129" s="41">
        <v>781334</v>
      </c>
      <c r="C129" s="41" t="s">
        <v>6886</v>
      </c>
      <c r="D129" s="12">
        <v>1</v>
      </c>
      <c r="E129" s="12">
        <v>0</v>
      </c>
      <c r="F129" s="12" t="s">
        <v>6846</v>
      </c>
      <c r="G129" s="47"/>
      <c r="H129" s="3" t="s">
        <v>3759</v>
      </c>
      <c r="I129" s="190" t="s">
        <v>6887</v>
      </c>
    </row>
    <row r="130" spans="1:9">
      <c r="A130" s="41" t="s">
        <v>6888</v>
      </c>
      <c r="B130" s="41">
        <v>221</v>
      </c>
      <c r="C130" s="41" t="s">
        <v>6889</v>
      </c>
      <c r="D130" s="12">
        <v>1</v>
      </c>
      <c r="E130" s="12">
        <v>0</v>
      </c>
      <c r="F130" s="12" t="s">
        <v>6846</v>
      </c>
      <c r="G130" s="47"/>
      <c r="H130" s="3" t="s">
        <v>3807</v>
      </c>
      <c r="I130" s="190" t="s">
        <v>6890</v>
      </c>
    </row>
    <row r="131" spans="1:9">
      <c r="A131" s="41"/>
      <c r="B131" s="41"/>
      <c r="C131" s="41"/>
      <c r="D131" s="12"/>
      <c r="E131" s="12"/>
      <c r="F131" s="12"/>
      <c r="G131" s="47"/>
      <c r="H131" s="3"/>
    </row>
    <row r="132" spans="1:9">
      <c r="A132" s="41" t="s">
        <v>6891</v>
      </c>
      <c r="B132" s="41" t="s">
        <v>6892</v>
      </c>
      <c r="C132" s="41" t="s">
        <v>6893</v>
      </c>
      <c r="D132" s="12">
        <v>1</v>
      </c>
      <c r="E132" s="12">
        <v>0</v>
      </c>
      <c r="F132" s="12" t="s">
        <v>6894</v>
      </c>
      <c r="G132" s="47"/>
      <c r="H132" s="3" t="s">
        <v>6103</v>
      </c>
      <c r="I132" s="190">
        <v>75205</v>
      </c>
    </row>
    <row r="133" spans="1:9">
      <c r="A133" s="41" t="s">
        <v>6895</v>
      </c>
      <c r="B133" s="41">
        <v>883</v>
      </c>
      <c r="C133" s="41" t="s">
        <v>6896</v>
      </c>
      <c r="D133" s="12">
        <v>1</v>
      </c>
      <c r="E133" s="12">
        <v>0</v>
      </c>
      <c r="F133" s="12" t="s">
        <v>6894</v>
      </c>
      <c r="G133" s="47"/>
      <c r="H133" s="3" t="s">
        <v>6103</v>
      </c>
      <c r="I133" s="190" t="s">
        <v>6882</v>
      </c>
    </row>
    <row r="134" spans="1:9">
      <c r="A134" s="41" t="s">
        <v>6897</v>
      </c>
      <c r="B134" s="41" t="s">
        <v>6898</v>
      </c>
      <c r="C134" s="41" t="s">
        <v>6899</v>
      </c>
      <c r="D134" s="12">
        <v>1</v>
      </c>
      <c r="E134" s="12">
        <v>0</v>
      </c>
      <c r="F134" s="12" t="s">
        <v>6894</v>
      </c>
      <c r="G134" s="47"/>
      <c r="H134" s="3" t="s">
        <v>3759</v>
      </c>
      <c r="I134" s="190" t="s">
        <v>6882</v>
      </c>
    </row>
    <row r="135" spans="1:9">
      <c r="A135" s="41" t="s">
        <v>6900</v>
      </c>
      <c r="B135" s="41">
        <v>1458</v>
      </c>
      <c r="C135" s="41" t="s">
        <v>418</v>
      </c>
      <c r="D135" s="12">
        <v>1</v>
      </c>
      <c r="E135" s="12">
        <v>0</v>
      </c>
      <c r="F135" s="12" t="s">
        <v>6894</v>
      </c>
      <c r="G135" s="47"/>
      <c r="H135" s="3" t="s">
        <v>3759</v>
      </c>
      <c r="I135" s="190" t="s">
        <v>6882</v>
      </c>
    </row>
    <row r="136" spans="1:9">
      <c r="A136" s="41" t="s">
        <v>6901</v>
      </c>
      <c r="B136" s="41">
        <v>225</v>
      </c>
      <c r="C136" s="41" t="s">
        <v>6737</v>
      </c>
      <c r="D136" s="12">
        <v>1</v>
      </c>
      <c r="E136" s="12">
        <v>0</v>
      </c>
      <c r="F136" s="12" t="s">
        <v>6894</v>
      </c>
      <c r="G136" s="47"/>
      <c r="H136" s="3" t="s">
        <v>3759</v>
      </c>
      <c r="I136" s="190" t="s">
        <v>6882</v>
      </c>
    </row>
    <row r="137" spans="1:9">
      <c r="A137" s="41" t="s">
        <v>6902</v>
      </c>
      <c r="B137" s="41" t="s">
        <v>6903</v>
      </c>
      <c r="C137" s="41" t="s">
        <v>6904</v>
      </c>
      <c r="D137" s="12">
        <v>1</v>
      </c>
      <c r="E137" s="12">
        <v>0</v>
      </c>
      <c r="F137" s="12" t="s">
        <v>6894</v>
      </c>
      <c r="G137" s="47"/>
      <c r="H137" s="3" t="s">
        <v>3759</v>
      </c>
      <c r="I137" s="190" t="s">
        <v>6905</v>
      </c>
    </row>
    <row r="138" spans="1:9">
      <c r="A138" s="41" t="s">
        <v>6906</v>
      </c>
      <c r="B138" s="41">
        <v>140</v>
      </c>
      <c r="C138" s="41" t="s">
        <v>6907</v>
      </c>
      <c r="D138" s="12">
        <v>1</v>
      </c>
      <c r="E138" s="12">
        <v>0</v>
      </c>
      <c r="F138" s="12" t="s">
        <v>6894</v>
      </c>
      <c r="G138" s="47"/>
      <c r="H138" s="3" t="s">
        <v>6103</v>
      </c>
      <c r="I138" s="190" t="s">
        <v>6882</v>
      </c>
    </row>
    <row r="139" spans="1:9">
      <c r="A139" s="41" t="s">
        <v>4196</v>
      </c>
      <c r="B139" s="41">
        <v>2817</v>
      </c>
      <c r="C139" s="41" t="s">
        <v>4197</v>
      </c>
      <c r="D139" s="12">
        <v>1</v>
      </c>
      <c r="E139" s="12">
        <v>0</v>
      </c>
      <c r="F139" s="12" t="s">
        <v>6894</v>
      </c>
      <c r="G139" s="47"/>
      <c r="H139" s="3" t="s">
        <v>6103</v>
      </c>
      <c r="I139" s="190" t="s">
        <v>6908</v>
      </c>
    </row>
    <row r="140" spans="1:9">
      <c r="A140" s="41" t="s">
        <v>6909</v>
      </c>
      <c r="B140" s="41">
        <v>82020446</v>
      </c>
      <c r="C140" s="41" t="s">
        <v>6910</v>
      </c>
      <c r="D140" s="12">
        <v>1</v>
      </c>
      <c r="E140" s="12">
        <v>0</v>
      </c>
      <c r="F140" s="12" t="s">
        <v>6894</v>
      </c>
      <c r="G140" s="47"/>
      <c r="H140" s="3" t="s">
        <v>3759</v>
      </c>
      <c r="I140" s="190" t="s">
        <v>6882</v>
      </c>
    </row>
    <row r="141" spans="1:9">
      <c r="A141" s="41" t="s">
        <v>6911</v>
      </c>
      <c r="B141" s="41" t="s">
        <v>6912</v>
      </c>
      <c r="C141" s="41" t="s">
        <v>5960</v>
      </c>
      <c r="D141" s="12">
        <v>2</v>
      </c>
      <c r="E141" s="12">
        <v>0</v>
      </c>
      <c r="F141" s="12" t="s">
        <v>6894</v>
      </c>
      <c r="G141" s="47"/>
      <c r="H141" s="3" t="s">
        <v>3759</v>
      </c>
      <c r="I141" s="190" t="s">
        <v>6913</v>
      </c>
    </row>
    <row r="142" spans="1:9">
      <c r="A142" s="41" t="s">
        <v>6914</v>
      </c>
      <c r="B142" s="41" t="s">
        <v>3748</v>
      </c>
      <c r="C142" s="41" t="s">
        <v>6915</v>
      </c>
      <c r="D142" s="12">
        <v>1</v>
      </c>
      <c r="E142" s="12">
        <v>0</v>
      </c>
      <c r="F142" s="12" t="s">
        <v>6894</v>
      </c>
      <c r="G142" s="47"/>
      <c r="H142" s="3" t="s">
        <v>3759</v>
      </c>
      <c r="I142" s="190">
        <v>75202</v>
      </c>
    </row>
    <row r="143" spans="1:9">
      <c r="A143" s="41" t="s">
        <v>6916</v>
      </c>
      <c r="B143" s="41">
        <v>688</v>
      </c>
      <c r="C143" s="41" t="s">
        <v>6917</v>
      </c>
      <c r="D143" s="12">
        <v>1</v>
      </c>
      <c r="E143" s="12">
        <v>0</v>
      </c>
      <c r="F143" s="12" t="s">
        <v>6894</v>
      </c>
      <c r="G143" s="47"/>
      <c r="H143" s="3" t="s">
        <v>3759</v>
      </c>
      <c r="I143" s="190">
        <v>75202</v>
      </c>
    </row>
    <row r="144" spans="1:9">
      <c r="A144" s="41" t="s">
        <v>6918</v>
      </c>
      <c r="B144" s="41">
        <v>131</v>
      </c>
      <c r="C144" s="41" t="s">
        <v>6919</v>
      </c>
      <c r="D144" s="12">
        <v>1</v>
      </c>
      <c r="E144" s="12">
        <v>0</v>
      </c>
      <c r="F144" s="12" t="s">
        <v>6894</v>
      </c>
      <c r="G144" s="47"/>
      <c r="H144" s="3" t="s">
        <v>3759</v>
      </c>
      <c r="I144" s="190">
        <v>75202</v>
      </c>
    </row>
    <row r="145" spans="1:9">
      <c r="A145" s="41" t="s">
        <v>6920</v>
      </c>
      <c r="B145" s="41">
        <v>1306</v>
      </c>
      <c r="C145" s="41" t="s">
        <v>6921</v>
      </c>
      <c r="D145" s="12">
        <v>1</v>
      </c>
      <c r="E145" s="12">
        <v>0</v>
      </c>
      <c r="F145" s="12" t="s">
        <v>6894</v>
      </c>
      <c r="G145" s="47"/>
      <c r="H145" s="3" t="s">
        <v>6103</v>
      </c>
      <c r="I145" s="190" t="s">
        <v>6871</v>
      </c>
    </row>
    <row r="146" spans="1:9">
      <c r="A146" s="41" t="s">
        <v>6922</v>
      </c>
      <c r="B146" s="41" t="s">
        <v>3748</v>
      </c>
      <c r="C146" s="41" t="s">
        <v>418</v>
      </c>
      <c r="D146" s="12">
        <v>1</v>
      </c>
      <c r="E146" s="12">
        <v>0</v>
      </c>
      <c r="F146" s="12" t="s">
        <v>6894</v>
      </c>
      <c r="G146" s="47"/>
      <c r="H146" s="3" t="s">
        <v>3759</v>
      </c>
      <c r="I146" s="190">
        <v>75202</v>
      </c>
    </row>
    <row r="147" spans="1:9">
      <c r="A147" s="41" t="s">
        <v>6923</v>
      </c>
      <c r="B147" s="41">
        <v>606</v>
      </c>
      <c r="C147" s="41" t="s">
        <v>6924</v>
      </c>
      <c r="D147" s="12">
        <v>1</v>
      </c>
      <c r="E147" s="12">
        <v>0</v>
      </c>
      <c r="F147" s="12" t="s">
        <v>6894</v>
      </c>
      <c r="G147" s="47"/>
      <c r="H147" s="3" t="s">
        <v>3759</v>
      </c>
      <c r="I147" s="190">
        <v>75202</v>
      </c>
    </row>
    <row r="148" spans="1:9">
      <c r="A148" s="41" t="s">
        <v>6925</v>
      </c>
      <c r="B148" s="41">
        <v>89010786</v>
      </c>
      <c r="C148" s="41" t="s">
        <v>6926</v>
      </c>
      <c r="D148" s="12">
        <v>1</v>
      </c>
      <c r="E148" s="12">
        <v>0</v>
      </c>
      <c r="F148" s="12" t="s">
        <v>6894</v>
      </c>
      <c r="G148" s="3"/>
      <c r="H148" s="3" t="s">
        <v>6103</v>
      </c>
      <c r="I148" s="190" t="s">
        <v>5936</v>
      </c>
    </row>
    <row r="149" spans="1:9">
      <c r="A149" s="41" t="s">
        <v>6927</v>
      </c>
      <c r="B149" s="41">
        <v>7022</v>
      </c>
      <c r="C149" s="41" t="s">
        <v>6928</v>
      </c>
      <c r="D149" s="12">
        <v>1</v>
      </c>
      <c r="E149" s="12">
        <v>0</v>
      </c>
      <c r="F149" s="12" t="s">
        <v>6894</v>
      </c>
      <c r="G149" s="47"/>
      <c r="H149" s="3" t="s">
        <v>3759</v>
      </c>
      <c r="I149" s="190">
        <v>75202</v>
      </c>
    </row>
    <row r="150" spans="1:9">
      <c r="A150" s="41" t="s">
        <v>6929</v>
      </c>
      <c r="B150" s="41">
        <v>3884</v>
      </c>
      <c r="C150" s="41" t="s">
        <v>6930</v>
      </c>
      <c r="D150" s="12">
        <v>1</v>
      </c>
      <c r="E150" s="12">
        <v>0</v>
      </c>
      <c r="F150" s="12" t="s">
        <v>6894</v>
      </c>
      <c r="G150" s="47"/>
      <c r="H150" s="3" t="s">
        <v>3759</v>
      </c>
      <c r="I150" s="190">
        <v>75202</v>
      </c>
    </row>
    <row r="151" spans="1:9">
      <c r="A151" s="41" t="s">
        <v>6931</v>
      </c>
      <c r="B151" s="41" t="s">
        <v>6932</v>
      </c>
      <c r="C151" s="41" t="s">
        <v>6933</v>
      </c>
      <c r="D151" s="12">
        <v>1</v>
      </c>
      <c r="E151" s="12">
        <v>0</v>
      </c>
      <c r="F151" s="12" t="s">
        <v>6894</v>
      </c>
      <c r="G151" s="47"/>
      <c r="H151" s="3" t="s">
        <v>3759</v>
      </c>
      <c r="I151" s="190">
        <v>75202</v>
      </c>
    </row>
    <row r="152" spans="1:9">
      <c r="A152" s="41" t="s">
        <v>6934</v>
      </c>
      <c r="B152" s="41">
        <v>814928</v>
      </c>
      <c r="C152" s="41" t="s">
        <v>6935</v>
      </c>
      <c r="D152" s="12">
        <v>1</v>
      </c>
      <c r="E152" s="12">
        <v>0</v>
      </c>
      <c r="F152" s="12" t="s">
        <v>6894</v>
      </c>
      <c r="G152" s="47"/>
      <c r="H152" s="3" t="s">
        <v>3759</v>
      </c>
      <c r="I152" s="190" t="s">
        <v>6936</v>
      </c>
    </row>
    <row r="153" spans="1:9">
      <c r="A153" s="41" t="s">
        <v>6937</v>
      </c>
      <c r="B153" s="41" t="s">
        <v>6938</v>
      </c>
      <c r="C153" s="41" t="s">
        <v>6939</v>
      </c>
      <c r="D153" s="12">
        <v>1</v>
      </c>
      <c r="E153" s="12">
        <v>0</v>
      </c>
      <c r="F153" s="12" t="s">
        <v>6894</v>
      </c>
      <c r="G153" s="47"/>
      <c r="H153" s="3" t="s">
        <v>4678</v>
      </c>
      <c r="I153" s="190">
        <v>75202</v>
      </c>
    </row>
    <row r="154" spans="1:9">
      <c r="A154" s="41" t="s">
        <v>6940</v>
      </c>
      <c r="B154" s="41">
        <v>644</v>
      </c>
      <c r="C154" s="41" t="s">
        <v>6941</v>
      </c>
      <c r="D154" s="12">
        <v>1</v>
      </c>
      <c r="E154" s="12">
        <v>0</v>
      </c>
      <c r="F154" s="12" t="s">
        <v>6894</v>
      </c>
      <c r="G154" s="47"/>
      <c r="H154" s="3" t="s">
        <v>3759</v>
      </c>
      <c r="I154" s="190">
        <v>75202</v>
      </c>
    </row>
    <row r="155" spans="1:9">
      <c r="A155" s="41" t="s">
        <v>6942</v>
      </c>
      <c r="B155" s="41" t="s">
        <v>6943</v>
      </c>
      <c r="C155" s="41" t="s">
        <v>6944</v>
      </c>
      <c r="D155" s="12">
        <v>1</v>
      </c>
      <c r="E155" s="12">
        <v>0</v>
      </c>
      <c r="F155" s="12" t="s">
        <v>6894</v>
      </c>
      <c r="G155" s="47"/>
      <c r="H155" s="3" t="s">
        <v>3759</v>
      </c>
      <c r="I155" s="190">
        <v>75202</v>
      </c>
    </row>
    <row r="156" spans="1:9">
      <c r="A156" s="41" t="s">
        <v>6945</v>
      </c>
      <c r="B156" s="41" t="s">
        <v>6946</v>
      </c>
      <c r="C156" s="41" t="s">
        <v>6947</v>
      </c>
      <c r="D156" s="12">
        <v>1</v>
      </c>
      <c r="E156" s="12">
        <v>0</v>
      </c>
      <c r="F156" s="12" t="s">
        <v>6894</v>
      </c>
      <c r="G156" s="47"/>
      <c r="H156" s="3" t="s">
        <v>3759</v>
      </c>
      <c r="I156" s="190">
        <v>75202</v>
      </c>
    </row>
    <row r="157" spans="1:9">
      <c r="A157" s="41" t="s">
        <v>6948</v>
      </c>
      <c r="B157" s="41" t="s">
        <v>6949</v>
      </c>
      <c r="C157" s="41" t="s">
        <v>6335</v>
      </c>
      <c r="D157" s="12">
        <v>1</v>
      </c>
      <c r="E157" s="12">
        <v>0</v>
      </c>
      <c r="F157" s="12" t="s">
        <v>6894</v>
      </c>
      <c r="G157" s="47"/>
      <c r="H157" s="3" t="s">
        <v>3759</v>
      </c>
      <c r="I157" s="190">
        <v>75202</v>
      </c>
    </row>
    <row r="158" spans="1:9">
      <c r="A158" s="41" t="s">
        <v>6950</v>
      </c>
      <c r="B158" s="41" t="s">
        <v>6951</v>
      </c>
      <c r="C158" s="41" t="s">
        <v>6933</v>
      </c>
      <c r="D158" s="12">
        <v>1</v>
      </c>
      <c r="E158" s="12">
        <v>0</v>
      </c>
      <c r="F158" s="12" t="s">
        <v>6894</v>
      </c>
      <c r="G158" s="47"/>
      <c r="H158" s="3" t="s">
        <v>3759</v>
      </c>
      <c r="I158" s="190">
        <v>75202</v>
      </c>
    </row>
    <row r="159" spans="1:9">
      <c r="A159" s="41" t="s">
        <v>6952</v>
      </c>
      <c r="B159" s="41">
        <v>475</v>
      </c>
      <c r="C159" s="41" t="s">
        <v>6953</v>
      </c>
      <c r="D159" s="12">
        <v>1</v>
      </c>
      <c r="E159" s="12">
        <v>0</v>
      </c>
      <c r="F159" s="12" t="s">
        <v>6894</v>
      </c>
      <c r="G159" s="47"/>
      <c r="H159" s="3" t="s">
        <v>3759</v>
      </c>
      <c r="I159" s="190">
        <v>75202</v>
      </c>
    </row>
    <row r="160" spans="1:9">
      <c r="A160" s="41">
        <v>2588838</v>
      </c>
      <c r="B160" s="41">
        <v>588187</v>
      </c>
      <c r="C160" s="41" t="s">
        <v>2264</v>
      </c>
      <c r="D160" s="12">
        <v>1</v>
      </c>
      <c r="E160" s="12">
        <v>0</v>
      </c>
      <c r="F160" s="12" t="s">
        <v>6894</v>
      </c>
      <c r="G160" s="47"/>
      <c r="H160" s="3" t="s">
        <v>3759</v>
      </c>
      <c r="I160" s="190">
        <v>76906</v>
      </c>
    </row>
    <row r="161" spans="1:9">
      <c r="A161" s="41" t="s">
        <v>6954</v>
      </c>
      <c r="B161" s="41">
        <v>681</v>
      </c>
      <c r="C161" s="41" t="s">
        <v>6955</v>
      </c>
      <c r="D161" s="12">
        <v>1</v>
      </c>
      <c r="E161" s="12">
        <v>0</v>
      </c>
      <c r="F161" s="12" t="s">
        <v>6894</v>
      </c>
      <c r="G161" s="47"/>
      <c r="H161" s="3" t="s">
        <v>3759</v>
      </c>
      <c r="I161" s="190">
        <v>75202</v>
      </c>
    </row>
    <row r="162" spans="1:9">
      <c r="A162" s="41" t="s">
        <v>6956</v>
      </c>
      <c r="B162" s="41">
        <v>95021399</v>
      </c>
      <c r="C162" s="41" t="s">
        <v>6957</v>
      </c>
      <c r="D162" s="12">
        <v>1</v>
      </c>
      <c r="E162" s="12">
        <v>0</v>
      </c>
      <c r="F162" s="12" t="s">
        <v>6894</v>
      </c>
      <c r="G162" s="47"/>
      <c r="H162" s="3" t="s">
        <v>3759</v>
      </c>
      <c r="I162" s="190">
        <v>75202</v>
      </c>
    </row>
    <row r="163" spans="1:9">
      <c r="A163" s="41" t="s">
        <v>6958</v>
      </c>
      <c r="B163" s="41" t="s">
        <v>6959</v>
      </c>
      <c r="C163" s="41" t="s">
        <v>6960</v>
      </c>
      <c r="D163" s="12">
        <v>2</v>
      </c>
      <c r="E163" s="12">
        <v>0</v>
      </c>
      <c r="F163" s="12" t="s">
        <v>6894</v>
      </c>
      <c r="G163" s="47"/>
      <c r="H163" s="3" t="s">
        <v>3759</v>
      </c>
      <c r="I163" s="190">
        <v>75202</v>
      </c>
    </row>
    <row r="164" spans="1:9">
      <c r="A164" s="41" t="s">
        <v>6961</v>
      </c>
      <c r="B164" s="41">
        <v>116198</v>
      </c>
      <c r="C164" s="41" t="s">
        <v>6843</v>
      </c>
      <c r="D164" s="12">
        <v>1</v>
      </c>
      <c r="E164" s="12">
        <v>0</v>
      </c>
      <c r="F164" s="12" t="s">
        <v>6894</v>
      </c>
      <c r="G164" s="47"/>
      <c r="H164" s="3" t="s">
        <v>3759</v>
      </c>
      <c r="I164" s="190">
        <v>75202</v>
      </c>
    </row>
    <row r="165" spans="1:9">
      <c r="A165" s="41" t="s">
        <v>6962</v>
      </c>
      <c r="B165" s="41">
        <v>62</v>
      </c>
      <c r="C165" s="41" t="s">
        <v>6963</v>
      </c>
      <c r="D165" s="12">
        <v>1</v>
      </c>
      <c r="E165" s="12">
        <v>0</v>
      </c>
      <c r="F165" s="12" t="s">
        <v>6894</v>
      </c>
      <c r="G165" s="47"/>
      <c r="H165" s="3" t="s">
        <v>3759</v>
      </c>
      <c r="I165" s="190">
        <v>75202</v>
      </c>
    </row>
    <row r="166" spans="1:9">
      <c r="A166" s="41" t="s">
        <v>6964</v>
      </c>
      <c r="B166" s="41">
        <v>1337</v>
      </c>
      <c r="C166" s="41" t="s">
        <v>6965</v>
      </c>
      <c r="D166" s="12">
        <v>1</v>
      </c>
      <c r="E166" s="12">
        <v>0</v>
      </c>
      <c r="F166" s="12" t="s">
        <v>6894</v>
      </c>
      <c r="G166" s="47"/>
      <c r="H166" s="3" t="s">
        <v>3759</v>
      </c>
      <c r="I166" s="190">
        <v>75202</v>
      </c>
    </row>
    <row r="167" spans="1:9">
      <c r="A167" s="41" t="s">
        <v>6966</v>
      </c>
      <c r="B167" s="41" t="s">
        <v>6967</v>
      </c>
      <c r="C167" s="41" t="s">
        <v>6968</v>
      </c>
      <c r="D167" s="12">
        <v>2</v>
      </c>
      <c r="E167" s="12">
        <v>0</v>
      </c>
      <c r="F167" s="12" t="s">
        <v>6894</v>
      </c>
      <c r="G167" s="47"/>
      <c r="H167" s="3" t="s">
        <v>5829</v>
      </c>
      <c r="I167" s="190">
        <v>75202</v>
      </c>
    </row>
    <row r="168" spans="1:9">
      <c r="A168" s="41" t="s">
        <v>6969</v>
      </c>
      <c r="B168" s="41">
        <v>8047</v>
      </c>
      <c r="C168" s="41" t="s">
        <v>6970</v>
      </c>
      <c r="D168" s="12">
        <v>1</v>
      </c>
      <c r="E168" s="12">
        <v>0</v>
      </c>
      <c r="F168" s="12" t="s">
        <v>6894</v>
      </c>
      <c r="G168" s="47"/>
      <c r="H168" s="3" t="s">
        <v>6103</v>
      </c>
      <c r="I168" s="190">
        <v>75202</v>
      </c>
    </row>
    <row r="169" spans="1:9">
      <c r="A169" s="41" t="s">
        <v>6971</v>
      </c>
      <c r="B169" s="41">
        <v>1788</v>
      </c>
      <c r="C169" s="41" t="s">
        <v>6965</v>
      </c>
      <c r="D169" s="12">
        <v>1</v>
      </c>
      <c r="E169" s="12">
        <v>0</v>
      </c>
      <c r="F169" s="12" t="s">
        <v>6894</v>
      </c>
      <c r="G169" s="47"/>
      <c r="H169" s="3" t="s">
        <v>3759</v>
      </c>
      <c r="I169" s="190">
        <v>75202</v>
      </c>
    </row>
    <row r="170" spans="1:9">
      <c r="A170" s="41" t="s">
        <v>6972</v>
      </c>
      <c r="B170" s="41">
        <v>39</v>
      </c>
      <c r="C170" s="41" t="s">
        <v>6973</v>
      </c>
      <c r="D170" s="12">
        <v>1</v>
      </c>
      <c r="E170" s="12">
        <v>0</v>
      </c>
      <c r="F170" s="12" t="s">
        <v>6894</v>
      </c>
      <c r="G170" s="47"/>
      <c r="H170" s="3" t="s">
        <v>3759</v>
      </c>
      <c r="I170" s="190">
        <v>75202</v>
      </c>
    </row>
    <row r="171" spans="1:9">
      <c r="A171" s="41" t="s">
        <v>6974</v>
      </c>
      <c r="B171" s="41">
        <v>84111117</v>
      </c>
      <c r="C171" s="41" t="s">
        <v>6975</v>
      </c>
      <c r="D171" s="12">
        <v>1</v>
      </c>
      <c r="E171" s="12">
        <v>0</v>
      </c>
      <c r="F171" s="12" t="s">
        <v>6894</v>
      </c>
      <c r="G171" s="47"/>
      <c r="H171" s="3" t="s">
        <v>3759</v>
      </c>
      <c r="I171" s="190">
        <v>75202</v>
      </c>
    </row>
    <row r="172" spans="1:9">
      <c r="A172" s="41" t="s">
        <v>6976</v>
      </c>
      <c r="B172" s="41" t="s">
        <v>6977</v>
      </c>
      <c r="C172" s="41" t="s">
        <v>6978</v>
      </c>
      <c r="D172" s="12">
        <v>2</v>
      </c>
      <c r="E172" s="12">
        <v>0</v>
      </c>
      <c r="F172" s="12" t="s">
        <v>6894</v>
      </c>
      <c r="G172" s="47"/>
      <c r="H172" s="3" t="s">
        <v>3759</v>
      </c>
      <c r="I172" s="190" t="s">
        <v>6979</v>
      </c>
    </row>
    <row r="173" spans="1:9">
      <c r="A173" s="41"/>
      <c r="B173" s="41"/>
      <c r="C173" s="41"/>
      <c r="D173" s="12"/>
      <c r="E173" s="12"/>
      <c r="F173" s="12"/>
      <c r="G173" s="47"/>
      <c r="H173" s="3"/>
    </row>
    <row r="174" spans="1:9">
      <c r="A174" s="178" t="s">
        <v>4196</v>
      </c>
      <c r="B174" s="177">
        <v>1861</v>
      </c>
      <c r="C174" s="178" t="s">
        <v>6980</v>
      </c>
      <c r="D174" s="12">
        <v>1</v>
      </c>
      <c r="E174" s="12">
        <v>0</v>
      </c>
      <c r="F174" s="22" t="s">
        <v>6981</v>
      </c>
      <c r="G174" s="47"/>
      <c r="H174" s="3" t="s">
        <v>3759</v>
      </c>
      <c r="I174" s="190">
        <v>80581</v>
      </c>
    </row>
    <row r="175" spans="1:9">
      <c r="A175" s="178" t="s">
        <v>6982</v>
      </c>
      <c r="B175" s="177">
        <v>1761</v>
      </c>
      <c r="C175" s="178" t="s">
        <v>5093</v>
      </c>
      <c r="D175" s="12">
        <v>1</v>
      </c>
      <c r="E175" s="12">
        <v>0</v>
      </c>
      <c r="F175" s="22" t="s">
        <v>6981</v>
      </c>
      <c r="G175" s="47"/>
      <c r="H175" s="3" t="s">
        <v>3759</v>
      </c>
      <c r="I175" s="190">
        <v>79628</v>
      </c>
    </row>
    <row r="176" spans="1:9">
      <c r="A176" s="7" t="s">
        <v>4917</v>
      </c>
      <c r="B176" s="7">
        <v>4645</v>
      </c>
      <c r="C176" s="10" t="s">
        <v>6983</v>
      </c>
      <c r="D176" s="12">
        <v>1</v>
      </c>
      <c r="E176" s="12">
        <v>2</v>
      </c>
      <c r="F176" s="22" t="s">
        <v>6981</v>
      </c>
      <c r="G176"/>
    </row>
    <row r="178" spans="1:9">
      <c r="A178" s="178" t="s">
        <v>4769</v>
      </c>
      <c r="B178" s="177">
        <v>88031396</v>
      </c>
      <c r="C178" s="178" t="s">
        <v>4770</v>
      </c>
      <c r="D178" s="12">
        <v>0</v>
      </c>
      <c r="E178" s="12">
        <v>0</v>
      </c>
      <c r="F178" s="22" t="s">
        <v>6981</v>
      </c>
      <c r="G178" s="3"/>
      <c r="H178" s="97" t="s">
        <v>3940</v>
      </c>
      <c r="I178" s="190">
        <v>59186</v>
      </c>
    </row>
    <row r="179" spans="1:9">
      <c r="A179" s="41" t="s">
        <v>6984</v>
      </c>
      <c r="B179" s="41">
        <v>3314</v>
      </c>
      <c r="C179" s="41" t="s">
        <v>6985</v>
      </c>
      <c r="D179" s="12">
        <v>1</v>
      </c>
      <c r="E179" s="12">
        <v>0</v>
      </c>
      <c r="F179" s="22" t="s">
        <v>6981</v>
      </c>
      <c r="G179" s="47"/>
      <c r="H179" s="3" t="s">
        <v>4678</v>
      </c>
      <c r="I179" s="190">
        <v>80827</v>
      </c>
    </row>
    <row r="180" spans="1:9">
      <c r="A180" s="178" t="s">
        <v>6986</v>
      </c>
      <c r="B180" s="177">
        <v>7415</v>
      </c>
      <c r="C180" s="180" t="s">
        <v>6651</v>
      </c>
      <c r="D180" s="12">
        <v>1</v>
      </c>
      <c r="E180" s="12">
        <v>0</v>
      </c>
      <c r="F180" s="12" t="s">
        <v>6981</v>
      </c>
      <c r="G180" s="47"/>
      <c r="H180" s="3" t="s">
        <v>3807</v>
      </c>
      <c r="I180" s="190">
        <v>76906</v>
      </c>
    </row>
    <row r="181" spans="1:9">
      <c r="A181" s="178"/>
      <c r="B181" s="177"/>
      <c r="C181" s="180"/>
      <c r="D181" s="12"/>
      <c r="E181" s="12"/>
      <c r="F181" s="12"/>
      <c r="G181" s="47"/>
      <c r="H181" s="3"/>
    </row>
    <row r="182" spans="1:9">
      <c r="A182" s="178" t="s">
        <v>6987</v>
      </c>
      <c r="B182" s="177" t="s">
        <v>6988</v>
      </c>
      <c r="C182" s="178" t="s">
        <v>6989</v>
      </c>
      <c r="D182" s="12">
        <v>1</v>
      </c>
      <c r="E182" s="12">
        <v>0</v>
      </c>
      <c r="F182" s="12" t="s">
        <v>6990</v>
      </c>
      <c r="G182" s="47"/>
      <c r="H182" s="3" t="s">
        <v>3759</v>
      </c>
      <c r="I182" s="190">
        <v>75205</v>
      </c>
    </row>
    <row r="183" spans="1:9">
      <c r="A183" s="178" t="s">
        <v>6991</v>
      </c>
      <c r="B183" s="177">
        <v>296</v>
      </c>
      <c r="C183" s="178" t="s">
        <v>6992</v>
      </c>
      <c r="D183" s="12">
        <v>1</v>
      </c>
      <c r="E183" s="12">
        <v>0</v>
      </c>
      <c r="F183" s="12" t="s">
        <v>6990</v>
      </c>
      <c r="G183" s="47"/>
      <c r="H183" s="3" t="s">
        <v>3807</v>
      </c>
      <c r="I183" s="190">
        <v>76494</v>
      </c>
    </row>
    <row r="184" spans="1:9">
      <c r="A184" s="178" t="s">
        <v>6993</v>
      </c>
      <c r="B184" s="176" t="s">
        <v>6994</v>
      </c>
      <c r="C184" s="178" t="s">
        <v>6995</v>
      </c>
      <c r="D184" s="12">
        <v>2</v>
      </c>
      <c r="E184" s="12">
        <v>0</v>
      </c>
      <c r="F184" s="12" t="s">
        <v>6990</v>
      </c>
      <c r="G184" s="47"/>
      <c r="H184" s="3" t="s">
        <v>5829</v>
      </c>
      <c r="I184" s="190">
        <v>75776</v>
      </c>
    </row>
    <row r="185" spans="1:9">
      <c r="A185" s="178" t="s">
        <v>6996</v>
      </c>
      <c r="B185" s="177">
        <v>3985</v>
      </c>
      <c r="C185" s="178" t="s">
        <v>6678</v>
      </c>
      <c r="D185" s="12">
        <v>1</v>
      </c>
      <c r="E185" s="12">
        <v>0</v>
      </c>
      <c r="F185" s="12" t="s">
        <v>6990</v>
      </c>
      <c r="G185" s="47"/>
      <c r="H185" s="3" t="s">
        <v>3759</v>
      </c>
      <c r="I185" s="190">
        <v>76906</v>
      </c>
    </row>
    <row r="186" spans="1:9">
      <c r="A186" s="178" t="s">
        <v>5111</v>
      </c>
      <c r="B186" s="177">
        <v>2701</v>
      </c>
      <c r="C186" s="178" t="s">
        <v>5260</v>
      </c>
      <c r="D186" s="12">
        <v>1</v>
      </c>
      <c r="E186" s="29">
        <v>1</v>
      </c>
      <c r="F186" s="12" t="s">
        <v>6990</v>
      </c>
      <c r="G186" s="47"/>
      <c r="H186" s="3" t="s">
        <v>3759</v>
      </c>
      <c r="I186" s="190">
        <v>77713</v>
      </c>
    </row>
    <row r="187" spans="1:9">
      <c r="A187" s="180" t="s">
        <v>6672</v>
      </c>
      <c r="B187" s="186" t="s">
        <v>6997</v>
      </c>
      <c r="C187" s="178" t="s">
        <v>6998</v>
      </c>
      <c r="D187" s="12">
        <v>1</v>
      </c>
      <c r="E187" s="12">
        <v>0</v>
      </c>
      <c r="F187" s="12" t="s">
        <v>6990</v>
      </c>
      <c r="G187" s="47"/>
      <c r="H187" s="3" t="s">
        <v>3759</v>
      </c>
      <c r="I187" s="190">
        <v>76315</v>
      </c>
    </row>
    <row r="188" spans="1:9">
      <c r="A188" s="180" t="s">
        <v>6999</v>
      </c>
      <c r="B188" s="177">
        <v>1434</v>
      </c>
      <c r="C188" s="178" t="s">
        <v>7000</v>
      </c>
      <c r="D188" s="12">
        <v>1</v>
      </c>
      <c r="E188" s="12">
        <v>0</v>
      </c>
      <c r="F188" s="12" t="s">
        <v>6990</v>
      </c>
      <c r="G188" s="47"/>
      <c r="H188" s="3" t="s">
        <v>3759</v>
      </c>
      <c r="I188" s="190">
        <v>75205</v>
      </c>
    </row>
    <row r="189" spans="1:9">
      <c r="A189" s="178" t="s">
        <v>7001</v>
      </c>
      <c r="B189" s="177" t="s">
        <v>7002</v>
      </c>
      <c r="C189" s="178" t="s">
        <v>7003</v>
      </c>
      <c r="D189" s="12">
        <v>1</v>
      </c>
      <c r="E189" s="12">
        <v>0</v>
      </c>
      <c r="F189" s="12" t="s">
        <v>6990</v>
      </c>
      <c r="G189" s="47"/>
      <c r="H189" s="3" t="s">
        <v>3759</v>
      </c>
      <c r="I189" s="190">
        <v>76494</v>
      </c>
    </row>
    <row r="190" spans="1:9">
      <c r="A190" s="180" t="s">
        <v>7004</v>
      </c>
      <c r="B190" s="176" t="s">
        <v>7005</v>
      </c>
      <c r="C190" s="178" t="s">
        <v>7006</v>
      </c>
      <c r="D190" s="12">
        <v>2</v>
      </c>
      <c r="E190" s="12">
        <v>0</v>
      </c>
      <c r="F190" s="12" t="s">
        <v>6990</v>
      </c>
      <c r="G190" s="47"/>
      <c r="H190" s="3" t="s">
        <v>5829</v>
      </c>
      <c r="I190" s="190" t="s">
        <v>5936</v>
      </c>
    </row>
    <row r="191" spans="1:9">
      <c r="A191" s="178" t="s">
        <v>7007</v>
      </c>
      <c r="B191" s="176" t="s">
        <v>7008</v>
      </c>
      <c r="C191" s="178" t="s">
        <v>5196</v>
      </c>
      <c r="D191" s="12">
        <v>3</v>
      </c>
      <c r="E191" s="12">
        <v>0</v>
      </c>
      <c r="F191" s="12" t="s">
        <v>6990</v>
      </c>
      <c r="G191" s="47"/>
      <c r="H191" s="3" t="s">
        <v>3759</v>
      </c>
      <c r="I191" s="190" t="s">
        <v>7009</v>
      </c>
    </row>
    <row r="192" spans="1:9">
      <c r="A192" s="180" t="s">
        <v>7010</v>
      </c>
      <c r="B192" s="177">
        <v>2480</v>
      </c>
      <c r="C192" s="178" t="s">
        <v>6995</v>
      </c>
      <c r="D192" s="12">
        <v>1</v>
      </c>
      <c r="E192" s="12">
        <v>0</v>
      </c>
      <c r="F192" s="12" t="s">
        <v>6990</v>
      </c>
      <c r="G192" s="47"/>
      <c r="H192" s="3" t="s">
        <v>3759</v>
      </c>
      <c r="I192" s="190">
        <v>75185</v>
      </c>
    </row>
    <row r="193" spans="1:9">
      <c r="A193" s="178" t="s">
        <v>7011</v>
      </c>
      <c r="B193" s="177" t="s">
        <v>7012</v>
      </c>
      <c r="C193" s="178" t="s">
        <v>7013</v>
      </c>
      <c r="D193" s="12">
        <v>1</v>
      </c>
      <c r="E193" s="12">
        <v>0</v>
      </c>
      <c r="F193" s="12" t="s">
        <v>6990</v>
      </c>
      <c r="G193" s="47"/>
      <c r="H193" s="3" t="s">
        <v>3759</v>
      </c>
      <c r="I193" s="190">
        <v>75185</v>
      </c>
    </row>
    <row r="194" spans="1:9">
      <c r="A194" s="178" t="s">
        <v>7014</v>
      </c>
      <c r="B194" s="177">
        <v>838</v>
      </c>
      <c r="C194" s="178" t="s">
        <v>7015</v>
      </c>
      <c r="D194" s="12">
        <v>1</v>
      </c>
      <c r="E194" s="12">
        <v>0</v>
      </c>
      <c r="F194" s="12" t="s">
        <v>6990</v>
      </c>
      <c r="G194" s="47"/>
      <c r="H194" s="3" t="s">
        <v>3759</v>
      </c>
      <c r="I194" s="190">
        <v>75202</v>
      </c>
    </row>
    <row r="195" spans="1:9">
      <c r="A195" s="188" t="s">
        <v>7016</v>
      </c>
      <c r="B195" s="177" t="s">
        <v>7017</v>
      </c>
      <c r="C195" s="178" t="s">
        <v>6335</v>
      </c>
      <c r="D195" s="12">
        <v>1</v>
      </c>
      <c r="E195" s="12">
        <v>0</v>
      </c>
      <c r="F195" s="12" t="s">
        <v>6990</v>
      </c>
      <c r="G195" s="47"/>
      <c r="H195" s="3" t="s">
        <v>3759</v>
      </c>
      <c r="I195" s="190">
        <v>75202</v>
      </c>
    </row>
    <row r="196" spans="1:9">
      <c r="A196" s="188" t="s">
        <v>6948</v>
      </c>
      <c r="B196" s="177" t="s">
        <v>7018</v>
      </c>
      <c r="C196" s="178" t="s">
        <v>6335</v>
      </c>
      <c r="D196" s="12">
        <v>1</v>
      </c>
      <c r="E196" s="12">
        <v>0</v>
      </c>
      <c r="F196" s="12" t="s">
        <v>6990</v>
      </c>
      <c r="G196" s="47"/>
      <c r="H196" s="3" t="s">
        <v>3759</v>
      </c>
      <c r="I196" s="190">
        <v>75202</v>
      </c>
    </row>
    <row r="197" spans="1:9">
      <c r="A197" s="178" t="s">
        <v>7019</v>
      </c>
      <c r="B197" s="177">
        <v>510</v>
      </c>
      <c r="C197" s="178" t="s">
        <v>7020</v>
      </c>
      <c r="D197" s="12">
        <v>1</v>
      </c>
      <c r="E197" s="12">
        <v>0</v>
      </c>
      <c r="F197" s="12" t="s">
        <v>6990</v>
      </c>
      <c r="G197" s="47"/>
      <c r="H197" s="3" t="s">
        <v>3807</v>
      </c>
      <c r="I197" s="190">
        <v>75202</v>
      </c>
    </row>
    <row r="198" spans="1:9">
      <c r="A198" s="180" t="s">
        <v>7021</v>
      </c>
      <c r="B198" s="177" t="s">
        <v>7022</v>
      </c>
      <c r="C198" s="178" t="s">
        <v>7023</v>
      </c>
      <c r="D198" s="12">
        <v>1</v>
      </c>
      <c r="E198" s="12">
        <v>0</v>
      </c>
      <c r="F198" s="12" t="s">
        <v>6990</v>
      </c>
      <c r="G198" s="47"/>
      <c r="H198" s="3" t="s">
        <v>3759</v>
      </c>
      <c r="I198" s="190">
        <v>75202</v>
      </c>
    </row>
    <row r="199" spans="1:9">
      <c r="A199" s="180" t="s">
        <v>7024</v>
      </c>
      <c r="B199" s="177" t="s">
        <v>7025</v>
      </c>
      <c r="C199" s="178" t="s">
        <v>7026</v>
      </c>
      <c r="D199" s="12">
        <v>1</v>
      </c>
      <c r="E199" s="12">
        <v>0</v>
      </c>
      <c r="F199" s="12" t="s">
        <v>6990</v>
      </c>
      <c r="G199" s="47"/>
      <c r="H199" s="3" t="s">
        <v>3759</v>
      </c>
      <c r="I199" s="190">
        <v>75205</v>
      </c>
    </row>
    <row r="200" spans="1:9">
      <c r="A200" s="178" t="s">
        <v>7027</v>
      </c>
      <c r="B200" s="177">
        <v>110560</v>
      </c>
      <c r="C200" s="178" t="s">
        <v>6675</v>
      </c>
      <c r="D200" s="12">
        <v>1</v>
      </c>
      <c r="E200" s="12">
        <v>0</v>
      </c>
      <c r="F200" s="12" t="s">
        <v>6990</v>
      </c>
      <c r="G200" s="47"/>
      <c r="H200" s="3"/>
    </row>
    <row r="201" spans="1:9">
      <c r="A201" s="179"/>
      <c r="B201" s="179"/>
      <c r="C201" s="179"/>
      <c r="D201" s="51"/>
      <c r="E201" s="51"/>
      <c r="F201" s="22"/>
      <c r="G201" s="47"/>
      <c r="H201" s="3"/>
    </row>
    <row r="202" spans="1:9">
      <c r="A202" s="371" t="s">
        <v>7028</v>
      </c>
      <c r="B202" s="372" t="s">
        <v>7029</v>
      </c>
      <c r="C202" s="371" t="s">
        <v>7030</v>
      </c>
      <c r="D202" s="22">
        <v>1</v>
      </c>
      <c r="E202" s="22">
        <v>0</v>
      </c>
      <c r="F202" s="22" t="s">
        <v>7031</v>
      </c>
      <c r="G202" s="3"/>
      <c r="H202" s="3" t="s">
        <v>3759</v>
      </c>
      <c r="I202" s="190">
        <v>81782</v>
      </c>
    </row>
    <row r="203" spans="1:9">
      <c r="A203" s="357" t="s">
        <v>4423</v>
      </c>
      <c r="B203" s="358" t="s">
        <v>7032</v>
      </c>
      <c r="C203" s="357" t="s">
        <v>7033</v>
      </c>
      <c r="D203" s="22">
        <v>1</v>
      </c>
      <c r="E203" s="22">
        <v>0</v>
      </c>
      <c r="F203" s="22" t="s">
        <v>7031</v>
      </c>
      <c r="G203" s="3"/>
      <c r="H203" s="3" t="s">
        <v>3759</v>
      </c>
    </row>
    <row r="204" spans="1:9">
      <c r="A204" s="357" t="s">
        <v>7034</v>
      </c>
      <c r="B204" s="358" t="s">
        <v>7035</v>
      </c>
      <c r="C204" s="357" t="s">
        <v>7036</v>
      </c>
      <c r="D204" s="22">
        <v>1</v>
      </c>
      <c r="E204" s="22">
        <v>0</v>
      </c>
      <c r="F204" s="22" t="s">
        <v>7031</v>
      </c>
      <c r="G204" s="3"/>
      <c r="H204" s="3" t="s">
        <v>3759</v>
      </c>
    </row>
    <row r="205" spans="1:9">
      <c r="A205" s="357" t="s">
        <v>7037</v>
      </c>
      <c r="B205" s="358" t="s">
        <v>7038</v>
      </c>
      <c r="C205" s="357" t="s">
        <v>4267</v>
      </c>
      <c r="D205" s="22">
        <v>1</v>
      </c>
      <c r="E205" s="22">
        <v>0</v>
      </c>
      <c r="F205" s="22" t="s">
        <v>7031</v>
      </c>
      <c r="G205" s="3"/>
      <c r="H205" s="3"/>
    </row>
    <row r="206" spans="1:9">
      <c r="A206" s="179"/>
      <c r="B206" s="179"/>
      <c r="C206" s="179"/>
      <c r="D206" s="22"/>
      <c r="E206" s="22"/>
      <c r="F206" s="22"/>
      <c r="G206" s="3"/>
      <c r="H206" s="3"/>
    </row>
    <row r="207" spans="1:9">
      <c r="A207" s="178" t="s">
        <v>5396</v>
      </c>
      <c r="B207" s="177" t="s">
        <v>7039</v>
      </c>
      <c r="C207" s="178" t="s">
        <v>6669</v>
      </c>
      <c r="D207" s="12">
        <v>2</v>
      </c>
      <c r="E207" s="29">
        <v>1</v>
      </c>
      <c r="F207" s="12" t="s">
        <v>7040</v>
      </c>
      <c r="G207" s="3"/>
      <c r="H207" s="3" t="s">
        <v>3807</v>
      </c>
      <c r="I207" s="190" t="s">
        <v>7041</v>
      </c>
    </row>
    <row r="208" spans="1:9">
      <c r="A208" s="178" t="s">
        <v>7042</v>
      </c>
      <c r="B208" s="177">
        <v>688</v>
      </c>
      <c r="C208" s="178" t="s">
        <v>6669</v>
      </c>
      <c r="D208" s="12">
        <v>1</v>
      </c>
      <c r="E208" s="12">
        <v>0</v>
      </c>
      <c r="F208" s="12" t="s">
        <v>7040</v>
      </c>
      <c r="G208" s="47"/>
      <c r="H208" s="3" t="s">
        <v>3807</v>
      </c>
      <c r="I208" s="190">
        <v>75205</v>
      </c>
    </row>
    <row r="209" spans="1:9">
      <c r="A209" s="180" t="s">
        <v>6682</v>
      </c>
      <c r="B209" s="177">
        <v>16853</v>
      </c>
      <c r="C209" s="178" t="s">
        <v>7043</v>
      </c>
      <c r="D209" s="12">
        <v>1</v>
      </c>
      <c r="E209" s="12">
        <v>0</v>
      </c>
      <c r="F209" s="12" t="s">
        <v>7040</v>
      </c>
      <c r="G209" s="47"/>
      <c r="H209" s="3" t="s">
        <v>3759</v>
      </c>
      <c r="I209" s="190">
        <v>76906</v>
      </c>
    </row>
    <row r="210" spans="1:9">
      <c r="A210" s="178" t="s">
        <v>7044</v>
      </c>
      <c r="B210" s="177">
        <v>3218</v>
      </c>
      <c r="C210" s="178" t="s">
        <v>6998</v>
      </c>
      <c r="D210" s="12">
        <v>1</v>
      </c>
      <c r="E210" s="12">
        <v>0</v>
      </c>
      <c r="F210" s="12" t="s">
        <v>7040</v>
      </c>
      <c r="G210" s="47"/>
      <c r="H210" s="3" t="s">
        <v>3759</v>
      </c>
      <c r="I210" s="190">
        <v>76765</v>
      </c>
    </row>
    <row r="211" spans="1:9">
      <c r="A211" s="178" t="s">
        <v>7045</v>
      </c>
      <c r="B211" s="177" t="s">
        <v>7046</v>
      </c>
      <c r="C211" s="178" t="s">
        <v>7043</v>
      </c>
      <c r="D211" s="12">
        <v>1</v>
      </c>
      <c r="E211" s="12">
        <v>0</v>
      </c>
      <c r="F211" s="12" t="s">
        <v>7040</v>
      </c>
      <c r="G211" s="47"/>
      <c r="H211" s="3" t="s">
        <v>3759</v>
      </c>
      <c r="I211" s="190">
        <v>76906</v>
      </c>
    </row>
    <row r="212" spans="1:9">
      <c r="A212" s="178" t="s">
        <v>7047</v>
      </c>
      <c r="B212" s="177">
        <v>10260</v>
      </c>
      <c r="C212" s="178" t="s">
        <v>6998</v>
      </c>
      <c r="D212" s="12">
        <v>1</v>
      </c>
      <c r="E212" s="12">
        <v>0</v>
      </c>
      <c r="F212" s="12" t="s">
        <v>7040</v>
      </c>
      <c r="G212" s="47"/>
      <c r="H212" s="3" t="s">
        <v>3759</v>
      </c>
      <c r="I212" s="190">
        <v>75205</v>
      </c>
    </row>
    <row r="213" spans="1:9">
      <c r="A213" s="178" t="s">
        <v>7027</v>
      </c>
      <c r="B213" s="177">
        <v>102515</v>
      </c>
      <c r="C213" s="178" t="s">
        <v>6675</v>
      </c>
      <c r="D213" s="12">
        <v>1</v>
      </c>
      <c r="E213" s="12">
        <v>0</v>
      </c>
      <c r="F213" s="12" t="s">
        <v>7040</v>
      </c>
      <c r="G213" s="47"/>
      <c r="H213" s="3" t="s">
        <v>3759</v>
      </c>
      <c r="I213" s="190">
        <v>75187</v>
      </c>
    </row>
    <row r="214" spans="1:9">
      <c r="A214" s="178" t="s">
        <v>7048</v>
      </c>
      <c r="B214" s="177" t="s">
        <v>7049</v>
      </c>
      <c r="C214" s="178" t="s">
        <v>6678</v>
      </c>
      <c r="D214" s="12">
        <v>1</v>
      </c>
      <c r="E214" s="12">
        <v>0</v>
      </c>
      <c r="F214" s="12" t="s">
        <v>7040</v>
      </c>
      <c r="G214" s="47"/>
      <c r="H214" s="3" t="s">
        <v>3807</v>
      </c>
      <c r="I214" s="190">
        <v>77780</v>
      </c>
    </row>
    <row r="215" spans="1:9">
      <c r="A215" s="178" t="s">
        <v>6862</v>
      </c>
      <c r="B215" s="177">
        <v>982</v>
      </c>
      <c r="C215" s="178" t="s">
        <v>6678</v>
      </c>
      <c r="D215" s="12">
        <v>1</v>
      </c>
      <c r="E215" s="12">
        <v>0</v>
      </c>
      <c r="F215" s="12" t="s">
        <v>7040</v>
      </c>
      <c r="G215" s="47"/>
      <c r="H215" s="3" t="s">
        <v>3807</v>
      </c>
      <c r="I215" s="190">
        <v>76846</v>
      </c>
    </row>
    <row r="216" spans="1:9">
      <c r="A216" s="178" t="s">
        <v>6664</v>
      </c>
      <c r="B216" s="177">
        <v>1511</v>
      </c>
      <c r="C216" s="178" t="s">
        <v>6666</v>
      </c>
      <c r="D216" s="12">
        <v>1</v>
      </c>
      <c r="E216" s="12">
        <v>0</v>
      </c>
      <c r="F216" s="12" t="s">
        <v>7040</v>
      </c>
      <c r="G216" s="47"/>
      <c r="H216" s="3" t="s">
        <v>3759</v>
      </c>
      <c r="I216" s="190">
        <v>77560</v>
      </c>
    </row>
    <row r="217" spans="1:9">
      <c r="A217" s="178" t="s">
        <v>7050</v>
      </c>
      <c r="B217" s="177" t="s">
        <v>7051</v>
      </c>
      <c r="C217" s="178" t="s">
        <v>7052</v>
      </c>
      <c r="D217" s="12">
        <v>2</v>
      </c>
      <c r="E217" s="12">
        <v>0</v>
      </c>
      <c r="F217" s="12" t="s">
        <v>7040</v>
      </c>
      <c r="G217" s="47"/>
      <c r="H217" s="3" t="s">
        <v>3759</v>
      </c>
      <c r="I217" s="190">
        <v>77713</v>
      </c>
    </row>
    <row r="218" spans="1:9">
      <c r="A218" s="178" t="s">
        <v>5383</v>
      </c>
      <c r="B218" s="177" t="s">
        <v>7053</v>
      </c>
      <c r="C218" s="178" t="s">
        <v>7054</v>
      </c>
      <c r="D218" s="12">
        <v>1</v>
      </c>
      <c r="E218" s="29">
        <v>1</v>
      </c>
      <c r="F218" s="12" t="s">
        <v>7040</v>
      </c>
      <c r="G218" s="3"/>
      <c r="H218" s="3" t="s">
        <v>3807</v>
      </c>
      <c r="I218" s="190" t="s">
        <v>5936</v>
      </c>
    </row>
    <row r="219" spans="1:9">
      <c r="A219" s="178" t="s">
        <v>6685</v>
      </c>
      <c r="B219" s="177">
        <v>3606</v>
      </c>
      <c r="C219" s="178" t="s">
        <v>7055</v>
      </c>
      <c r="D219" s="12">
        <v>1</v>
      </c>
      <c r="E219" s="12">
        <v>0</v>
      </c>
      <c r="F219" s="12" t="s">
        <v>7040</v>
      </c>
      <c r="G219" s="3"/>
      <c r="H219" s="3" t="s">
        <v>3807</v>
      </c>
      <c r="I219" s="190" t="s">
        <v>5936</v>
      </c>
    </row>
    <row r="220" spans="1:9">
      <c r="A220" s="178" t="s">
        <v>7056</v>
      </c>
      <c r="B220" s="177">
        <v>2682</v>
      </c>
      <c r="C220" s="178" t="s">
        <v>6653</v>
      </c>
      <c r="D220" s="12">
        <v>1</v>
      </c>
      <c r="E220" s="12">
        <v>0</v>
      </c>
      <c r="F220" s="12" t="s">
        <v>7040</v>
      </c>
      <c r="G220" s="47"/>
      <c r="H220" s="3" t="s">
        <v>3759</v>
      </c>
      <c r="I220" s="190">
        <v>76906</v>
      </c>
    </row>
    <row r="221" spans="1:9">
      <c r="A221" s="178" t="s">
        <v>7057</v>
      </c>
      <c r="B221" s="177">
        <v>15692</v>
      </c>
      <c r="C221" s="178" t="s">
        <v>7058</v>
      </c>
      <c r="D221" s="12">
        <v>1</v>
      </c>
      <c r="E221" s="12">
        <v>0</v>
      </c>
      <c r="F221" s="12" t="s">
        <v>7040</v>
      </c>
      <c r="G221" s="47"/>
      <c r="H221" s="3" t="s">
        <v>3807</v>
      </c>
      <c r="I221" s="190">
        <v>75205</v>
      </c>
    </row>
    <row r="222" spans="1:9">
      <c r="A222" s="178" t="s">
        <v>7059</v>
      </c>
      <c r="B222" s="176" t="s">
        <v>7060</v>
      </c>
      <c r="C222" s="178" t="s">
        <v>5260</v>
      </c>
      <c r="D222" s="12">
        <v>2</v>
      </c>
      <c r="E222" s="12">
        <v>0</v>
      </c>
      <c r="F222" s="12" t="s">
        <v>7040</v>
      </c>
      <c r="G222" s="47"/>
      <c r="H222" s="3" t="s">
        <v>5829</v>
      </c>
      <c r="I222" s="190">
        <v>77713</v>
      </c>
    </row>
    <row r="223" spans="1:9">
      <c r="A223" s="178" t="s">
        <v>6649</v>
      </c>
      <c r="B223" s="177">
        <v>9240</v>
      </c>
      <c r="C223" s="178" t="s">
        <v>7026</v>
      </c>
      <c r="D223" s="12">
        <v>1</v>
      </c>
      <c r="E223" s="12">
        <v>0</v>
      </c>
      <c r="F223" s="12" t="s">
        <v>7040</v>
      </c>
      <c r="G223" s="47"/>
      <c r="H223" s="3" t="s">
        <v>3759</v>
      </c>
      <c r="I223" s="190">
        <v>76906</v>
      </c>
    </row>
    <row r="224" spans="1:9">
      <c r="A224" s="178" t="s">
        <v>7061</v>
      </c>
      <c r="B224" s="176" t="s">
        <v>7062</v>
      </c>
      <c r="C224" s="178" t="s">
        <v>7063</v>
      </c>
      <c r="D224" s="12">
        <v>2</v>
      </c>
      <c r="E224" s="12">
        <v>0</v>
      </c>
      <c r="F224" s="12" t="s">
        <v>7040</v>
      </c>
      <c r="G224" s="47"/>
      <c r="H224" s="3" t="s">
        <v>5829</v>
      </c>
      <c r="I224" s="190" t="s">
        <v>7064</v>
      </c>
    </row>
    <row r="225" spans="1:9">
      <c r="A225" s="178" t="s">
        <v>7065</v>
      </c>
      <c r="B225" s="177">
        <v>3238</v>
      </c>
      <c r="C225" s="178" t="s">
        <v>7066</v>
      </c>
      <c r="D225" s="12">
        <v>1</v>
      </c>
      <c r="E225" s="12">
        <v>0</v>
      </c>
      <c r="F225" s="12" t="s">
        <v>7040</v>
      </c>
      <c r="G225" s="47"/>
      <c r="H225" s="3" t="s">
        <v>3759</v>
      </c>
      <c r="I225" s="190">
        <v>75205</v>
      </c>
    </row>
    <row r="226" spans="1:9">
      <c r="A226" s="178" t="s">
        <v>7067</v>
      </c>
      <c r="B226" s="177">
        <v>1183</v>
      </c>
      <c r="C226" s="178" t="s">
        <v>7068</v>
      </c>
      <c r="D226" s="12">
        <v>1</v>
      </c>
      <c r="E226" s="12">
        <v>0</v>
      </c>
      <c r="F226" s="12" t="s">
        <v>7040</v>
      </c>
      <c r="G226" s="47"/>
      <c r="H226" s="3" t="s">
        <v>3759</v>
      </c>
      <c r="I226" s="190" t="s">
        <v>5936</v>
      </c>
    </row>
    <row r="227" spans="1:9">
      <c r="A227" s="178" t="s">
        <v>6803</v>
      </c>
      <c r="B227" s="177">
        <v>31118837</v>
      </c>
      <c r="C227" s="178" t="s">
        <v>6805</v>
      </c>
      <c r="D227" s="12">
        <v>1</v>
      </c>
      <c r="E227" s="12">
        <v>0</v>
      </c>
      <c r="F227" s="12" t="s">
        <v>7040</v>
      </c>
      <c r="G227" s="47"/>
      <c r="H227" s="3" t="s">
        <v>3759</v>
      </c>
      <c r="I227" s="190">
        <v>76906</v>
      </c>
    </row>
    <row r="228" spans="1:9">
      <c r="A228" s="178" t="s">
        <v>7069</v>
      </c>
      <c r="B228" s="176" t="s">
        <v>7070</v>
      </c>
      <c r="C228" s="178" t="s">
        <v>7071</v>
      </c>
      <c r="D228" s="12">
        <v>2</v>
      </c>
      <c r="E228" s="12">
        <v>0</v>
      </c>
      <c r="F228" s="12" t="s">
        <v>7040</v>
      </c>
      <c r="G228" s="47"/>
      <c r="H228" s="3" t="s">
        <v>5829</v>
      </c>
      <c r="I228" s="190" t="s">
        <v>7072</v>
      </c>
    </row>
    <row r="229" spans="1:9">
      <c r="A229" s="179"/>
      <c r="B229" s="179"/>
      <c r="C229" s="179"/>
      <c r="D229" s="51"/>
      <c r="E229" s="51"/>
      <c r="F229" s="22"/>
      <c r="G229" s="47"/>
      <c r="H229" s="3"/>
    </row>
    <row r="230" spans="1:9">
      <c r="A230" s="180" t="s">
        <v>7073</v>
      </c>
      <c r="B230" s="177">
        <v>10303</v>
      </c>
      <c r="C230" s="178" t="s">
        <v>7074</v>
      </c>
      <c r="D230" s="12">
        <v>1</v>
      </c>
      <c r="E230" s="12">
        <v>0</v>
      </c>
      <c r="F230" s="12" t="s">
        <v>7075</v>
      </c>
      <c r="G230" s="3"/>
      <c r="H230" s="3" t="s">
        <v>3807</v>
      </c>
      <c r="I230" s="190" t="s">
        <v>5936</v>
      </c>
    </row>
    <row r="231" spans="1:9">
      <c r="A231" s="178" t="s">
        <v>7076</v>
      </c>
      <c r="B231" s="177">
        <v>285</v>
      </c>
      <c r="C231" s="178" t="s">
        <v>7077</v>
      </c>
      <c r="D231" s="12">
        <v>1</v>
      </c>
      <c r="E231" s="12">
        <v>0</v>
      </c>
      <c r="F231" s="12" t="s">
        <v>7075</v>
      </c>
      <c r="G231" s="47"/>
      <c r="H231" s="3" t="s">
        <v>3759</v>
      </c>
      <c r="I231" s="190" t="s">
        <v>5936</v>
      </c>
    </row>
    <row r="232" spans="1:9">
      <c r="A232" s="178" t="s">
        <v>7078</v>
      </c>
      <c r="B232" s="177" t="s">
        <v>7079</v>
      </c>
      <c r="C232" s="178" t="s">
        <v>7080</v>
      </c>
      <c r="D232" s="12">
        <v>2</v>
      </c>
      <c r="E232" s="12">
        <v>0</v>
      </c>
      <c r="F232" s="12" t="s">
        <v>7075</v>
      </c>
      <c r="G232" s="47"/>
      <c r="H232" s="3" t="s">
        <v>5829</v>
      </c>
      <c r="I232" s="190">
        <v>76494</v>
      </c>
    </row>
    <row r="233" spans="1:9">
      <c r="A233" s="178" t="s">
        <v>6749</v>
      </c>
      <c r="B233" s="176" t="s">
        <v>7081</v>
      </c>
      <c r="C233" s="178" t="s">
        <v>7082</v>
      </c>
      <c r="D233" s="12">
        <v>4</v>
      </c>
      <c r="E233" s="12">
        <v>0</v>
      </c>
      <c r="F233" s="12" t="s">
        <v>7075</v>
      </c>
      <c r="G233" s="47"/>
      <c r="H233" s="3" t="s">
        <v>6697</v>
      </c>
      <c r="I233" s="190" t="s">
        <v>7083</v>
      </c>
    </row>
    <row r="234" spans="1:9">
      <c r="A234" s="178" t="s">
        <v>7084</v>
      </c>
      <c r="B234" s="177" t="s">
        <v>7085</v>
      </c>
      <c r="C234" s="178" t="s">
        <v>7086</v>
      </c>
      <c r="D234" s="12">
        <v>2</v>
      </c>
      <c r="E234" s="12">
        <v>0</v>
      </c>
      <c r="F234" s="12" t="s">
        <v>7075</v>
      </c>
      <c r="G234" s="47"/>
      <c r="H234" s="3" t="s">
        <v>3759</v>
      </c>
      <c r="I234" s="190">
        <v>76494</v>
      </c>
    </row>
    <row r="235" spans="1:9">
      <c r="A235" s="178" t="s">
        <v>7087</v>
      </c>
      <c r="B235" s="177" t="s">
        <v>7088</v>
      </c>
      <c r="C235" s="178" t="s">
        <v>7089</v>
      </c>
      <c r="D235" s="12">
        <v>2</v>
      </c>
      <c r="E235" s="12">
        <v>0</v>
      </c>
      <c r="F235" s="12" t="s">
        <v>7075</v>
      </c>
      <c r="G235" s="47"/>
      <c r="H235" s="3" t="s">
        <v>3759</v>
      </c>
      <c r="I235" s="190" t="s">
        <v>7090</v>
      </c>
    </row>
    <row r="236" spans="1:9">
      <c r="A236" s="178" t="s">
        <v>7091</v>
      </c>
      <c r="B236" s="177">
        <v>2552</v>
      </c>
      <c r="C236" s="178" t="s">
        <v>7092</v>
      </c>
      <c r="D236" s="12">
        <v>1</v>
      </c>
      <c r="E236" s="12">
        <v>0</v>
      </c>
      <c r="F236" s="12" t="s">
        <v>7075</v>
      </c>
      <c r="G236" s="47"/>
      <c r="H236" s="3" t="s">
        <v>3759</v>
      </c>
      <c r="I236" s="190">
        <v>75187</v>
      </c>
    </row>
    <row r="237" spans="1:9">
      <c r="A237" s="188" t="s">
        <v>6747</v>
      </c>
      <c r="B237" s="177" t="s">
        <v>7093</v>
      </c>
      <c r="C237" s="178" t="s">
        <v>7080</v>
      </c>
      <c r="D237" s="12">
        <v>2</v>
      </c>
      <c r="E237" s="12">
        <v>0</v>
      </c>
      <c r="F237" s="12" t="s">
        <v>7075</v>
      </c>
      <c r="G237" s="47"/>
      <c r="H237" s="3" t="s">
        <v>3759</v>
      </c>
      <c r="I237" s="190" t="s">
        <v>7094</v>
      </c>
    </row>
    <row r="238" spans="1:9">
      <c r="A238" s="178" t="s">
        <v>7095</v>
      </c>
      <c r="B238" s="177" t="s">
        <v>7096</v>
      </c>
      <c r="C238" s="178" t="s">
        <v>7089</v>
      </c>
      <c r="D238" s="12">
        <v>2</v>
      </c>
      <c r="E238" s="12">
        <v>0</v>
      </c>
      <c r="F238" s="12" t="s">
        <v>7075</v>
      </c>
      <c r="G238" s="47"/>
      <c r="H238" s="3" t="s">
        <v>3759</v>
      </c>
      <c r="I238" s="190" t="s">
        <v>7083</v>
      </c>
    </row>
    <row r="239" spans="1:9">
      <c r="A239" s="178" t="s">
        <v>6750</v>
      </c>
      <c r="B239" s="176" t="s">
        <v>7097</v>
      </c>
      <c r="C239" s="178" t="s">
        <v>7080</v>
      </c>
      <c r="D239" s="12">
        <v>2</v>
      </c>
      <c r="E239" s="12">
        <v>0</v>
      </c>
      <c r="F239" s="12" t="s">
        <v>7075</v>
      </c>
      <c r="G239" s="47"/>
      <c r="H239" s="3" t="s">
        <v>5829</v>
      </c>
      <c r="I239" s="190">
        <v>76494</v>
      </c>
    </row>
    <row r="240" spans="1:9">
      <c r="A240" s="178" t="s">
        <v>7098</v>
      </c>
      <c r="B240" s="177">
        <v>2398</v>
      </c>
      <c r="C240" s="178" t="s">
        <v>7099</v>
      </c>
      <c r="D240" s="12">
        <v>1</v>
      </c>
      <c r="E240" s="12">
        <v>0</v>
      </c>
      <c r="F240" s="12" t="s">
        <v>7075</v>
      </c>
      <c r="G240" s="47"/>
      <c r="H240" s="3" t="s">
        <v>3807</v>
      </c>
      <c r="I240" s="190">
        <v>77711</v>
      </c>
    </row>
    <row r="241" spans="1:9">
      <c r="A241" s="188" t="s">
        <v>7100</v>
      </c>
      <c r="B241" s="177">
        <v>91020816</v>
      </c>
      <c r="C241" s="178" t="s">
        <v>7101</v>
      </c>
      <c r="D241" s="12">
        <v>1</v>
      </c>
      <c r="E241" s="12">
        <v>0</v>
      </c>
      <c r="F241" s="12" t="s">
        <v>7075</v>
      </c>
      <c r="G241" s="3"/>
      <c r="H241" s="3" t="s">
        <v>3807</v>
      </c>
      <c r="I241" s="190" t="s">
        <v>5936</v>
      </c>
    </row>
    <row r="242" spans="1:9">
      <c r="A242" s="178" t="s">
        <v>7102</v>
      </c>
      <c r="B242" s="177">
        <v>2784</v>
      </c>
      <c r="C242" s="178" t="s">
        <v>7103</v>
      </c>
      <c r="D242" s="12">
        <v>1</v>
      </c>
      <c r="E242" s="12">
        <v>0</v>
      </c>
      <c r="F242" s="12" t="s">
        <v>7075</v>
      </c>
      <c r="G242" s="3"/>
      <c r="H242" s="3" t="s">
        <v>3807</v>
      </c>
      <c r="I242" s="190" t="s">
        <v>5936</v>
      </c>
    </row>
    <row r="243" spans="1:9">
      <c r="A243" s="178" t="s">
        <v>7104</v>
      </c>
      <c r="B243" s="176" t="s">
        <v>7105</v>
      </c>
      <c r="C243" s="178" t="s">
        <v>7106</v>
      </c>
      <c r="D243" s="12">
        <v>2</v>
      </c>
      <c r="E243" s="12">
        <v>0</v>
      </c>
      <c r="F243" s="12" t="s">
        <v>7075</v>
      </c>
      <c r="G243" s="47"/>
      <c r="H243" s="3" t="s">
        <v>5829</v>
      </c>
      <c r="I243" s="190">
        <v>76494</v>
      </c>
    </row>
    <row r="244" spans="1:9" ht="28.8">
      <c r="A244" s="189" t="s">
        <v>7107</v>
      </c>
      <c r="B244" s="130" t="s">
        <v>7108</v>
      </c>
      <c r="C244" s="96" t="s">
        <v>7109</v>
      </c>
      <c r="D244" s="30">
        <v>5</v>
      </c>
      <c r="E244" s="35">
        <v>1</v>
      </c>
      <c r="F244" s="30" t="s">
        <v>7075</v>
      </c>
      <c r="G244" s="48"/>
      <c r="H244" s="33" t="s">
        <v>6060</v>
      </c>
      <c r="I244" s="190" t="s">
        <v>7110</v>
      </c>
    </row>
    <row r="245" spans="1:9">
      <c r="A245" s="178" t="s">
        <v>5480</v>
      </c>
      <c r="B245" s="177" t="s">
        <v>7111</v>
      </c>
      <c r="C245" s="178" t="s">
        <v>5482</v>
      </c>
      <c r="D245" s="12">
        <v>2</v>
      </c>
      <c r="E245" s="29">
        <v>0</v>
      </c>
      <c r="F245" s="12" t="s">
        <v>7075</v>
      </c>
      <c r="G245" s="47"/>
      <c r="H245" s="3" t="s">
        <v>3807</v>
      </c>
      <c r="I245" s="190" t="s">
        <v>7112</v>
      </c>
    </row>
    <row r="246" spans="1:9">
      <c r="A246" s="178" t="s">
        <v>7113</v>
      </c>
      <c r="B246" s="177" t="s">
        <v>7114</v>
      </c>
      <c r="C246" s="178" t="s">
        <v>3862</v>
      </c>
      <c r="D246" s="12">
        <v>3</v>
      </c>
      <c r="E246" s="12">
        <v>0</v>
      </c>
      <c r="F246" s="12" t="s">
        <v>7075</v>
      </c>
      <c r="G246" s="3"/>
      <c r="H246" s="3" t="s">
        <v>3807</v>
      </c>
      <c r="I246" s="190" t="s">
        <v>5936</v>
      </c>
    </row>
    <row r="247" spans="1:9">
      <c r="A247" s="178" t="s">
        <v>7115</v>
      </c>
      <c r="B247" s="176" t="s">
        <v>7116</v>
      </c>
      <c r="C247" s="178" t="s">
        <v>5473</v>
      </c>
      <c r="D247" s="12">
        <v>2</v>
      </c>
      <c r="E247" s="29">
        <v>1</v>
      </c>
      <c r="F247" s="12" t="s">
        <v>7075</v>
      </c>
      <c r="G247" s="47"/>
      <c r="H247" s="3" t="s">
        <v>5829</v>
      </c>
      <c r="I247" s="190" t="s">
        <v>7117</v>
      </c>
    </row>
    <row r="248" spans="1:9">
      <c r="A248" s="178" t="s">
        <v>7118</v>
      </c>
      <c r="B248" s="177">
        <v>22532</v>
      </c>
      <c r="C248" s="178" t="s">
        <v>4918</v>
      </c>
      <c r="D248" s="12">
        <v>1</v>
      </c>
      <c r="E248" s="12">
        <v>0</v>
      </c>
      <c r="F248" s="12" t="s">
        <v>7075</v>
      </c>
      <c r="G248" s="47"/>
      <c r="H248" s="3" t="s">
        <v>3759</v>
      </c>
      <c r="I248" s="190">
        <v>77208</v>
      </c>
    </row>
    <row r="249" spans="1:9">
      <c r="A249" s="178">
        <v>520854</v>
      </c>
      <c r="B249" s="177" t="s">
        <v>7119</v>
      </c>
      <c r="C249" s="178" t="s">
        <v>4928</v>
      </c>
      <c r="D249" s="12">
        <v>2</v>
      </c>
      <c r="E249" s="12">
        <v>0</v>
      </c>
      <c r="F249" s="12" t="s">
        <v>7075</v>
      </c>
      <c r="G249" s="47"/>
      <c r="H249" s="3" t="s">
        <v>3759</v>
      </c>
      <c r="I249" s="190" t="s">
        <v>7120</v>
      </c>
    </row>
    <row r="250" spans="1:9">
      <c r="A250" s="178" t="s">
        <v>7121</v>
      </c>
      <c r="B250" s="177">
        <v>1236</v>
      </c>
      <c r="C250" s="178" t="s">
        <v>7122</v>
      </c>
      <c r="D250" s="12">
        <v>1</v>
      </c>
      <c r="E250" s="12">
        <v>0</v>
      </c>
      <c r="F250" s="12" t="s">
        <v>7075</v>
      </c>
      <c r="G250" s="47"/>
      <c r="H250" s="3" t="s">
        <v>3759</v>
      </c>
      <c r="I250" s="190">
        <v>75205</v>
      </c>
    </row>
    <row r="251" spans="1:9">
      <c r="A251" s="178" t="s">
        <v>7123</v>
      </c>
      <c r="B251" s="177">
        <v>1146</v>
      </c>
      <c r="C251" s="178" t="s">
        <v>4374</v>
      </c>
      <c r="D251" s="12">
        <v>1</v>
      </c>
      <c r="E251" s="12">
        <v>0</v>
      </c>
      <c r="F251" s="12" t="s">
        <v>7075</v>
      </c>
      <c r="G251" s="47"/>
      <c r="H251" s="3" t="s">
        <v>3759</v>
      </c>
      <c r="I251" s="190">
        <v>75349</v>
      </c>
    </row>
    <row r="252" spans="1:9">
      <c r="A252" s="178" t="s">
        <v>6885</v>
      </c>
      <c r="B252" s="177">
        <v>860783</v>
      </c>
      <c r="C252" s="178" t="s">
        <v>6688</v>
      </c>
      <c r="D252" s="12">
        <v>1</v>
      </c>
      <c r="E252" s="12">
        <v>0</v>
      </c>
      <c r="F252" s="12" t="s">
        <v>7075</v>
      </c>
      <c r="G252" s="47"/>
      <c r="H252" s="3" t="s">
        <v>3759</v>
      </c>
      <c r="I252" s="190">
        <v>75776</v>
      </c>
    </row>
    <row r="253" spans="1:9">
      <c r="A253" s="179"/>
      <c r="B253" s="179"/>
      <c r="C253" s="179"/>
      <c r="D253" s="51"/>
      <c r="E253" s="51"/>
      <c r="F253" s="22"/>
      <c r="G253" s="47"/>
      <c r="H253" s="3"/>
    </row>
    <row r="254" spans="1:9">
      <c r="A254" s="41" t="s">
        <v>4995</v>
      </c>
      <c r="B254" s="41" t="s">
        <v>6866</v>
      </c>
      <c r="C254" s="41" t="s">
        <v>1423</v>
      </c>
      <c r="D254" s="12">
        <v>1</v>
      </c>
      <c r="E254" s="99">
        <v>1</v>
      </c>
      <c r="F254" s="12" t="s">
        <v>7124</v>
      </c>
      <c r="G254" s="47"/>
      <c r="H254" s="3"/>
    </row>
    <row r="255" spans="1:9">
      <c r="A255" s="41" t="s">
        <v>6868</v>
      </c>
      <c r="B255" s="41" t="s">
        <v>6869</v>
      </c>
      <c r="C255" s="41" t="s">
        <v>6870</v>
      </c>
      <c r="D255" s="12">
        <v>1</v>
      </c>
      <c r="E255" s="12">
        <v>0</v>
      </c>
      <c r="F255" s="12" t="s">
        <v>7124</v>
      </c>
      <c r="G255" s="47"/>
      <c r="H255" s="3"/>
    </row>
    <row r="256" spans="1:9">
      <c r="A256" s="41" t="s">
        <v>6872</v>
      </c>
      <c r="B256" s="41" t="s">
        <v>6873</v>
      </c>
      <c r="C256" s="41" t="s">
        <v>640</v>
      </c>
      <c r="D256" s="12">
        <v>1</v>
      </c>
      <c r="E256" s="12">
        <v>0</v>
      </c>
      <c r="F256" s="12" t="s">
        <v>7124</v>
      </c>
      <c r="G256" s="47"/>
      <c r="H256" s="3"/>
    </row>
    <row r="257" spans="1:6">
      <c r="A257" s="41" t="s">
        <v>6874</v>
      </c>
      <c r="B257" s="41" t="s">
        <v>6875</v>
      </c>
      <c r="C257" s="41" t="s">
        <v>6876</v>
      </c>
      <c r="D257" s="12">
        <v>2</v>
      </c>
      <c r="E257" s="12">
        <v>0</v>
      </c>
      <c r="F257" s="12" t="s">
        <v>7124</v>
      </c>
    </row>
    <row r="258" spans="1:6">
      <c r="A258" s="41">
        <v>2587567</v>
      </c>
      <c r="B258" s="41">
        <v>85091941</v>
      </c>
      <c r="C258" s="41" t="s">
        <v>6877</v>
      </c>
      <c r="D258" s="12">
        <v>1</v>
      </c>
      <c r="E258" s="12">
        <v>0</v>
      </c>
      <c r="F258" s="12" t="s">
        <v>7124</v>
      </c>
    </row>
    <row r="259" spans="1:6">
      <c r="A259" s="41" t="s">
        <v>6878</v>
      </c>
      <c r="B259" s="41">
        <v>80110334</v>
      </c>
      <c r="C259" s="41" t="s">
        <v>6879</v>
      </c>
      <c r="D259" s="12">
        <v>1</v>
      </c>
      <c r="E259" s="12">
        <v>0</v>
      </c>
      <c r="F259" s="12" t="s">
        <v>7124</v>
      </c>
    </row>
    <row r="260" spans="1:6">
      <c r="A260" s="41" t="s">
        <v>6880</v>
      </c>
      <c r="B260" s="41">
        <v>84080429</v>
      </c>
      <c r="C260" s="41" t="s">
        <v>6881</v>
      </c>
      <c r="D260" s="12">
        <v>1</v>
      </c>
      <c r="E260" s="12">
        <v>0</v>
      </c>
      <c r="F260" s="12" t="s">
        <v>7124</v>
      </c>
    </row>
    <row r="261" spans="1:6">
      <c r="A261" s="41" t="s">
        <v>6883</v>
      </c>
      <c r="B261" s="41">
        <v>7061016</v>
      </c>
      <c r="C261" s="41" t="s">
        <v>6884</v>
      </c>
      <c r="D261" s="12">
        <v>1</v>
      </c>
      <c r="E261" s="12">
        <v>0</v>
      </c>
      <c r="F261" s="12" t="s">
        <v>7124</v>
      </c>
    </row>
    <row r="262" spans="1:6">
      <c r="A262" s="41" t="s">
        <v>6885</v>
      </c>
      <c r="B262" s="41">
        <v>781334</v>
      </c>
      <c r="C262" s="41" t="s">
        <v>6886</v>
      </c>
      <c r="D262" s="12">
        <v>1</v>
      </c>
      <c r="E262" s="12">
        <v>0</v>
      </c>
      <c r="F262" s="12" t="s">
        <v>7124</v>
      </c>
    </row>
    <row r="263" spans="1:6">
      <c r="A263" s="41" t="s">
        <v>6888</v>
      </c>
      <c r="B263" s="41">
        <v>221</v>
      </c>
      <c r="C263" s="41" t="s">
        <v>6889</v>
      </c>
      <c r="D263" s="12">
        <v>1</v>
      </c>
      <c r="E263" s="12">
        <v>0</v>
      </c>
      <c r="F263" s="12" t="s">
        <v>7124</v>
      </c>
    </row>
  </sheetData>
  <autoFilter ref="A1:M10810" xr:uid="{19E30AD7-03CB-42C2-B85E-6C2312EF4173}"/>
  <conditionalFormatting sqref="D1:D60 D65:D106 D115 D121:D176 D178:D1048576">
    <cfRule type="containsText" dxfId="77" priority="79" operator="containsText" text="RO">
      <formula>NOT(ISERROR(SEARCH("RO",D1)))</formula>
    </cfRule>
  </conditionalFormatting>
  <conditionalFormatting sqref="D61:D64">
    <cfRule type="containsText" dxfId="76" priority="66" operator="containsText" text="RO">
      <formula>NOT(ISERROR(SEARCH("RO",D61)))</formula>
    </cfRule>
  </conditionalFormatting>
  <conditionalFormatting sqref="D107:D120">
    <cfRule type="containsText" dxfId="75" priority="5" operator="containsText" text="RO">
      <formula>NOT(ISERROR(SEARCH("RO",D107)))</formula>
    </cfRule>
  </conditionalFormatting>
  <conditionalFormatting sqref="E1:E1048576">
    <cfRule type="containsText" dxfId="74" priority="1" operator="containsText" text="4">
      <formula>NOT(ISERROR(SEARCH("4",E1)))</formula>
    </cfRule>
    <cfRule type="containsText" dxfId="73" priority="2" operator="containsText" text="3">
      <formula>NOT(ISERROR(SEARCH("3",E1)))</formula>
    </cfRule>
    <cfRule type="containsText" dxfId="72" priority="3" operator="containsText" text="2">
      <formula>NOT(ISERROR(SEARCH("2",E1)))</formula>
    </cfRule>
    <cfRule type="containsText" dxfId="71" priority="4" operator="containsText" text="1">
      <formula>NOT(ISERROR(SEARCH("1",E1)))</formula>
    </cfRule>
  </conditionalFormatting>
  <conditionalFormatting sqref="F1:F176 F178:F1048576">
    <cfRule type="containsText" dxfId="70" priority="80" operator="containsText" text="NO SISTEMA">
      <formula>NOT(ISERROR(SEARCH("NO SISTEMA",F1)))</formula>
    </cfRule>
    <cfRule type="containsText" dxfId="69" priority="81" operator="containsText" text="VENDIDO">
      <formula>NOT(ISERROR(SEARCH("VENDIDO",F1)))</formula>
    </cfRule>
    <cfRule type="containsText" dxfId="68" priority="82" operator="containsText" text="CAMBIO">
      <formula>NOT(ISERROR(SEARCH("CAMBIO",F1)))</formula>
    </cfRule>
  </conditionalFormatting>
  <conditionalFormatting sqref="G1">
    <cfRule type="containsText" dxfId="67" priority="127" operator="containsText" text="NO SISTEMA">
      <formula>NOT(ISERROR(SEARCH("NO SISTEMA",G1)))</formula>
    </cfRule>
    <cfRule type="containsText" dxfId="66" priority="128" operator="containsText" text="VENDIDO">
      <formula>NOT(ISERROR(SEARCH("VENDIDO",G1)))</formula>
    </cfRule>
    <cfRule type="containsText" dxfId="65" priority="129" operator="containsText" text="CAMBIO">
      <formula>NOT(ISERROR(SEARCH("CAMBIO",G1)))</formula>
    </cfRule>
  </conditionalFormatting>
  <conditionalFormatting sqref="G1:G176 G178:G1048576">
    <cfRule type="containsText" dxfId="64" priority="76" operator="containsText" text="RO">
      <formula>NOT(ISERROR(SEARCH("RO",G1)))</formula>
    </cfRule>
    <cfRule type="containsText" dxfId="63" priority="78" operator="containsText" text="TERRA">
      <formula>NOT(ISERROR(SEARCH("TERRA",G1)))</formula>
    </cfRule>
  </conditionalFormatting>
  <pageMargins left="0.25" right="0.25" top="0.75" bottom="0.75" header="0.3" footer="0.3"/>
  <pageSetup scale="9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3229-5167-4D15-AF23-02A14CD31142}">
  <sheetPr>
    <tabColor rgb="FFFFC000"/>
    <pageSetUpPr fitToPage="1"/>
  </sheetPr>
  <dimension ref="A1:I133"/>
  <sheetViews>
    <sheetView workbookViewId="0">
      <pane ySplit="1" topLeftCell="A69" activePane="bottomLeft" state="frozen"/>
      <selection activeCell="M1001" sqref="M1001"/>
      <selection pane="bottomLeft" activeCell="I1" sqref="I1"/>
    </sheetView>
  </sheetViews>
  <sheetFormatPr defaultRowHeight="14.4"/>
  <cols>
    <col min="1" max="1" width="22.33203125" style="181" customWidth="1"/>
    <col min="2" max="2" width="29.88671875" style="181" customWidth="1"/>
    <col min="3" max="3" width="24.88671875" style="181" customWidth="1"/>
    <col min="4" max="4" width="4.44140625" style="26" customWidth="1"/>
    <col min="5" max="5" width="11.44140625" style="26" bestFit="1" customWidth="1"/>
    <col min="6" max="6" width="12.44140625" style="24" customWidth="1"/>
    <col min="7" max="7" width="21.33203125" style="6" customWidth="1"/>
    <col min="8" max="8" width="9.33203125" style="6" customWidth="1"/>
    <col min="9" max="9" width="10.109375" style="190" customWidth="1"/>
  </cols>
  <sheetData>
    <row r="1" spans="1:8" s="1" customFormat="1" ht="36" customHeight="1">
      <c r="A1" s="37" t="s">
        <v>5804</v>
      </c>
      <c r="B1" s="182" t="s">
        <v>3740</v>
      </c>
      <c r="C1" s="37" t="s">
        <v>3741</v>
      </c>
      <c r="D1" s="36" t="s">
        <v>3742</v>
      </c>
      <c r="E1" s="37" t="s">
        <v>5805</v>
      </c>
      <c r="F1" s="36" t="s">
        <v>3743</v>
      </c>
      <c r="G1" s="36" t="s">
        <v>3746</v>
      </c>
      <c r="H1" s="125" t="s">
        <v>6643</v>
      </c>
    </row>
    <row r="2" spans="1:8">
      <c r="A2" s="178" t="s">
        <v>7125</v>
      </c>
      <c r="B2" s="177" t="s">
        <v>7126</v>
      </c>
      <c r="C2" s="178" t="s">
        <v>4502</v>
      </c>
      <c r="D2" s="12">
        <v>1</v>
      </c>
      <c r="E2" s="12">
        <v>0</v>
      </c>
      <c r="F2" s="12" t="s">
        <v>7127</v>
      </c>
      <c r="G2" s="47" t="s">
        <v>6356</v>
      </c>
      <c r="H2" s="3"/>
    </row>
    <row r="3" spans="1:8">
      <c r="A3" s="178" t="s">
        <v>7128</v>
      </c>
      <c r="B3" s="177">
        <v>23377</v>
      </c>
      <c r="C3" s="178" t="s">
        <v>4928</v>
      </c>
      <c r="D3" s="12">
        <v>1</v>
      </c>
      <c r="E3" s="12">
        <v>0</v>
      </c>
      <c r="F3" s="12" t="s">
        <v>7127</v>
      </c>
      <c r="G3" s="47" t="s">
        <v>6356</v>
      </c>
      <c r="H3" s="3"/>
    </row>
    <row r="4" spans="1:8">
      <c r="A4" s="178" t="s">
        <v>7129</v>
      </c>
      <c r="B4" s="177" t="s">
        <v>3748</v>
      </c>
      <c r="C4" s="178" t="s">
        <v>7130</v>
      </c>
      <c r="D4" s="12">
        <v>1</v>
      </c>
      <c r="E4" s="12">
        <v>0</v>
      </c>
      <c r="F4" s="12" t="s">
        <v>7127</v>
      </c>
      <c r="G4" s="47" t="s">
        <v>6356</v>
      </c>
      <c r="H4" s="3"/>
    </row>
    <row r="5" spans="1:8">
      <c r="A5" s="365" t="s">
        <v>7131</v>
      </c>
      <c r="B5" s="177" t="s">
        <v>7132</v>
      </c>
      <c r="C5" s="178" t="s">
        <v>7133</v>
      </c>
      <c r="D5" s="12">
        <v>1</v>
      </c>
      <c r="E5" s="12">
        <v>0</v>
      </c>
      <c r="F5" s="12" t="s">
        <v>7127</v>
      </c>
      <c r="G5" s="47" t="s">
        <v>6356</v>
      </c>
      <c r="H5" s="3"/>
    </row>
    <row r="6" spans="1:8">
      <c r="A6" s="178" t="s">
        <v>7134</v>
      </c>
      <c r="B6" s="177">
        <v>3420</v>
      </c>
      <c r="C6" s="178" t="s">
        <v>7135</v>
      </c>
      <c r="D6" s="12">
        <v>1</v>
      </c>
      <c r="E6" s="12">
        <v>0</v>
      </c>
      <c r="F6" s="12" t="s">
        <v>7127</v>
      </c>
      <c r="G6" s="47" t="s">
        <v>6356</v>
      </c>
      <c r="H6" s="3"/>
    </row>
    <row r="7" spans="1:8">
      <c r="A7" s="188" t="s">
        <v>7136</v>
      </c>
      <c r="B7" s="177" t="s">
        <v>7137</v>
      </c>
      <c r="C7" s="178" t="s">
        <v>7138</v>
      </c>
      <c r="D7" s="12">
        <v>3</v>
      </c>
      <c r="E7" s="12">
        <v>0</v>
      </c>
      <c r="F7" s="12" t="s">
        <v>7127</v>
      </c>
      <c r="G7" s="47" t="s">
        <v>6356</v>
      </c>
      <c r="H7" s="3"/>
    </row>
    <row r="8" spans="1:8">
      <c r="A8" s="337">
        <v>253884</v>
      </c>
      <c r="B8" s="177" t="s">
        <v>7139</v>
      </c>
      <c r="C8" s="178" t="s">
        <v>7140</v>
      </c>
      <c r="D8" s="12">
        <v>1</v>
      </c>
      <c r="E8" s="12">
        <v>0</v>
      </c>
      <c r="F8" s="12" t="s">
        <v>7127</v>
      </c>
      <c r="G8" s="47" t="s">
        <v>6356</v>
      </c>
      <c r="H8" s="3"/>
    </row>
    <row r="9" spans="1:8">
      <c r="A9" s="180" t="s">
        <v>7141</v>
      </c>
      <c r="B9" s="177">
        <v>43976</v>
      </c>
      <c r="C9" s="178" t="s">
        <v>7142</v>
      </c>
      <c r="D9" s="12">
        <v>1</v>
      </c>
      <c r="E9" s="12">
        <v>0</v>
      </c>
      <c r="F9" s="12" t="s">
        <v>7127</v>
      </c>
      <c r="G9" s="47" t="s">
        <v>6356</v>
      </c>
      <c r="H9" s="3"/>
    </row>
    <row r="10" spans="1:8" s="190" customFormat="1">
      <c r="A10" s="180" t="s">
        <v>7143</v>
      </c>
      <c r="B10" s="185" t="s">
        <v>7144</v>
      </c>
      <c r="C10" s="178" t="s">
        <v>7145</v>
      </c>
      <c r="D10" s="12">
        <v>1</v>
      </c>
      <c r="E10" s="12">
        <v>0</v>
      </c>
      <c r="F10" s="12" t="s">
        <v>7127</v>
      </c>
      <c r="G10" s="47" t="s">
        <v>6356</v>
      </c>
      <c r="H10" s="3"/>
    </row>
    <row r="11" spans="1:8" s="190" customFormat="1">
      <c r="A11" s="178" t="s">
        <v>7146</v>
      </c>
      <c r="B11" s="177" t="s">
        <v>7147</v>
      </c>
      <c r="C11" s="178" t="s">
        <v>7148</v>
      </c>
      <c r="D11" s="12">
        <v>1</v>
      </c>
      <c r="E11" s="12">
        <v>0</v>
      </c>
      <c r="F11" s="12" t="s">
        <v>7127</v>
      </c>
      <c r="G11" s="47" t="s">
        <v>6356</v>
      </c>
      <c r="H11" s="3"/>
    </row>
    <row r="12" spans="1:8" s="190" customFormat="1">
      <c r="A12" s="178" t="s">
        <v>7149</v>
      </c>
      <c r="B12" s="177" t="s">
        <v>3748</v>
      </c>
      <c r="C12" s="178" t="s">
        <v>7150</v>
      </c>
      <c r="D12" s="12">
        <v>1</v>
      </c>
      <c r="E12" s="12">
        <v>0</v>
      </c>
      <c r="F12" s="12" t="s">
        <v>7127</v>
      </c>
      <c r="G12" s="47" t="s">
        <v>6356</v>
      </c>
      <c r="H12" s="3"/>
    </row>
    <row r="13" spans="1:8" s="190" customFormat="1">
      <c r="A13" s="41" t="s">
        <v>7151</v>
      </c>
      <c r="B13" s="41" t="s">
        <v>3748</v>
      </c>
      <c r="C13" s="41" t="s">
        <v>7150</v>
      </c>
      <c r="D13" s="12">
        <v>1</v>
      </c>
      <c r="E13" s="12">
        <v>0</v>
      </c>
      <c r="F13" s="12" t="s">
        <v>7127</v>
      </c>
      <c r="G13" s="47" t="s">
        <v>6356</v>
      </c>
      <c r="H13" s="3"/>
    </row>
    <row r="14" spans="1:8" s="190" customFormat="1">
      <c r="A14" s="41" t="s">
        <v>7152</v>
      </c>
      <c r="B14" s="41" t="s">
        <v>7153</v>
      </c>
      <c r="C14" s="41" t="s">
        <v>7154</v>
      </c>
      <c r="D14" s="12">
        <v>1</v>
      </c>
      <c r="E14" s="12">
        <v>0</v>
      </c>
      <c r="F14" s="12" t="s">
        <v>7127</v>
      </c>
      <c r="G14" s="47" t="s">
        <v>6356</v>
      </c>
      <c r="H14" s="3"/>
    </row>
    <row r="15" spans="1:8" s="190" customFormat="1">
      <c r="A15" s="41" t="s">
        <v>7155</v>
      </c>
      <c r="B15" s="41" t="s">
        <v>7156</v>
      </c>
      <c r="C15" s="41" t="s">
        <v>7157</v>
      </c>
      <c r="D15" s="12">
        <v>1</v>
      </c>
      <c r="E15" s="12">
        <v>0</v>
      </c>
      <c r="F15" s="12" t="s">
        <v>7127</v>
      </c>
      <c r="G15" s="47" t="s">
        <v>6356</v>
      </c>
      <c r="H15" s="3"/>
    </row>
    <row r="16" spans="1:8" s="190" customFormat="1">
      <c r="A16" s="41" t="s">
        <v>7158</v>
      </c>
      <c r="B16" s="41" t="s">
        <v>7159</v>
      </c>
      <c r="C16" s="41" t="s">
        <v>7160</v>
      </c>
      <c r="D16" s="12">
        <v>1</v>
      </c>
      <c r="E16" s="12">
        <v>0</v>
      </c>
      <c r="F16" s="12" t="s">
        <v>7127</v>
      </c>
      <c r="G16" s="47" t="s">
        <v>6356</v>
      </c>
      <c r="H16" s="3"/>
    </row>
    <row r="17" spans="1:8" s="190" customFormat="1">
      <c r="A17" s="41" t="s">
        <v>7161</v>
      </c>
      <c r="B17" s="41" t="s">
        <v>7162</v>
      </c>
      <c r="C17" s="41" t="s">
        <v>7163</v>
      </c>
      <c r="D17" s="12">
        <v>1</v>
      </c>
      <c r="E17" s="12">
        <v>0</v>
      </c>
      <c r="F17" s="12" t="s">
        <v>7127</v>
      </c>
      <c r="G17" s="47" t="s">
        <v>6356</v>
      </c>
      <c r="H17" s="3"/>
    </row>
    <row r="18" spans="1:8" s="190" customFormat="1">
      <c r="A18" s="41" t="s">
        <v>7164</v>
      </c>
      <c r="B18" s="41" t="s">
        <v>7165</v>
      </c>
      <c r="C18" s="41" t="s">
        <v>7166</v>
      </c>
      <c r="D18" s="12">
        <v>1</v>
      </c>
      <c r="E18" s="12">
        <v>0</v>
      </c>
      <c r="F18" s="12" t="s">
        <v>7127</v>
      </c>
      <c r="G18" s="47" t="s">
        <v>6356</v>
      </c>
      <c r="H18" s="3"/>
    </row>
    <row r="19" spans="1:8" s="190" customFormat="1">
      <c r="A19" s="41" t="s">
        <v>7167</v>
      </c>
      <c r="B19" s="41" t="s">
        <v>7168</v>
      </c>
      <c r="C19" s="41" t="s">
        <v>7169</v>
      </c>
      <c r="D19" s="12">
        <v>1</v>
      </c>
      <c r="E19" s="12">
        <v>0</v>
      </c>
      <c r="F19" s="12" t="s">
        <v>7127</v>
      </c>
      <c r="G19" s="47" t="s">
        <v>6356</v>
      </c>
      <c r="H19" s="3"/>
    </row>
    <row r="20" spans="1:8" s="190" customFormat="1">
      <c r="A20" s="41" t="s">
        <v>7170</v>
      </c>
      <c r="B20" s="41" t="s">
        <v>7171</v>
      </c>
      <c r="C20" s="41" t="s">
        <v>7172</v>
      </c>
      <c r="D20" s="12">
        <v>1</v>
      </c>
      <c r="E20" s="12">
        <v>0</v>
      </c>
      <c r="F20" s="12" t="s">
        <v>7127</v>
      </c>
      <c r="G20" s="47" t="s">
        <v>6356</v>
      </c>
      <c r="H20" s="3"/>
    </row>
    <row r="21" spans="1:8" s="190" customFormat="1">
      <c r="A21" s="41" t="s">
        <v>7173</v>
      </c>
      <c r="B21" s="41" t="s">
        <v>7171</v>
      </c>
      <c r="C21" s="41" t="s">
        <v>7174</v>
      </c>
      <c r="D21" s="12">
        <v>1</v>
      </c>
      <c r="E21" s="12">
        <v>0</v>
      </c>
      <c r="F21" s="12" t="s">
        <v>7127</v>
      </c>
      <c r="G21" s="47" t="s">
        <v>6356</v>
      </c>
      <c r="H21" s="3"/>
    </row>
    <row r="22" spans="1:8" s="190" customFormat="1">
      <c r="A22" s="41" t="s">
        <v>7175</v>
      </c>
      <c r="B22" s="41" t="s">
        <v>7176</v>
      </c>
      <c r="C22" s="41" t="s">
        <v>7157</v>
      </c>
      <c r="D22" s="12">
        <v>1</v>
      </c>
      <c r="E22" s="12">
        <v>0</v>
      </c>
      <c r="F22" s="12" t="s">
        <v>7127</v>
      </c>
      <c r="G22" s="47" t="s">
        <v>6356</v>
      </c>
      <c r="H22" s="3"/>
    </row>
    <row r="23" spans="1:8" s="190" customFormat="1">
      <c r="A23" s="41" t="s">
        <v>7177</v>
      </c>
      <c r="B23" s="41" t="s">
        <v>7178</v>
      </c>
      <c r="C23" s="41" t="s">
        <v>7179</v>
      </c>
      <c r="D23" s="12">
        <v>1</v>
      </c>
      <c r="E23" s="12">
        <v>0</v>
      </c>
      <c r="F23" s="12" t="s">
        <v>7127</v>
      </c>
      <c r="G23" s="48" t="s">
        <v>6356</v>
      </c>
      <c r="H23" s="3"/>
    </row>
    <row r="24" spans="1:8" s="190" customFormat="1">
      <c r="A24" s="41" t="s">
        <v>7180</v>
      </c>
      <c r="B24" s="41" t="s">
        <v>7181</v>
      </c>
      <c r="C24" s="41" t="s">
        <v>7182</v>
      </c>
      <c r="D24" s="12">
        <v>1</v>
      </c>
      <c r="E24" s="12">
        <v>0</v>
      </c>
      <c r="F24" s="12" t="s">
        <v>7127</v>
      </c>
      <c r="G24" s="47" t="s">
        <v>6356</v>
      </c>
      <c r="H24" s="3"/>
    </row>
    <row r="25" spans="1:8" s="190" customFormat="1">
      <c r="A25" s="41" t="s">
        <v>7183</v>
      </c>
      <c r="B25" s="41" t="s">
        <v>7184</v>
      </c>
      <c r="C25" s="41" t="s">
        <v>7185</v>
      </c>
      <c r="D25" s="12">
        <v>1</v>
      </c>
      <c r="E25" s="12">
        <v>0</v>
      </c>
      <c r="F25" s="12" t="s">
        <v>7127</v>
      </c>
      <c r="G25" s="47" t="s">
        <v>6356</v>
      </c>
      <c r="H25" s="3"/>
    </row>
    <row r="26" spans="1:8" s="190" customFormat="1">
      <c r="A26" s="41" t="s">
        <v>7186</v>
      </c>
      <c r="B26" s="41" t="s">
        <v>7187</v>
      </c>
      <c r="C26" s="41" t="s">
        <v>7188</v>
      </c>
      <c r="D26" s="12">
        <v>1</v>
      </c>
      <c r="E26" s="12">
        <v>0</v>
      </c>
      <c r="F26" s="12" t="s">
        <v>7127</v>
      </c>
      <c r="G26" s="47" t="s">
        <v>6356</v>
      </c>
      <c r="H26" s="3"/>
    </row>
    <row r="27" spans="1:8" s="190" customFormat="1">
      <c r="A27" s="41" t="s">
        <v>7189</v>
      </c>
      <c r="B27" s="41" t="s">
        <v>7190</v>
      </c>
      <c r="C27" s="41" t="s">
        <v>7191</v>
      </c>
      <c r="D27" s="12">
        <v>1</v>
      </c>
      <c r="E27" s="12">
        <v>0</v>
      </c>
      <c r="F27" s="12" t="s">
        <v>7127</v>
      </c>
      <c r="G27" s="47" t="s">
        <v>6356</v>
      </c>
      <c r="H27" s="3"/>
    </row>
    <row r="28" spans="1:8" s="190" customFormat="1">
      <c r="A28" s="41" t="s">
        <v>7192</v>
      </c>
      <c r="B28" s="41" t="s">
        <v>6137</v>
      </c>
      <c r="C28" s="41" t="s">
        <v>7193</v>
      </c>
      <c r="D28" s="43">
        <v>2</v>
      </c>
      <c r="E28" s="12">
        <v>0</v>
      </c>
      <c r="F28" s="12" t="s">
        <v>7127</v>
      </c>
      <c r="G28" s="47" t="s">
        <v>6356</v>
      </c>
      <c r="H28" s="3"/>
    </row>
    <row r="29" spans="1:8" s="190" customFormat="1">
      <c r="A29" s="41" t="s">
        <v>7194</v>
      </c>
      <c r="B29" s="41">
        <v>86702</v>
      </c>
      <c r="C29" s="41" t="s">
        <v>7195</v>
      </c>
      <c r="D29" s="12">
        <v>1</v>
      </c>
      <c r="E29" s="12">
        <v>0</v>
      </c>
      <c r="F29" s="12" t="s">
        <v>7127</v>
      </c>
      <c r="G29" s="47" t="s">
        <v>6356</v>
      </c>
      <c r="H29" s="3"/>
    </row>
    <row r="30" spans="1:8" s="190" customFormat="1">
      <c r="A30" s="41" t="s">
        <v>7196</v>
      </c>
      <c r="B30" s="41" t="s">
        <v>7197</v>
      </c>
      <c r="C30" s="41" t="s">
        <v>7198</v>
      </c>
      <c r="D30" s="12">
        <v>1</v>
      </c>
      <c r="E30" s="12">
        <v>0</v>
      </c>
      <c r="F30" s="12" t="s">
        <v>7127</v>
      </c>
      <c r="G30" s="47" t="s">
        <v>6356</v>
      </c>
      <c r="H30" s="3"/>
    </row>
    <row r="31" spans="1:8" s="190" customFormat="1">
      <c r="A31" s="41" t="s">
        <v>7196</v>
      </c>
      <c r="B31" s="41" t="s">
        <v>7199</v>
      </c>
      <c r="C31" s="41" t="s">
        <v>7200</v>
      </c>
      <c r="D31" s="12">
        <v>1</v>
      </c>
      <c r="E31" s="12">
        <v>0</v>
      </c>
      <c r="F31" s="12" t="s">
        <v>7127</v>
      </c>
      <c r="G31" s="47" t="s">
        <v>6356</v>
      </c>
      <c r="H31" s="3"/>
    </row>
    <row r="32" spans="1:8" s="190" customFormat="1">
      <c r="A32" s="41" t="s">
        <v>7201</v>
      </c>
      <c r="B32" s="41">
        <v>44453</v>
      </c>
      <c r="C32" s="41" t="s">
        <v>7202</v>
      </c>
      <c r="D32" s="12">
        <v>1</v>
      </c>
      <c r="E32" s="12">
        <v>0</v>
      </c>
      <c r="F32" s="12" t="s">
        <v>7127</v>
      </c>
      <c r="G32" s="47" t="s">
        <v>6356</v>
      </c>
      <c r="H32" s="3"/>
    </row>
    <row r="33" spans="1:8" s="190" customFormat="1">
      <c r="A33" s="41" t="s">
        <v>7203</v>
      </c>
      <c r="B33" s="41" t="s">
        <v>7204</v>
      </c>
      <c r="C33" s="41" t="s">
        <v>7205</v>
      </c>
      <c r="D33" s="43">
        <v>2</v>
      </c>
      <c r="E33" s="12">
        <v>0</v>
      </c>
      <c r="F33" s="12" t="s">
        <v>7127</v>
      </c>
      <c r="G33" s="47" t="s">
        <v>6356</v>
      </c>
      <c r="H33" s="3"/>
    </row>
    <row r="34" spans="1:8" s="190" customFormat="1">
      <c r="A34" s="41" t="s">
        <v>7206</v>
      </c>
      <c r="B34" s="41" t="s">
        <v>3748</v>
      </c>
      <c r="C34" s="41" t="s">
        <v>1649</v>
      </c>
      <c r="D34" s="12">
        <v>1</v>
      </c>
      <c r="E34" s="12">
        <v>0</v>
      </c>
      <c r="F34" s="12" t="s">
        <v>7127</v>
      </c>
      <c r="G34" s="47" t="s">
        <v>6356</v>
      </c>
      <c r="H34" s="3"/>
    </row>
    <row r="35" spans="1:8">
      <c r="A35" s="350" t="s">
        <v>7207</v>
      </c>
      <c r="B35" s="41">
        <v>971</v>
      </c>
      <c r="C35" s="41" t="s">
        <v>7208</v>
      </c>
      <c r="D35" s="12">
        <v>1</v>
      </c>
      <c r="E35" s="12">
        <v>0</v>
      </c>
      <c r="F35" s="12" t="s">
        <v>7127</v>
      </c>
      <c r="G35" s="47" t="s">
        <v>6356</v>
      </c>
      <c r="H35" s="3"/>
    </row>
    <row r="36" spans="1:8">
      <c r="A36" s="41" t="s">
        <v>7209</v>
      </c>
      <c r="B36" s="41">
        <v>2138</v>
      </c>
      <c r="C36" s="41" t="s">
        <v>7210</v>
      </c>
      <c r="D36" s="12">
        <v>1</v>
      </c>
      <c r="E36" s="12">
        <v>0</v>
      </c>
      <c r="F36" s="12" t="s">
        <v>7127</v>
      </c>
      <c r="G36" s="47" t="s">
        <v>6356</v>
      </c>
      <c r="H36" s="3"/>
    </row>
    <row r="37" spans="1:8">
      <c r="A37" s="41" t="s">
        <v>7211</v>
      </c>
      <c r="B37" s="41" t="s">
        <v>7212</v>
      </c>
      <c r="C37" s="41" t="s">
        <v>6980</v>
      </c>
      <c r="D37" s="43">
        <v>2</v>
      </c>
      <c r="E37" s="12">
        <v>0</v>
      </c>
      <c r="F37" s="12" t="s">
        <v>7127</v>
      </c>
      <c r="G37" s="47" t="s">
        <v>6356</v>
      </c>
      <c r="H37" s="3"/>
    </row>
    <row r="38" spans="1:8">
      <c r="A38" s="41" t="s">
        <v>7213</v>
      </c>
      <c r="B38" s="41">
        <v>7650</v>
      </c>
      <c r="C38" s="41" t="s">
        <v>7214</v>
      </c>
      <c r="D38" s="12">
        <v>1</v>
      </c>
      <c r="E38" s="12">
        <v>0</v>
      </c>
      <c r="F38" s="12" t="s">
        <v>7127</v>
      </c>
      <c r="G38" s="47" t="s">
        <v>6356</v>
      </c>
      <c r="H38" s="3"/>
    </row>
    <row r="39" spans="1:8">
      <c r="A39" s="41" t="s">
        <v>7215</v>
      </c>
      <c r="B39" s="41" t="s">
        <v>7216</v>
      </c>
      <c r="C39" s="41" t="s">
        <v>7217</v>
      </c>
      <c r="D39" s="12">
        <v>1</v>
      </c>
      <c r="E39" s="12">
        <v>0</v>
      </c>
      <c r="F39" s="12" t="s">
        <v>7127</v>
      </c>
      <c r="G39" s="47" t="s">
        <v>6356</v>
      </c>
      <c r="H39" s="3"/>
    </row>
    <row r="40" spans="1:8">
      <c r="A40" s="41" t="s">
        <v>7218</v>
      </c>
      <c r="B40" s="41" t="s">
        <v>7219</v>
      </c>
      <c r="C40" s="41" t="s">
        <v>7220</v>
      </c>
      <c r="D40" s="12">
        <v>1</v>
      </c>
      <c r="E40" s="12">
        <v>0</v>
      </c>
      <c r="F40" s="12" t="s">
        <v>7127</v>
      </c>
      <c r="G40" s="47" t="s">
        <v>6356</v>
      </c>
      <c r="H40" s="3"/>
    </row>
    <row r="41" spans="1:8">
      <c r="A41" s="41" t="s">
        <v>7221</v>
      </c>
      <c r="B41" s="41" t="s">
        <v>7222</v>
      </c>
      <c r="C41" s="41" t="s">
        <v>7223</v>
      </c>
      <c r="D41" s="12">
        <v>1</v>
      </c>
      <c r="E41" s="12">
        <v>0</v>
      </c>
      <c r="F41" s="12" t="s">
        <v>7127</v>
      </c>
      <c r="G41" s="47" t="s">
        <v>6356</v>
      </c>
      <c r="H41" s="3"/>
    </row>
    <row r="42" spans="1:8">
      <c r="A42" s="41" t="s">
        <v>7224</v>
      </c>
      <c r="B42" s="41">
        <v>813</v>
      </c>
      <c r="C42" s="41" t="s">
        <v>4662</v>
      </c>
      <c r="D42" s="12">
        <v>1</v>
      </c>
      <c r="E42" s="12">
        <v>0</v>
      </c>
      <c r="F42" s="12" t="s">
        <v>7127</v>
      </c>
      <c r="G42" s="47" t="s">
        <v>6356</v>
      </c>
      <c r="H42" s="3"/>
    </row>
    <row r="43" spans="1:8">
      <c r="A43" s="41" t="s">
        <v>7057</v>
      </c>
      <c r="B43" s="41">
        <v>4010</v>
      </c>
      <c r="C43" s="41" t="s">
        <v>7225</v>
      </c>
      <c r="D43" s="12">
        <v>1</v>
      </c>
      <c r="E43" s="12">
        <v>0</v>
      </c>
      <c r="F43" s="12" t="s">
        <v>7127</v>
      </c>
      <c r="G43" s="47" t="s">
        <v>6356</v>
      </c>
      <c r="H43" s="3"/>
    </row>
    <row r="44" spans="1:8">
      <c r="A44" s="41" t="s">
        <v>7226</v>
      </c>
      <c r="B44" s="41">
        <v>19203</v>
      </c>
      <c r="C44" s="41" t="s">
        <v>6985</v>
      </c>
      <c r="D44" s="12">
        <v>1</v>
      </c>
      <c r="E44" s="12">
        <v>0</v>
      </c>
      <c r="F44" s="12" t="s">
        <v>7127</v>
      </c>
      <c r="G44" s="47" t="s">
        <v>6356</v>
      </c>
      <c r="H44" s="3"/>
    </row>
    <row r="45" spans="1:8">
      <c r="A45" s="41" t="s">
        <v>7227</v>
      </c>
      <c r="B45" s="41">
        <v>4060</v>
      </c>
      <c r="C45" s="41" t="s">
        <v>7228</v>
      </c>
      <c r="D45" s="12">
        <v>1</v>
      </c>
      <c r="E45" s="12">
        <v>0</v>
      </c>
      <c r="F45" s="12" t="s">
        <v>7127</v>
      </c>
      <c r="G45" s="47" t="s">
        <v>6356</v>
      </c>
      <c r="H45" s="3"/>
    </row>
    <row r="46" spans="1:8">
      <c r="A46" s="41" t="s">
        <v>7229</v>
      </c>
      <c r="B46" s="41" t="s">
        <v>7230</v>
      </c>
      <c r="C46" s="41" t="s">
        <v>7231</v>
      </c>
      <c r="D46" s="43">
        <v>2</v>
      </c>
      <c r="E46" s="12">
        <v>0</v>
      </c>
      <c r="F46" s="12" t="s">
        <v>7127</v>
      </c>
      <c r="G46" s="47" t="s">
        <v>6356</v>
      </c>
      <c r="H46" s="3"/>
    </row>
    <row r="47" spans="1:8">
      <c r="A47" s="41" t="s">
        <v>7232</v>
      </c>
      <c r="B47" s="41" t="s">
        <v>7233</v>
      </c>
      <c r="C47" s="41" t="s">
        <v>7234</v>
      </c>
      <c r="D47" s="12">
        <v>1</v>
      </c>
      <c r="E47" s="12">
        <v>0</v>
      </c>
      <c r="F47" s="12" t="s">
        <v>7127</v>
      </c>
      <c r="G47" s="47" t="s">
        <v>6356</v>
      </c>
      <c r="H47" s="3"/>
    </row>
    <row r="48" spans="1:8">
      <c r="A48" s="41" t="s">
        <v>7235</v>
      </c>
      <c r="B48" s="41" t="s">
        <v>3748</v>
      </c>
      <c r="C48" s="41" t="s">
        <v>4558</v>
      </c>
      <c r="D48" s="12">
        <v>1</v>
      </c>
      <c r="E48" s="12">
        <v>0</v>
      </c>
      <c r="F48" s="12" t="s">
        <v>7127</v>
      </c>
      <c r="G48" s="47" t="s">
        <v>6356</v>
      </c>
      <c r="H48" s="3"/>
    </row>
    <row r="49" spans="1:8">
      <c r="A49" s="41" t="s">
        <v>7236</v>
      </c>
      <c r="B49" s="41" t="s">
        <v>7237</v>
      </c>
      <c r="C49" s="41" t="s">
        <v>7238</v>
      </c>
      <c r="D49" s="12">
        <v>1</v>
      </c>
      <c r="E49" s="12">
        <v>0</v>
      </c>
      <c r="F49" s="12" t="s">
        <v>7127</v>
      </c>
      <c r="G49" s="47" t="s">
        <v>6356</v>
      </c>
      <c r="H49" s="3"/>
    </row>
    <row r="50" spans="1:8">
      <c r="A50" s="180" t="s">
        <v>7239</v>
      </c>
      <c r="B50" s="177" t="s">
        <v>7240</v>
      </c>
      <c r="C50" s="178" t="s">
        <v>5205</v>
      </c>
      <c r="D50" s="12">
        <v>1</v>
      </c>
      <c r="E50" s="12">
        <v>0</v>
      </c>
      <c r="F50" s="12" t="s">
        <v>7127</v>
      </c>
      <c r="G50" s="47" t="s">
        <v>6356</v>
      </c>
      <c r="H50" s="3"/>
    </row>
    <row r="51" spans="1:8">
      <c r="A51" s="41" t="s">
        <v>7241</v>
      </c>
      <c r="B51" s="41">
        <v>9868</v>
      </c>
      <c r="C51" s="41" t="s">
        <v>7242</v>
      </c>
      <c r="D51" s="12">
        <v>1</v>
      </c>
      <c r="E51" s="12">
        <v>0</v>
      </c>
      <c r="F51" s="12" t="s">
        <v>7127</v>
      </c>
      <c r="G51" s="47" t="s">
        <v>6356</v>
      </c>
      <c r="H51" s="3"/>
    </row>
    <row r="52" spans="1:8">
      <c r="A52" s="363" t="s">
        <v>7241</v>
      </c>
      <c r="B52" s="41">
        <v>9980</v>
      </c>
      <c r="C52" s="41" t="s">
        <v>7242</v>
      </c>
      <c r="D52" s="12">
        <v>1</v>
      </c>
      <c r="E52" s="12">
        <v>0</v>
      </c>
      <c r="F52" s="12" t="s">
        <v>7127</v>
      </c>
      <c r="G52" s="47" t="s">
        <v>6356</v>
      </c>
      <c r="H52" s="3"/>
    </row>
    <row r="53" spans="1:8" ht="28.8">
      <c r="A53" s="41" t="s">
        <v>7243</v>
      </c>
      <c r="B53" s="41">
        <v>606</v>
      </c>
      <c r="C53" s="41" t="s">
        <v>7244</v>
      </c>
      <c r="D53" s="12">
        <v>1</v>
      </c>
      <c r="E53" s="12">
        <v>0</v>
      </c>
      <c r="F53" s="12" t="s">
        <v>7127</v>
      </c>
      <c r="G53" s="47" t="s">
        <v>6356</v>
      </c>
      <c r="H53" s="3"/>
    </row>
    <row r="54" spans="1:8" ht="28.8">
      <c r="A54" s="363" t="s">
        <v>7243</v>
      </c>
      <c r="B54" s="41">
        <v>672</v>
      </c>
      <c r="C54" s="41" t="s">
        <v>7244</v>
      </c>
      <c r="D54" s="12">
        <v>1</v>
      </c>
      <c r="E54" s="12">
        <v>0</v>
      </c>
      <c r="F54" s="12" t="s">
        <v>7127</v>
      </c>
      <c r="G54" s="47" t="s">
        <v>6356</v>
      </c>
      <c r="H54" s="3"/>
    </row>
    <row r="55" spans="1:8">
      <c r="A55" s="363" t="s">
        <v>7245</v>
      </c>
      <c r="B55" s="41">
        <v>3858</v>
      </c>
      <c r="C55" s="41" t="s">
        <v>7246</v>
      </c>
      <c r="D55" s="12">
        <v>1</v>
      </c>
      <c r="E55" s="12">
        <v>0</v>
      </c>
      <c r="F55" s="12" t="s">
        <v>7127</v>
      </c>
      <c r="G55" s="48" t="s">
        <v>6356</v>
      </c>
      <c r="H55" s="3"/>
    </row>
    <row r="56" spans="1:8">
      <c r="A56" s="363" t="s">
        <v>7245</v>
      </c>
      <c r="B56" s="41">
        <v>2733</v>
      </c>
      <c r="C56" s="41" t="s">
        <v>7246</v>
      </c>
      <c r="D56" s="12">
        <v>1</v>
      </c>
      <c r="E56" s="12">
        <v>0</v>
      </c>
      <c r="F56" s="12" t="s">
        <v>7127</v>
      </c>
      <c r="G56" s="47" t="s">
        <v>6356</v>
      </c>
      <c r="H56" s="3"/>
    </row>
    <row r="57" spans="1:8">
      <c r="A57" s="41" t="s">
        <v>7247</v>
      </c>
      <c r="B57" s="41">
        <v>504</v>
      </c>
      <c r="C57" s="41" t="s">
        <v>7248</v>
      </c>
      <c r="D57" s="12">
        <v>1</v>
      </c>
      <c r="E57" s="12">
        <v>0</v>
      </c>
      <c r="F57" s="12" t="s">
        <v>7127</v>
      </c>
      <c r="G57" s="48" t="s">
        <v>6356</v>
      </c>
      <c r="H57" s="3"/>
    </row>
    <row r="58" spans="1:8">
      <c r="A58" s="363" t="s">
        <v>7247</v>
      </c>
      <c r="B58" s="41">
        <v>507</v>
      </c>
      <c r="C58" s="41" t="s">
        <v>7249</v>
      </c>
      <c r="D58" s="12">
        <v>1</v>
      </c>
      <c r="E58" s="12">
        <v>0</v>
      </c>
      <c r="F58" s="12" t="s">
        <v>7127</v>
      </c>
      <c r="G58" s="47" t="s">
        <v>6356</v>
      </c>
      <c r="H58" s="3"/>
    </row>
    <row r="59" spans="1:8">
      <c r="A59" s="350" t="s">
        <v>7250</v>
      </c>
      <c r="B59" s="41">
        <v>2703</v>
      </c>
      <c r="C59" s="41" t="s">
        <v>7251</v>
      </c>
      <c r="D59" s="12">
        <v>1</v>
      </c>
      <c r="E59" s="12">
        <v>0</v>
      </c>
      <c r="F59" s="12" t="s">
        <v>7127</v>
      </c>
      <c r="G59" s="47" t="s">
        <v>6356</v>
      </c>
      <c r="H59" s="3"/>
    </row>
    <row r="60" spans="1:8">
      <c r="A60" s="350" t="s">
        <v>7250</v>
      </c>
      <c r="B60" s="41">
        <v>4927</v>
      </c>
      <c r="C60" s="41" t="s">
        <v>7251</v>
      </c>
      <c r="D60" s="12">
        <v>1</v>
      </c>
      <c r="E60" s="12">
        <v>0</v>
      </c>
      <c r="F60" s="12" t="s">
        <v>7127</v>
      </c>
      <c r="G60" s="47" t="s">
        <v>6356</v>
      </c>
      <c r="H60" s="3"/>
    </row>
    <row r="61" spans="1:8">
      <c r="A61" s="350" t="s">
        <v>7250</v>
      </c>
      <c r="B61" s="41">
        <v>4928</v>
      </c>
      <c r="C61" s="41" t="s">
        <v>7251</v>
      </c>
      <c r="D61" s="12">
        <v>1</v>
      </c>
      <c r="E61" s="12">
        <v>0</v>
      </c>
      <c r="F61" s="12" t="s">
        <v>7127</v>
      </c>
      <c r="G61" s="47" t="s">
        <v>6356</v>
      </c>
      <c r="H61" s="3"/>
    </row>
    <row r="62" spans="1:8" s="190" customFormat="1">
      <c r="A62" s="350" t="s">
        <v>7252</v>
      </c>
      <c r="B62" s="41" t="s">
        <v>7253</v>
      </c>
      <c r="C62" s="41" t="s">
        <v>7254</v>
      </c>
      <c r="D62" s="12">
        <v>1</v>
      </c>
      <c r="E62" s="12">
        <v>0</v>
      </c>
      <c r="F62" s="12" t="s">
        <v>7127</v>
      </c>
      <c r="G62" s="47" t="s">
        <v>6356</v>
      </c>
      <c r="H62" s="3"/>
    </row>
    <row r="63" spans="1:8" s="190" customFormat="1">
      <c r="A63" s="350" t="s">
        <v>7255</v>
      </c>
      <c r="B63" s="41" t="s">
        <v>7256</v>
      </c>
      <c r="C63" s="41" t="s">
        <v>7257</v>
      </c>
      <c r="D63" s="12">
        <v>2</v>
      </c>
      <c r="E63" s="12">
        <v>0</v>
      </c>
      <c r="F63" s="12" t="s">
        <v>7127</v>
      </c>
      <c r="G63" s="47" t="s">
        <v>6356</v>
      </c>
      <c r="H63" s="3"/>
    </row>
    <row r="64" spans="1:8" s="190" customFormat="1">
      <c r="A64" s="42" t="s">
        <v>7258</v>
      </c>
      <c r="B64" s="41">
        <v>3470</v>
      </c>
      <c r="C64" s="41" t="s">
        <v>7259</v>
      </c>
      <c r="D64" s="12">
        <v>1</v>
      </c>
      <c r="E64" s="12">
        <v>0</v>
      </c>
      <c r="F64" s="12" t="s">
        <v>7127</v>
      </c>
      <c r="G64" s="47" t="s">
        <v>6356</v>
      </c>
      <c r="H64" s="3"/>
    </row>
    <row r="65" spans="1:8" s="190" customFormat="1">
      <c r="A65" s="41" t="s">
        <v>7260</v>
      </c>
      <c r="B65" s="41">
        <v>96095245</v>
      </c>
      <c r="C65" s="41" t="s">
        <v>7261</v>
      </c>
      <c r="D65" s="12">
        <v>1</v>
      </c>
      <c r="E65" s="12">
        <v>0</v>
      </c>
      <c r="F65" s="12" t="s">
        <v>7127</v>
      </c>
      <c r="G65" s="47" t="s">
        <v>6356</v>
      </c>
      <c r="H65" s="3"/>
    </row>
    <row r="66" spans="1:8" s="190" customFormat="1">
      <c r="A66" s="41" t="s">
        <v>7260</v>
      </c>
      <c r="B66" s="41">
        <v>96095249</v>
      </c>
      <c r="C66" s="41" t="s">
        <v>7261</v>
      </c>
      <c r="D66" s="12">
        <v>1</v>
      </c>
      <c r="E66" s="12">
        <v>0</v>
      </c>
      <c r="F66" s="12" t="s">
        <v>7127</v>
      </c>
      <c r="G66" s="47" t="s">
        <v>6356</v>
      </c>
      <c r="H66" s="3"/>
    </row>
    <row r="67" spans="1:8" s="190" customFormat="1">
      <c r="A67" s="41" t="s">
        <v>7262</v>
      </c>
      <c r="B67" s="41">
        <v>86071086</v>
      </c>
      <c r="C67" s="41" t="s">
        <v>7263</v>
      </c>
      <c r="D67" s="12">
        <v>1</v>
      </c>
      <c r="E67" s="12">
        <v>0</v>
      </c>
      <c r="F67" s="12" t="s">
        <v>7127</v>
      </c>
      <c r="G67" s="47" t="s">
        <v>6356</v>
      </c>
      <c r="H67" s="3"/>
    </row>
    <row r="68" spans="1:8" s="190" customFormat="1">
      <c r="A68" s="41" t="s">
        <v>7262</v>
      </c>
      <c r="B68" s="41">
        <v>96106227</v>
      </c>
      <c r="C68" s="41" t="s">
        <v>7264</v>
      </c>
      <c r="D68" s="12">
        <v>1</v>
      </c>
      <c r="E68" s="12">
        <v>0</v>
      </c>
      <c r="F68" s="12" t="s">
        <v>7127</v>
      </c>
      <c r="G68" s="47" t="s">
        <v>6356</v>
      </c>
      <c r="H68" s="3"/>
    </row>
    <row r="69" spans="1:8" s="190" customFormat="1">
      <c r="A69" s="41" t="s">
        <v>7265</v>
      </c>
      <c r="B69" s="41">
        <v>3126</v>
      </c>
      <c r="C69" s="41" t="s">
        <v>7266</v>
      </c>
      <c r="D69" s="12">
        <v>1</v>
      </c>
      <c r="E69" s="12">
        <v>0</v>
      </c>
      <c r="F69" s="12" t="s">
        <v>7127</v>
      </c>
      <c r="G69" s="47" t="s">
        <v>6356</v>
      </c>
      <c r="H69" s="3"/>
    </row>
    <row r="70" spans="1:8" s="190" customFormat="1">
      <c r="A70" s="41" t="s">
        <v>7267</v>
      </c>
      <c r="B70" s="41" t="s">
        <v>7268</v>
      </c>
      <c r="C70" s="41" t="s">
        <v>7269</v>
      </c>
      <c r="D70" s="12">
        <v>1</v>
      </c>
      <c r="E70" s="12">
        <v>0</v>
      </c>
      <c r="F70" s="12" t="s">
        <v>7127</v>
      </c>
      <c r="G70" s="47" t="s">
        <v>6356</v>
      </c>
      <c r="H70" s="3"/>
    </row>
    <row r="71" spans="1:8" s="190" customFormat="1">
      <c r="A71" s="41" t="s">
        <v>7267</v>
      </c>
      <c r="B71" s="41" t="s">
        <v>7270</v>
      </c>
      <c r="C71" s="41" t="s">
        <v>7269</v>
      </c>
      <c r="D71" s="12">
        <v>1</v>
      </c>
      <c r="E71" s="12">
        <v>0</v>
      </c>
      <c r="F71" s="12" t="s">
        <v>7127</v>
      </c>
      <c r="G71" s="47" t="s">
        <v>6356</v>
      </c>
      <c r="H71" s="3"/>
    </row>
    <row r="72" spans="1:8" s="190" customFormat="1">
      <c r="A72" s="41" t="s">
        <v>7271</v>
      </c>
      <c r="B72" s="41" t="s">
        <v>7272</v>
      </c>
      <c r="C72" s="41" t="s">
        <v>7273</v>
      </c>
      <c r="D72" s="12">
        <v>1</v>
      </c>
      <c r="E72" s="12">
        <v>0</v>
      </c>
      <c r="F72" s="12" t="s">
        <v>7127</v>
      </c>
      <c r="G72" s="47" t="s">
        <v>6356</v>
      </c>
      <c r="H72" s="3"/>
    </row>
    <row r="73" spans="1:8" s="190" customFormat="1">
      <c r="A73" s="41" t="s">
        <v>7274</v>
      </c>
      <c r="B73" s="41" t="s">
        <v>7275</v>
      </c>
      <c r="C73" s="41" t="s">
        <v>7276</v>
      </c>
      <c r="D73" s="12">
        <v>1</v>
      </c>
      <c r="E73" s="12">
        <v>0</v>
      </c>
      <c r="F73" s="12" t="s">
        <v>7127</v>
      </c>
      <c r="G73" s="47" t="s">
        <v>6356</v>
      </c>
      <c r="H73" s="3"/>
    </row>
    <row r="74" spans="1:8" s="190" customFormat="1">
      <c r="A74" s="41" t="s">
        <v>7277</v>
      </c>
      <c r="B74" s="41" t="s">
        <v>7278</v>
      </c>
      <c r="C74" s="41" t="s">
        <v>7279</v>
      </c>
      <c r="D74" s="12">
        <v>1</v>
      </c>
      <c r="E74" s="12">
        <v>0</v>
      </c>
      <c r="F74" s="12" t="s">
        <v>7127</v>
      </c>
      <c r="G74" s="47" t="s">
        <v>6356</v>
      </c>
      <c r="H74" s="3"/>
    </row>
    <row r="75" spans="1:8" s="190" customFormat="1">
      <c r="A75" s="41" t="s">
        <v>7280</v>
      </c>
      <c r="B75" s="41" t="s">
        <v>7281</v>
      </c>
      <c r="C75" s="41" t="s">
        <v>7282</v>
      </c>
      <c r="D75" s="12">
        <v>1</v>
      </c>
      <c r="E75" s="12">
        <v>0</v>
      </c>
      <c r="F75" s="12" t="s">
        <v>7127</v>
      </c>
      <c r="G75" s="47" t="s">
        <v>6356</v>
      </c>
      <c r="H75" s="3"/>
    </row>
    <row r="76" spans="1:8" s="190" customFormat="1">
      <c r="A76" s="41" t="s">
        <v>7283</v>
      </c>
      <c r="B76" s="41" t="s">
        <v>7284</v>
      </c>
      <c r="C76" s="41" t="s">
        <v>7285</v>
      </c>
      <c r="D76" s="12">
        <v>1</v>
      </c>
      <c r="E76" s="12">
        <v>0</v>
      </c>
      <c r="F76" s="12" t="s">
        <v>7127</v>
      </c>
      <c r="G76" s="47" t="s">
        <v>6356</v>
      </c>
      <c r="H76" s="3"/>
    </row>
    <row r="77" spans="1:8" s="190" customFormat="1">
      <c r="A77" s="41" t="s">
        <v>7286</v>
      </c>
      <c r="B77" s="41" t="s">
        <v>7287</v>
      </c>
      <c r="C77" s="41" t="s">
        <v>7288</v>
      </c>
      <c r="D77" s="12">
        <v>1</v>
      </c>
      <c r="E77" s="12">
        <v>0</v>
      </c>
      <c r="F77" s="12" t="s">
        <v>7127</v>
      </c>
      <c r="G77" s="47" t="s">
        <v>6356</v>
      </c>
      <c r="H77" s="3"/>
    </row>
    <row r="78" spans="1:8">
      <c r="A78" s="41" t="s">
        <v>7289</v>
      </c>
      <c r="B78" s="41" t="s">
        <v>7290</v>
      </c>
      <c r="C78" s="41" t="s">
        <v>7291</v>
      </c>
      <c r="D78" s="12">
        <v>1</v>
      </c>
      <c r="E78" s="12">
        <v>0</v>
      </c>
      <c r="F78" s="12" t="s">
        <v>7127</v>
      </c>
      <c r="G78" s="47" t="s">
        <v>6356</v>
      </c>
      <c r="H78" s="3"/>
    </row>
    <row r="79" spans="1:8">
      <c r="A79" s="41" t="s">
        <v>7292</v>
      </c>
      <c r="B79" s="41" t="s">
        <v>7293</v>
      </c>
      <c r="C79" s="41" t="s">
        <v>7294</v>
      </c>
      <c r="D79" s="12">
        <v>1</v>
      </c>
      <c r="E79" s="12">
        <v>0</v>
      </c>
      <c r="F79" s="12" t="s">
        <v>7127</v>
      </c>
      <c r="G79" s="47" t="s">
        <v>6356</v>
      </c>
      <c r="H79" s="3"/>
    </row>
    <row r="80" spans="1:8">
      <c r="A80" s="41" t="s">
        <v>7292</v>
      </c>
      <c r="B80" s="41" t="s">
        <v>7295</v>
      </c>
      <c r="C80" s="41" t="s">
        <v>7294</v>
      </c>
      <c r="D80" s="12">
        <v>1</v>
      </c>
      <c r="E80" s="12">
        <v>0</v>
      </c>
      <c r="F80" s="12" t="s">
        <v>7127</v>
      </c>
      <c r="G80" s="47" t="s">
        <v>6356</v>
      </c>
      <c r="H80" s="3"/>
    </row>
    <row r="81" spans="1:8">
      <c r="A81" s="41" t="s">
        <v>7247</v>
      </c>
      <c r="B81" s="41">
        <v>506</v>
      </c>
      <c r="C81" s="41" t="s">
        <v>7296</v>
      </c>
      <c r="D81" s="12">
        <v>1</v>
      </c>
      <c r="E81" s="12">
        <v>0</v>
      </c>
      <c r="F81" s="12" t="s">
        <v>7127</v>
      </c>
      <c r="G81" s="47" t="s">
        <v>6356</v>
      </c>
      <c r="H81" s="3"/>
    </row>
    <row r="82" spans="1:8">
      <c r="A82" s="363" t="s">
        <v>7247</v>
      </c>
      <c r="B82" s="41">
        <v>505</v>
      </c>
      <c r="C82" s="41" t="s">
        <v>7296</v>
      </c>
      <c r="D82" s="12">
        <v>1</v>
      </c>
      <c r="E82" s="12">
        <v>0</v>
      </c>
      <c r="F82" s="12" t="s">
        <v>7127</v>
      </c>
      <c r="G82" s="47" t="s">
        <v>6356</v>
      </c>
      <c r="H82" s="3"/>
    </row>
    <row r="83" spans="1:8">
      <c r="A83" s="41" t="s">
        <v>7297</v>
      </c>
      <c r="B83" s="41" t="s">
        <v>7298</v>
      </c>
      <c r="C83" s="41" t="s">
        <v>6899</v>
      </c>
      <c r="D83" s="12">
        <v>1</v>
      </c>
      <c r="E83" s="12">
        <v>0</v>
      </c>
      <c r="F83" s="12" t="s">
        <v>7127</v>
      </c>
      <c r="G83" s="47" t="s">
        <v>6356</v>
      </c>
      <c r="H83" s="3"/>
    </row>
    <row r="84" spans="1:8">
      <c r="A84" s="41" t="s">
        <v>7299</v>
      </c>
      <c r="B84" s="41" t="s">
        <v>7300</v>
      </c>
      <c r="C84" s="41" t="s">
        <v>640</v>
      </c>
      <c r="D84" s="12">
        <v>1</v>
      </c>
      <c r="E84" s="12">
        <v>0</v>
      </c>
      <c r="F84" s="12" t="s">
        <v>7127</v>
      </c>
      <c r="G84" s="47" t="s">
        <v>6356</v>
      </c>
      <c r="H84" s="3"/>
    </row>
    <row r="85" spans="1:8">
      <c r="A85" s="41" t="s">
        <v>7301</v>
      </c>
      <c r="B85" s="41" t="s">
        <v>7302</v>
      </c>
      <c r="C85" s="41" t="s">
        <v>7303</v>
      </c>
      <c r="D85" s="12">
        <v>1</v>
      </c>
      <c r="E85" s="12">
        <v>0</v>
      </c>
      <c r="F85" s="12" t="s">
        <v>7127</v>
      </c>
      <c r="G85" s="47" t="s">
        <v>6356</v>
      </c>
      <c r="H85" s="3"/>
    </row>
    <row r="86" spans="1:8">
      <c r="A86" s="41" t="s">
        <v>7304</v>
      </c>
      <c r="B86" s="41">
        <v>3913</v>
      </c>
      <c r="C86" s="41" t="s">
        <v>7305</v>
      </c>
      <c r="D86" s="43">
        <v>1</v>
      </c>
      <c r="E86" s="43">
        <v>0</v>
      </c>
      <c r="F86" s="12" t="s">
        <v>7127</v>
      </c>
      <c r="G86" s="47" t="s">
        <v>6356</v>
      </c>
      <c r="H86" s="3"/>
    </row>
    <row r="87" spans="1:8">
      <c r="A87" s="41" t="s">
        <v>7306</v>
      </c>
      <c r="B87" s="41">
        <v>707</v>
      </c>
      <c r="C87" s="41" t="s">
        <v>7307</v>
      </c>
      <c r="D87" s="43">
        <v>1</v>
      </c>
      <c r="E87" s="43">
        <v>0</v>
      </c>
      <c r="F87" s="12" t="s">
        <v>7127</v>
      </c>
      <c r="G87" s="47" t="s">
        <v>6356</v>
      </c>
      <c r="H87" s="3"/>
    </row>
    <row r="88" spans="1:8">
      <c r="A88" s="41" t="s">
        <v>7308</v>
      </c>
      <c r="B88" s="41">
        <v>2088</v>
      </c>
      <c r="C88" s="41" t="s">
        <v>7309</v>
      </c>
      <c r="D88" s="43">
        <v>1</v>
      </c>
      <c r="E88" s="43">
        <v>0</v>
      </c>
      <c r="F88" s="12" t="s">
        <v>7127</v>
      </c>
      <c r="G88" s="47" t="s">
        <v>6356</v>
      </c>
      <c r="H88" s="3"/>
    </row>
    <row r="89" spans="1:8">
      <c r="A89" s="41" t="s">
        <v>7310</v>
      </c>
      <c r="B89" s="41">
        <v>13415</v>
      </c>
      <c r="C89" s="41" t="s">
        <v>7311</v>
      </c>
      <c r="D89" s="43">
        <v>1</v>
      </c>
      <c r="E89" s="43">
        <v>0</v>
      </c>
      <c r="F89" s="12" t="s">
        <v>7127</v>
      </c>
      <c r="G89" s="47" t="s">
        <v>6356</v>
      </c>
      <c r="H89" s="3"/>
    </row>
    <row r="90" spans="1:8">
      <c r="A90" s="41" t="s">
        <v>7312</v>
      </c>
      <c r="B90" s="41">
        <v>10353</v>
      </c>
      <c r="C90" s="41" t="s">
        <v>4278</v>
      </c>
      <c r="D90" s="43">
        <v>1</v>
      </c>
      <c r="E90" s="43">
        <v>0</v>
      </c>
      <c r="F90" s="12" t="s">
        <v>7127</v>
      </c>
      <c r="G90" s="47" t="s">
        <v>6356</v>
      </c>
      <c r="H90" s="3"/>
    </row>
    <row r="91" spans="1:8">
      <c r="A91" s="41" t="s">
        <v>7312</v>
      </c>
      <c r="B91" s="41">
        <v>10352</v>
      </c>
      <c r="C91" s="41" t="s">
        <v>4278</v>
      </c>
      <c r="D91" s="43">
        <v>1</v>
      </c>
      <c r="E91" s="43">
        <v>0</v>
      </c>
      <c r="F91" s="12" t="s">
        <v>7127</v>
      </c>
      <c r="G91" s="47" t="s">
        <v>6356</v>
      </c>
      <c r="H91" s="3"/>
    </row>
    <row r="92" spans="1:8">
      <c r="A92" s="41" t="s">
        <v>7313</v>
      </c>
      <c r="B92" s="41">
        <v>3638</v>
      </c>
      <c r="C92" s="41" t="s">
        <v>7314</v>
      </c>
      <c r="D92" s="43">
        <v>1</v>
      </c>
      <c r="E92" s="43">
        <v>0</v>
      </c>
      <c r="F92" s="12" t="s">
        <v>7127</v>
      </c>
      <c r="G92" s="47" t="s">
        <v>6356</v>
      </c>
      <c r="H92" s="3"/>
    </row>
    <row r="93" spans="1:8">
      <c r="A93" s="41" t="s">
        <v>7315</v>
      </c>
      <c r="B93" s="41">
        <v>7345</v>
      </c>
      <c r="C93" s="41" t="s">
        <v>7316</v>
      </c>
      <c r="D93" s="43">
        <v>1</v>
      </c>
      <c r="E93" s="43">
        <v>0</v>
      </c>
      <c r="F93" s="12" t="s">
        <v>7127</v>
      </c>
      <c r="G93" s="47" t="s">
        <v>6356</v>
      </c>
      <c r="H93" s="3"/>
    </row>
    <row r="94" spans="1:8" s="190" customFormat="1">
      <c r="A94" s="41" t="s">
        <v>7317</v>
      </c>
      <c r="B94" s="41" t="s">
        <v>7318</v>
      </c>
      <c r="C94" s="41" t="s">
        <v>7319</v>
      </c>
      <c r="D94" s="43">
        <v>1</v>
      </c>
      <c r="E94" s="43">
        <v>0</v>
      </c>
      <c r="F94" s="12" t="s">
        <v>7127</v>
      </c>
      <c r="G94" s="47" t="s">
        <v>6356</v>
      </c>
      <c r="H94" s="3"/>
    </row>
    <row r="95" spans="1:8" s="190" customFormat="1">
      <c r="A95" s="41" t="s">
        <v>7320</v>
      </c>
      <c r="B95" s="41" t="s">
        <v>7321</v>
      </c>
      <c r="C95" s="41" t="s">
        <v>7322</v>
      </c>
      <c r="D95" s="43">
        <v>1</v>
      </c>
      <c r="E95" s="43">
        <v>0</v>
      </c>
      <c r="F95" s="12" t="s">
        <v>7127</v>
      </c>
      <c r="G95" s="47" t="s">
        <v>6356</v>
      </c>
      <c r="H95" s="3"/>
    </row>
    <row r="96" spans="1:8" s="190" customFormat="1">
      <c r="A96" s="41" t="s">
        <v>7323</v>
      </c>
      <c r="B96" s="41" t="s">
        <v>7324</v>
      </c>
      <c r="C96" s="41" t="s">
        <v>7325</v>
      </c>
      <c r="D96" s="43">
        <v>1</v>
      </c>
      <c r="E96" s="43">
        <v>0</v>
      </c>
      <c r="F96" s="12" t="s">
        <v>7127</v>
      </c>
      <c r="G96" s="47" t="s">
        <v>6356</v>
      </c>
      <c r="H96" s="3"/>
    </row>
    <row r="97" spans="1:8" s="190" customFormat="1">
      <c r="A97" s="41" t="s">
        <v>7326</v>
      </c>
      <c r="B97" s="41" t="s">
        <v>7327</v>
      </c>
      <c r="C97" s="41" t="s">
        <v>7328</v>
      </c>
      <c r="D97" s="43">
        <v>1</v>
      </c>
      <c r="E97" s="43">
        <v>0</v>
      </c>
      <c r="F97" s="12" t="s">
        <v>7127</v>
      </c>
      <c r="G97" s="47" t="s">
        <v>6356</v>
      </c>
      <c r="H97" s="3"/>
    </row>
    <row r="98" spans="1:8" s="190" customFormat="1">
      <c r="A98" s="41" t="s">
        <v>7329</v>
      </c>
      <c r="B98" s="41" t="s">
        <v>7330</v>
      </c>
      <c r="C98" s="41" t="s">
        <v>7331</v>
      </c>
      <c r="D98" s="43">
        <v>1</v>
      </c>
      <c r="E98" s="43">
        <v>0</v>
      </c>
      <c r="F98" s="12" t="s">
        <v>7127</v>
      </c>
      <c r="G98" s="47" t="s">
        <v>6356</v>
      </c>
      <c r="H98" s="3"/>
    </row>
    <row r="99" spans="1:8" s="190" customFormat="1">
      <c r="A99" s="41" t="s">
        <v>7332</v>
      </c>
      <c r="B99" s="41" t="s">
        <v>7333</v>
      </c>
      <c r="C99" s="41" t="s">
        <v>7334</v>
      </c>
      <c r="D99" s="43">
        <v>1</v>
      </c>
      <c r="E99" s="43">
        <v>0</v>
      </c>
      <c r="F99" s="12" t="s">
        <v>7127</v>
      </c>
      <c r="G99" s="47" t="s">
        <v>6356</v>
      </c>
      <c r="H99" s="3"/>
    </row>
    <row r="100" spans="1:8" s="190" customFormat="1">
      <c r="A100" s="41" t="s">
        <v>7335</v>
      </c>
      <c r="B100" s="41">
        <v>14247</v>
      </c>
      <c r="C100" s="41" t="s">
        <v>7336</v>
      </c>
      <c r="D100" s="43">
        <v>1</v>
      </c>
      <c r="E100" s="43">
        <v>0</v>
      </c>
      <c r="F100" s="12" t="s">
        <v>7127</v>
      </c>
      <c r="G100" s="47" t="s">
        <v>6356</v>
      </c>
      <c r="H100" s="3"/>
    </row>
    <row r="101" spans="1:8" s="190" customFormat="1">
      <c r="A101" s="41" t="s">
        <v>7335</v>
      </c>
      <c r="B101" s="41">
        <v>14246</v>
      </c>
      <c r="C101" s="41" t="s">
        <v>7336</v>
      </c>
      <c r="D101" s="43">
        <v>1</v>
      </c>
      <c r="E101" s="43">
        <v>0</v>
      </c>
      <c r="F101" s="12" t="s">
        <v>7127</v>
      </c>
      <c r="G101" s="47" t="s">
        <v>6356</v>
      </c>
      <c r="H101" s="3"/>
    </row>
    <row r="102" spans="1:8" s="190" customFormat="1">
      <c r="A102" s="41" t="s">
        <v>7337</v>
      </c>
      <c r="B102" s="41">
        <v>4033</v>
      </c>
      <c r="C102" s="41" t="s">
        <v>7338</v>
      </c>
      <c r="D102" s="43">
        <v>1</v>
      </c>
      <c r="E102" s="43">
        <v>0</v>
      </c>
      <c r="F102" s="12" t="s">
        <v>7127</v>
      </c>
      <c r="G102" s="47" t="s">
        <v>6356</v>
      </c>
      <c r="H102" s="3"/>
    </row>
    <row r="103" spans="1:8" s="190" customFormat="1">
      <c r="A103" s="41" t="s">
        <v>7339</v>
      </c>
      <c r="B103" s="41">
        <v>16813</v>
      </c>
      <c r="C103" s="41" t="s">
        <v>5636</v>
      </c>
      <c r="D103" s="43">
        <v>1</v>
      </c>
      <c r="E103" s="43">
        <v>0</v>
      </c>
      <c r="F103" s="12" t="s">
        <v>7127</v>
      </c>
      <c r="G103" s="47" t="s">
        <v>6356</v>
      </c>
      <c r="H103" s="3"/>
    </row>
    <row r="104" spans="1:8" s="190" customFormat="1">
      <c r="A104" s="41" t="s">
        <v>7340</v>
      </c>
      <c r="B104" s="41">
        <v>200028</v>
      </c>
      <c r="C104" s="41" t="s">
        <v>7000</v>
      </c>
      <c r="D104" s="43">
        <v>1</v>
      </c>
      <c r="E104" s="43">
        <v>0</v>
      </c>
      <c r="F104" s="12" t="s">
        <v>7127</v>
      </c>
      <c r="G104" s="47" t="s">
        <v>6356</v>
      </c>
      <c r="H104" s="3"/>
    </row>
    <row r="105" spans="1:8" s="190" customFormat="1">
      <c r="A105" s="41" t="s">
        <v>7341</v>
      </c>
      <c r="B105" s="41" t="s">
        <v>7342</v>
      </c>
      <c r="C105" s="41" t="s">
        <v>640</v>
      </c>
      <c r="D105" s="43">
        <v>1</v>
      </c>
      <c r="E105" s="43">
        <v>0</v>
      </c>
      <c r="F105" s="12" t="s">
        <v>7127</v>
      </c>
      <c r="G105" s="47" t="s">
        <v>6356</v>
      </c>
      <c r="H105" s="3"/>
    </row>
    <row r="106" spans="1:8" s="190" customFormat="1">
      <c r="A106" s="41" t="s">
        <v>7343</v>
      </c>
      <c r="B106" s="41">
        <v>1322</v>
      </c>
      <c r="C106" s="41" t="s">
        <v>7344</v>
      </c>
      <c r="D106" s="43">
        <v>1</v>
      </c>
      <c r="E106" s="43">
        <v>0</v>
      </c>
      <c r="F106" s="12" t="s">
        <v>7127</v>
      </c>
      <c r="G106" s="47" t="s">
        <v>6356</v>
      </c>
      <c r="H106" s="3"/>
    </row>
    <row r="107" spans="1:8" s="6" customFormat="1">
      <c r="A107" s="181"/>
      <c r="B107" s="181"/>
      <c r="C107" s="181"/>
      <c r="D107" s="26"/>
      <c r="E107" s="26"/>
      <c r="F107" s="24"/>
      <c r="G107"/>
    </row>
    <row r="108" spans="1:8" s="6" customFormat="1">
      <c r="A108" s="181"/>
      <c r="B108" s="181"/>
      <c r="C108" s="181"/>
      <c r="D108" s="26"/>
      <c r="E108" s="26"/>
      <c r="F108" s="24"/>
      <c r="G108"/>
    </row>
    <row r="109" spans="1:8" s="6" customFormat="1">
      <c r="A109" s="7" t="s">
        <v>6352</v>
      </c>
      <c r="B109" s="8" t="s">
        <v>6353</v>
      </c>
      <c r="C109" s="11" t="s">
        <v>6354</v>
      </c>
      <c r="D109" s="12">
        <v>4</v>
      </c>
      <c r="E109" s="22">
        <v>0</v>
      </c>
      <c r="F109" s="12" t="s">
        <v>6355</v>
      </c>
      <c r="G109" s="12" t="s">
        <v>5853</v>
      </c>
      <c r="H109" s="12" t="s">
        <v>6356</v>
      </c>
    </row>
    <row r="110" spans="1:8" s="6" customFormat="1">
      <c r="A110" s="348" t="s">
        <v>4707</v>
      </c>
      <c r="B110" s="8" t="s">
        <v>6357</v>
      </c>
      <c r="C110" s="11" t="s">
        <v>207</v>
      </c>
      <c r="D110" s="12">
        <v>1</v>
      </c>
      <c r="E110" s="100">
        <v>2</v>
      </c>
      <c r="F110" s="99" t="s">
        <v>6355</v>
      </c>
      <c r="G110" s="99" t="s">
        <v>5853</v>
      </c>
      <c r="H110" s="12" t="s">
        <v>6356</v>
      </c>
    </row>
    <row r="111" spans="1:8" s="6" customFormat="1">
      <c r="A111" s="7" t="s">
        <v>5255</v>
      </c>
      <c r="B111" s="8" t="s">
        <v>6371</v>
      </c>
      <c r="C111" s="11" t="s">
        <v>6372</v>
      </c>
      <c r="D111" s="12">
        <v>3</v>
      </c>
      <c r="E111" s="100">
        <v>1</v>
      </c>
      <c r="F111" s="99" t="s">
        <v>6373</v>
      </c>
      <c r="G111" s="99" t="s">
        <v>5967</v>
      </c>
      <c r="H111" s="12" t="s">
        <v>6356</v>
      </c>
    </row>
    <row r="112" spans="1:8" s="6" customFormat="1">
      <c r="A112" s="7" t="s">
        <v>6374</v>
      </c>
      <c r="B112" s="126" t="s">
        <v>6375</v>
      </c>
      <c r="C112" s="11" t="s">
        <v>6376</v>
      </c>
      <c r="D112" s="12">
        <v>2</v>
      </c>
      <c r="E112" s="22">
        <v>0</v>
      </c>
      <c r="F112" s="12" t="s">
        <v>6373</v>
      </c>
      <c r="G112" s="12" t="s">
        <v>5967</v>
      </c>
      <c r="H112" s="12" t="s">
        <v>6356</v>
      </c>
    </row>
    <row r="113" spans="1:8" s="6" customFormat="1">
      <c r="A113" s="362" t="s">
        <v>6421</v>
      </c>
      <c r="B113" s="8">
        <v>10567</v>
      </c>
      <c r="C113" s="11" t="s">
        <v>207</v>
      </c>
      <c r="D113" s="12">
        <v>1</v>
      </c>
      <c r="E113" s="22">
        <v>0</v>
      </c>
      <c r="F113" s="12" t="s">
        <v>6355</v>
      </c>
      <c r="G113" s="12" t="s">
        <v>6005</v>
      </c>
      <c r="H113" s="12" t="s">
        <v>6356</v>
      </c>
    </row>
    <row r="114" spans="1:8" s="6" customFormat="1">
      <c r="A114" s="7" t="s">
        <v>6422</v>
      </c>
      <c r="B114" s="8" t="s">
        <v>6423</v>
      </c>
      <c r="C114" s="11" t="s">
        <v>6424</v>
      </c>
      <c r="D114" s="12">
        <v>3</v>
      </c>
      <c r="E114" s="22">
        <v>0</v>
      </c>
      <c r="F114" s="12" t="s">
        <v>6355</v>
      </c>
      <c r="G114" s="12" t="s">
        <v>6005</v>
      </c>
      <c r="H114" s="12" t="s">
        <v>6356</v>
      </c>
    </row>
    <row r="115" spans="1:8" s="6" customFormat="1">
      <c r="A115" s="362" t="s">
        <v>6425</v>
      </c>
      <c r="B115" s="8" t="s">
        <v>3748</v>
      </c>
      <c r="C115" s="11" t="s">
        <v>6426</v>
      </c>
      <c r="D115" s="12">
        <v>1</v>
      </c>
      <c r="E115" s="22">
        <v>0</v>
      </c>
      <c r="F115" s="12" t="s">
        <v>6355</v>
      </c>
      <c r="G115" s="12" t="s">
        <v>6005</v>
      </c>
      <c r="H115" s="12" t="s">
        <v>6356</v>
      </c>
    </row>
    <row r="116" spans="1:8" s="6" customFormat="1">
      <c r="A116" s="362" t="s">
        <v>6427</v>
      </c>
      <c r="B116" s="8">
        <v>5125</v>
      </c>
      <c r="C116" s="11" t="s">
        <v>6428</v>
      </c>
      <c r="D116" s="12">
        <v>1</v>
      </c>
      <c r="E116" s="22">
        <v>0</v>
      </c>
      <c r="F116" s="12" t="s">
        <v>6355</v>
      </c>
      <c r="G116" s="12" t="s">
        <v>6005</v>
      </c>
      <c r="H116" s="12" t="s">
        <v>6356</v>
      </c>
    </row>
    <row r="117" spans="1:8" s="6" customFormat="1">
      <c r="A117" s="362" t="s">
        <v>6429</v>
      </c>
      <c r="B117" s="8">
        <v>3636681</v>
      </c>
      <c r="C117" s="11" t="s">
        <v>4629</v>
      </c>
      <c r="D117" s="12">
        <v>1</v>
      </c>
      <c r="E117" s="22">
        <v>0</v>
      </c>
      <c r="F117" s="12" t="s">
        <v>6355</v>
      </c>
      <c r="G117" s="12" t="s">
        <v>6005</v>
      </c>
      <c r="H117" s="12" t="s">
        <v>6356</v>
      </c>
    </row>
    <row r="118" spans="1:8" s="6" customFormat="1">
      <c r="A118" s="7" t="s">
        <v>6436</v>
      </c>
      <c r="B118" s="13" t="s">
        <v>6437</v>
      </c>
      <c r="C118" s="11" t="s">
        <v>2931</v>
      </c>
      <c r="D118" s="12">
        <v>3</v>
      </c>
      <c r="E118" s="22">
        <v>0</v>
      </c>
      <c r="F118" s="12" t="s">
        <v>6373</v>
      </c>
      <c r="G118" s="12" t="s">
        <v>6438</v>
      </c>
      <c r="H118" s="12" t="s">
        <v>6356</v>
      </c>
    </row>
    <row r="119" spans="1:8" s="6" customFormat="1">
      <c r="A119" s="9">
        <v>623337</v>
      </c>
      <c r="B119" s="8" t="s">
        <v>6439</v>
      </c>
      <c r="C119" s="11" t="s">
        <v>6440</v>
      </c>
      <c r="D119" s="12">
        <v>1</v>
      </c>
      <c r="E119" s="22">
        <v>0</v>
      </c>
      <c r="F119" s="12" t="s">
        <v>6355</v>
      </c>
      <c r="G119" s="12" t="s">
        <v>5997</v>
      </c>
      <c r="H119" s="12" t="s">
        <v>6356</v>
      </c>
    </row>
    <row r="120" spans="1:8" s="6" customFormat="1">
      <c r="A120" s="7" t="s">
        <v>4829</v>
      </c>
      <c r="B120" s="8" t="s">
        <v>6441</v>
      </c>
      <c r="C120" s="11" t="s">
        <v>4831</v>
      </c>
      <c r="D120" s="12">
        <v>1</v>
      </c>
      <c r="E120" s="100">
        <v>1</v>
      </c>
      <c r="F120" s="100" t="s">
        <v>6355</v>
      </c>
      <c r="G120" s="100" t="s">
        <v>5997</v>
      </c>
      <c r="H120" s="22" t="s">
        <v>6356</v>
      </c>
    </row>
    <row r="121" spans="1:8" s="6" customFormat="1">
      <c r="A121" s="7" t="s">
        <v>6436</v>
      </c>
      <c r="B121" s="8">
        <v>10487</v>
      </c>
      <c r="C121" s="11" t="s">
        <v>6157</v>
      </c>
      <c r="D121" s="12">
        <v>1</v>
      </c>
      <c r="E121" s="22">
        <v>0</v>
      </c>
      <c r="F121" s="12" t="s">
        <v>6462</v>
      </c>
      <c r="G121" s="12" t="s">
        <v>5905</v>
      </c>
      <c r="H121" s="22" t="s">
        <v>6356</v>
      </c>
    </row>
    <row r="122" spans="1:8" s="6" customFormat="1">
      <c r="A122" s="7" t="s">
        <v>6460</v>
      </c>
      <c r="B122" s="13" t="s">
        <v>6461</v>
      </c>
      <c r="C122" s="11" t="s">
        <v>4034</v>
      </c>
      <c r="D122" s="12">
        <v>2</v>
      </c>
      <c r="E122" s="22">
        <v>0</v>
      </c>
      <c r="F122" s="12" t="s">
        <v>6462</v>
      </c>
      <c r="G122" s="12" t="s">
        <v>5905</v>
      </c>
      <c r="H122" s="12" t="s">
        <v>6356</v>
      </c>
    </row>
    <row r="123" spans="1:8" s="6" customFormat="1">
      <c r="A123" s="9">
        <v>33700002</v>
      </c>
      <c r="B123" s="8" t="s">
        <v>6463</v>
      </c>
      <c r="C123" s="11" t="s">
        <v>6464</v>
      </c>
      <c r="D123" s="12">
        <v>2</v>
      </c>
      <c r="E123" s="22">
        <v>0</v>
      </c>
      <c r="F123" s="12" t="s">
        <v>6373</v>
      </c>
      <c r="G123" s="12" t="s">
        <v>5929</v>
      </c>
      <c r="H123" s="12" t="s">
        <v>6356</v>
      </c>
    </row>
    <row r="124" spans="1:8" s="6" customFormat="1">
      <c r="A124" s="7" t="s">
        <v>6474</v>
      </c>
      <c r="B124" s="8" t="s">
        <v>6475</v>
      </c>
      <c r="C124" s="11" t="s">
        <v>207</v>
      </c>
      <c r="D124" s="12">
        <v>2</v>
      </c>
      <c r="E124" s="22">
        <v>0</v>
      </c>
      <c r="F124" s="12" t="s">
        <v>6373</v>
      </c>
      <c r="G124" s="12" t="s">
        <v>5905</v>
      </c>
      <c r="H124" s="12" t="s">
        <v>6356</v>
      </c>
    </row>
    <row r="125" spans="1:8" s="6" customFormat="1">
      <c r="A125" s="7" t="s">
        <v>6503</v>
      </c>
      <c r="B125" s="8">
        <v>9666</v>
      </c>
      <c r="C125" s="11" t="s">
        <v>6504</v>
      </c>
      <c r="D125" s="12">
        <v>1</v>
      </c>
      <c r="E125" s="22">
        <v>0</v>
      </c>
      <c r="F125" s="12" t="s">
        <v>6320</v>
      </c>
      <c r="G125" s="12" t="s">
        <v>5997</v>
      </c>
      <c r="H125" s="12" t="s">
        <v>6356</v>
      </c>
    </row>
    <row r="126" spans="1:8" s="6" customFormat="1">
      <c r="A126" s="7" t="s">
        <v>6512</v>
      </c>
      <c r="B126" s="8" t="s">
        <v>6513</v>
      </c>
      <c r="C126" s="11" t="s">
        <v>6514</v>
      </c>
      <c r="D126" s="12">
        <v>1</v>
      </c>
      <c r="E126" s="22">
        <v>0</v>
      </c>
      <c r="F126" s="12" t="s">
        <v>6355</v>
      </c>
      <c r="G126" s="12" t="s">
        <v>5984</v>
      </c>
      <c r="H126" s="12" t="s">
        <v>6356</v>
      </c>
    </row>
    <row r="127" spans="1:8" s="6" customFormat="1">
      <c r="A127" s="7" t="s">
        <v>6518</v>
      </c>
      <c r="B127" s="8">
        <v>10753</v>
      </c>
      <c r="C127" s="11" t="s">
        <v>5232</v>
      </c>
      <c r="D127" s="12">
        <v>1</v>
      </c>
      <c r="E127" s="22">
        <v>0</v>
      </c>
      <c r="F127" s="12" t="s">
        <v>6373</v>
      </c>
      <c r="G127" s="12" t="s">
        <v>5884</v>
      </c>
      <c r="H127" s="12" t="s">
        <v>6356</v>
      </c>
    </row>
    <row r="128" spans="1:8" s="6" customFormat="1">
      <c r="A128" s="7" t="s">
        <v>6519</v>
      </c>
      <c r="B128" s="8" t="s">
        <v>6520</v>
      </c>
      <c r="C128" s="11" t="s">
        <v>6521</v>
      </c>
      <c r="D128" s="12">
        <v>1</v>
      </c>
      <c r="E128" s="22">
        <v>0</v>
      </c>
      <c r="F128" s="12" t="s">
        <v>6373</v>
      </c>
      <c r="G128" s="12" t="s">
        <v>5884</v>
      </c>
      <c r="H128" s="12" t="s">
        <v>6356</v>
      </c>
    </row>
    <row r="129" spans="1:8" s="6" customFormat="1">
      <c r="A129" s="7" t="s">
        <v>6542</v>
      </c>
      <c r="B129" s="8" t="s">
        <v>6543</v>
      </c>
      <c r="C129" s="11" t="s">
        <v>6544</v>
      </c>
      <c r="D129" s="12">
        <v>1</v>
      </c>
      <c r="E129" s="22">
        <v>0</v>
      </c>
      <c r="F129" s="12" t="s">
        <v>6267</v>
      </c>
      <c r="G129" s="12" t="s">
        <v>5997</v>
      </c>
      <c r="H129" s="12" t="s">
        <v>6356</v>
      </c>
    </row>
    <row r="130" spans="1:8" s="6" customFormat="1">
      <c r="A130" s="9">
        <v>892480</v>
      </c>
      <c r="B130" s="13" t="s">
        <v>6545</v>
      </c>
      <c r="C130" s="11" t="s">
        <v>6546</v>
      </c>
      <c r="D130" s="12">
        <v>1</v>
      </c>
      <c r="E130" s="22">
        <v>0</v>
      </c>
      <c r="F130" s="12" t="s">
        <v>6267</v>
      </c>
      <c r="G130" s="12" t="s">
        <v>5997</v>
      </c>
      <c r="H130" s="12" t="s">
        <v>6356</v>
      </c>
    </row>
    <row r="131" spans="1:8" s="6" customFormat="1">
      <c r="A131" s="7" t="s">
        <v>6547</v>
      </c>
      <c r="B131" s="8">
        <v>305303</v>
      </c>
      <c r="C131" s="11" t="s">
        <v>6548</v>
      </c>
      <c r="D131" s="12">
        <v>1</v>
      </c>
      <c r="E131" s="22">
        <v>0</v>
      </c>
      <c r="F131" s="12" t="s">
        <v>6267</v>
      </c>
      <c r="G131" s="12" t="s">
        <v>5997</v>
      </c>
      <c r="H131" s="12" t="s">
        <v>6356</v>
      </c>
    </row>
    <row r="132" spans="1:8" s="6" customFormat="1">
      <c r="A132" s="7" t="s">
        <v>6549</v>
      </c>
      <c r="B132" s="8" t="s">
        <v>6550</v>
      </c>
      <c r="C132" s="11" t="s">
        <v>6551</v>
      </c>
      <c r="D132" s="12">
        <v>1</v>
      </c>
      <c r="E132" s="22">
        <v>0</v>
      </c>
      <c r="F132" s="12" t="s">
        <v>6267</v>
      </c>
      <c r="G132" s="12" t="s">
        <v>5997</v>
      </c>
      <c r="H132" s="12" t="s">
        <v>6356</v>
      </c>
    </row>
    <row r="133" spans="1:8" s="6" customFormat="1">
      <c r="A133" s="9">
        <v>569670</v>
      </c>
      <c r="B133" s="8" t="s">
        <v>6574</v>
      </c>
      <c r="C133" s="11" t="s">
        <v>6220</v>
      </c>
      <c r="D133" s="12">
        <v>1</v>
      </c>
      <c r="E133" s="22">
        <v>0</v>
      </c>
      <c r="F133" s="12" t="s">
        <v>6267</v>
      </c>
      <c r="G133" s="12" t="s">
        <v>6005</v>
      </c>
      <c r="H133" s="12" t="s">
        <v>6356</v>
      </c>
    </row>
  </sheetData>
  <autoFilter ref="A1:M10643" xr:uid="{19E30AD7-03CB-42C2-B85E-6C2312EF4173}"/>
  <conditionalFormatting sqref="D1:D108 D134:D1048576">
    <cfRule type="containsText" dxfId="62" priority="32" operator="containsText" text="RO">
      <formula>NOT(ISERROR(SEARCH("RO",D1)))</formula>
    </cfRule>
  </conditionalFormatting>
  <conditionalFormatting sqref="D109:D133">
    <cfRule type="containsText" dxfId="61" priority="1" operator="containsText" text="RO">
      <formula>NOT(ISERROR(SEARCH("RO",D109)))</formula>
    </cfRule>
  </conditionalFormatting>
  <conditionalFormatting sqref="E1:E108 E134:E1048576">
    <cfRule type="containsText" dxfId="60" priority="23" operator="containsText" text="4">
      <formula>NOT(ISERROR(SEARCH("4",E1)))</formula>
    </cfRule>
    <cfRule type="containsText" dxfId="59" priority="24" operator="containsText" text="3">
      <formula>NOT(ISERROR(SEARCH("3",E1)))</formula>
    </cfRule>
    <cfRule type="containsText" dxfId="58" priority="25" operator="containsText" text="2">
      <formula>NOT(ISERROR(SEARCH("2",E1)))</formula>
    </cfRule>
    <cfRule type="containsText" dxfId="57" priority="26" operator="containsText" text="1">
      <formula>NOT(ISERROR(SEARCH("1",E1)))</formula>
    </cfRule>
  </conditionalFormatting>
  <conditionalFormatting sqref="E109:E133">
    <cfRule type="containsText" dxfId="56" priority="2" operator="containsText" text="NO ILS">
      <formula>NOT(ISERROR(SEARCH("NO ILS",E109)))</formula>
    </cfRule>
    <cfRule type="containsText" dxfId="55" priority="3" operator="containsText" text="NO SISTEMA">
      <formula>NOT(ISERROR(SEARCH("NO SISTEMA",E109)))</formula>
    </cfRule>
    <cfRule type="containsText" dxfId="54" priority="4" operator="containsText" text="VENDIDO">
      <formula>NOT(ISERROR(SEARCH("VENDIDO",E109)))</formula>
    </cfRule>
    <cfRule type="containsText" dxfId="53" priority="5" operator="containsText" text="CAMBIO">
      <formula>NOT(ISERROR(SEARCH("CAMBIO",E109)))</formula>
    </cfRule>
  </conditionalFormatting>
  <conditionalFormatting sqref="F1:F108 F134:F1048576">
    <cfRule type="containsText" dxfId="52" priority="33" operator="containsText" text="NO SISTEMA">
      <formula>NOT(ISERROR(SEARCH("NO SISTEMA",F1)))</formula>
    </cfRule>
    <cfRule type="containsText" dxfId="51" priority="34" operator="containsText" text="VENDIDO">
      <formula>NOT(ISERROR(SEARCH("VENDIDO",F1)))</formula>
    </cfRule>
    <cfRule type="containsText" dxfId="50" priority="35" operator="containsText" text="CAMBIO">
      <formula>NOT(ISERROR(SEARCH("CAMBIO",F1)))</formula>
    </cfRule>
  </conditionalFormatting>
  <conditionalFormatting sqref="F120:H120 H121">
    <cfRule type="containsText" dxfId="49" priority="12" operator="containsText" text="NO ILS">
      <formula>NOT(ISERROR(SEARCH("NO ILS",F120)))</formula>
    </cfRule>
    <cfRule type="containsText" dxfId="48" priority="13" operator="containsText" text="NO SISTEMA">
      <formula>NOT(ISERROR(SEARCH("NO SISTEMA",F120)))</formula>
    </cfRule>
    <cfRule type="containsText" dxfId="47" priority="14" operator="containsText" text="VENDIDO">
      <formula>NOT(ISERROR(SEARCH("VENDIDO",F120)))</formula>
    </cfRule>
    <cfRule type="containsText" dxfId="46" priority="15" operator="containsText" text="CAMBIO">
      <formula>NOT(ISERROR(SEARCH("CAMBIO",F120)))</formula>
    </cfRule>
  </conditionalFormatting>
  <conditionalFormatting sqref="G1">
    <cfRule type="containsText" dxfId="45" priority="36" operator="containsText" text="NO SISTEMA">
      <formula>NOT(ISERROR(SEARCH("NO SISTEMA",G1)))</formula>
    </cfRule>
    <cfRule type="containsText" dxfId="44" priority="37" operator="containsText" text="VENDIDO">
      <formula>NOT(ISERROR(SEARCH("VENDIDO",G1)))</formula>
    </cfRule>
    <cfRule type="containsText" dxfId="43" priority="38" operator="containsText" text="CAMBIO">
      <formula>NOT(ISERROR(SEARCH("CAMBIO",G1)))</formula>
    </cfRule>
  </conditionalFormatting>
  <conditionalFormatting sqref="G1:G108 G134:G1048576">
    <cfRule type="containsText" dxfId="42" priority="30" operator="containsText" text="RO">
      <formula>NOT(ISERROR(SEARCH("RO",G1)))</formula>
    </cfRule>
    <cfRule type="containsText" dxfId="41" priority="31" operator="containsText" text="TERRA">
      <formula>NOT(ISERROR(SEARCH("TERRA",G1)))</formula>
    </cfRule>
  </conditionalFormatting>
  <conditionalFormatting sqref="H109:H124">
    <cfRule type="containsText" dxfId="40" priority="16" operator="containsText" text="RO">
      <formula>NOT(ISERROR(SEARCH("RO",H109)))</formula>
    </cfRule>
  </conditionalFormatting>
  <conditionalFormatting sqref="H109:H133">
    <cfRule type="containsText" dxfId="39" priority="18" operator="containsText" text="TERRA">
      <formula>NOT(ISERROR(SEARCH("TERRA",H109)))</formula>
    </cfRule>
  </conditionalFormatting>
  <conditionalFormatting sqref="H125:H133">
    <cfRule type="containsText" dxfId="38" priority="11" operator="containsText" text="RO">
      <formula>NOT(ISERROR(SEARCH("RO",H125)))</formula>
    </cfRule>
  </conditionalFormatting>
  <pageMargins left="0.25" right="0.25" top="0.75" bottom="0.75" header="0.3" footer="0.3"/>
  <pageSetup scale="9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B032-0D8E-4620-9A63-3A7C0F0E41A6}">
  <sheetPr>
    <tabColor rgb="FFFFC000"/>
  </sheetPr>
  <dimension ref="A1:H107"/>
  <sheetViews>
    <sheetView tabSelected="1" workbookViewId="0">
      <pane ySplit="3" topLeftCell="A4" activePane="bottomLeft" state="frozen"/>
      <selection activeCell="M1001" sqref="M1001"/>
      <selection pane="bottomLeft" activeCell="I4" sqref="I4"/>
    </sheetView>
  </sheetViews>
  <sheetFormatPr defaultColWidth="9.109375" defaultRowHeight="14.4"/>
  <cols>
    <col min="1" max="1" width="26.88671875" style="6" customWidth="1"/>
    <col min="2" max="2" width="28.109375" style="6" customWidth="1"/>
    <col min="3" max="3" width="31.88671875" style="6" customWidth="1"/>
    <col min="4" max="4" width="13.44140625" style="24" customWidth="1"/>
    <col min="5" max="5" width="7.6640625" style="24" customWidth="1"/>
    <col min="6" max="6" width="8" style="6" customWidth="1"/>
    <col min="7" max="7" width="9.44140625" style="6" customWidth="1"/>
    <col min="8" max="8" width="16.33203125" style="224" customWidth="1"/>
    <col min="9" max="9" width="12" style="6" customWidth="1"/>
    <col min="10" max="16384" width="9.109375" style="6"/>
  </cols>
  <sheetData>
    <row r="1" spans="1:8">
      <c r="B1" s="750" t="s">
        <v>7345</v>
      </c>
      <c r="C1" s="750"/>
    </row>
    <row r="2" spans="1:8">
      <c r="B2" s="751"/>
      <c r="C2" s="751"/>
    </row>
    <row r="3" spans="1:8" s="54" customFormat="1" ht="18" customHeight="1">
      <c r="A3" s="36" t="s">
        <v>5804</v>
      </c>
      <c r="B3" s="128" t="s">
        <v>3740</v>
      </c>
      <c r="C3" s="36" t="s">
        <v>3741</v>
      </c>
      <c r="D3" s="36" t="s">
        <v>3742</v>
      </c>
      <c r="E3" s="37" t="s">
        <v>5805</v>
      </c>
      <c r="F3" s="36" t="s">
        <v>3746</v>
      </c>
      <c r="G3" s="125" t="s">
        <v>6643</v>
      </c>
      <c r="H3" s="229" t="s">
        <v>7346</v>
      </c>
    </row>
    <row r="4" spans="1:8">
      <c r="A4" s="3" t="s">
        <v>7347</v>
      </c>
      <c r="B4" s="3">
        <v>1388</v>
      </c>
      <c r="C4" s="3" t="s">
        <v>207</v>
      </c>
      <c r="D4" s="22">
        <v>1</v>
      </c>
      <c r="E4" s="22">
        <v>0</v>
      </c>
      <c r="F4" s="3"/>
      <c r="G4" s="3" t="s">
        <v>7348</v>
      </c>
      <c r="H4" s="224">
        <v>80226</v>
      </c>
    </row>
    <row r="5" spans="1:8">
      <c r="A5" s="3" t="s">
        <v>7349</v>
      </c>
      <c r="B5" s="3" t="s">
        <v>7350</v>
      </c>
      <c r="C5" s="3" t="s">
        <v>5042</v>
      </c>
      <c r="D5" s="22">
        <v>1</v>
      </c>
      <c r="E5" s="22">
        <v>0</v>
      </c>
      <c r="F5" s="3"/>
      <c r="G5" s="3" t="s">
        <v>3807</v>
      </c>
      <c r="H5" s="224">
        <v>80434</v>
      </c>
    </row>
    <row r="6" spans="1:8">
      <c r="A6" s="3" t="s">
        <v>7027</v>
      </c>
      <c r="B6" s="3">
        <v>118207</v>
      </c>
      <c r="C6" s="3" t="s">
        <v>6675</v>
      </c>
      <c r="D6" s="22">
        <v>1</v>
      </c>
      <c r="E6" s="22">
        <v>0</v>
      </c>
      <c r="F6" s="3"/>
      <c r="G6" s="3" t="s">
        <v>3807</v>
      </c>
      <c r="H6" s="224">
        <v>76944</v>
      </c>
    </row>
    <row r="7" spans="1:8">
      <c r="A7" s="3" t="s">
        <v>4552</v>
      </c>
      <c r="B7" s="3">
        <v>757</v>
      </c>
      <c r="C7" s="3" t="s">
        <v>7351</v>
      </c>
      <c r="D7" s="22">
        <v>1</v>
      </c>
      <c r="E7" s="22">
        <v>1</v>
      </c>
      <c r="F7" s="3"/>
      <c r="G7" s="3" t="s">
        <v>3807</v>
      </c>
      <c r="H7" s="224">
        <v>76734</v>
      </c>
    </row>
    <row r="8" spans="1:8">
      <c r="A8" s="3" t="s">
        <v>5027</v>
      </c>
      <c r="B8" s="3">
        <v>259128</v>
      </c>
      <c r="C8" s="3" t="s">
        <v>3817</v>
      </c>
      <c r="D8" s="22">
        <v>1</v>
      </c>
      <c r="E8" s="22">
        <v>2</v>
      </c>
      <c r="F8" s="3"/>
      <c r="G8" s="3" t="s">
        <v>3807</v>
      </c>
      <c r="H8" s="224" t="s">
        <v>5936</v>
      </c>
    </row>
    <row r="9" spans="1:8">
      <c r="A9" s="3" t="s">
        <v>3975</v>
      </c>
      <c r="B9" s="3" t="s">
        <v>7352</v>
      </c>
      <c r="C9" s="3" t="s">
        <v>4622</v>
      </c>
      <c r="D9" s="22">
        <v>2</v>
      </c>
      <c r="E9" s="22">
        <v>0</v>
      </c>
      <c r="F9" s="101"/>
      <c r="G9" s="3" t="s">
        <v>5829</v>
      </c>
      <c r="H9" s="224" t="s">
        <v>7353</v>
      </c>
    </row>
    <row r="10" spans="1:8">
      <c r="A10" s="3" t="s">
        <v>7354</v>
      </c>
      <c r="B10" s="3" t="s">
        <v>7355</v>
      </c>
      <c r="C10" s="3" t="s">
        <v>418</v>
      </c>
      <c r="D10" s="22">
        <v>1</v>
      </c>
      <c r="E10" s="22">
        <v>0</v>
      </c>
      <c r="F10" s="3"/>
      <c r="G10" s="3" t="s">
        <v>3807</v>
      </c>
      <c r="H10" s="224" t="s">
        <v>5936</v>
      </c>
    </row>
    <row r="11" spans="1:8">
      <c r="A11" s="340" t="s">
        <v>6286</v>
      </c>
      <c r="B11" s="3" t="s">
        <v>7356</v>
      </c>
      <c r="C11" s="3" t="s">
        <v>418</v>
      </c>
      <c r="D11" s="22">
        <v>2</v>
      </c>
      <c r="E11" s="22">
        <v>0</v>
      </c>
      <c r="F11" s="3"/>
      <c r="G11" s="3" t="s">
        <v>3807</v>
      </c>
      <c r="H11" s="224">
        <v>78895</v>
      </c>
    </row>
    <row r="12" spans="1:8">
      <c r="A12" s="3" t="s">
        <v>7357</v>
      </c>
      <c r="B12" s="3" t="s">
        <v>7358</v>
      </c>
      <c r="C12" s="3" t="s">
        <v>7359</v>
      </c>
      <c r="D12" s="22">
        <v>1</v>
      </c>
      <c r="E12" s="22">
        <v>0</v>
      </c>
      <c r="F12" s="3"/>
      <c r="G12" s="3" t="s">
        <v>3759</v>
      </c>
      <c r="H12" s="224">
        <v>80332</v>
      </c>
    </row>
    <row r="13" spans="1:8" ht="24.6">
      <c r="A13" s="3" t="s">
        <v>7360</v>
      </c>
      <c r="B13" s="3" t="s">
        <v>7361</v>
      </c>
      <c r="C13" s="3" t="s">
        <v>7362</v>
      </c>
      <c r="D13" s="22">
        <v>1</v>
      </c>
      <c r="E13" s="22">
        <v>0</v>
      </c>
      <c r="F13" s="3"/>
      <c r="G13" s="132" t="s">
        <v>3759</v>
      </c>
      <c r="H13" s="228" t="s">
        <v>7363</v>
      </c>
    </row>
    <row r="14" spans="1:8">
      <c r="A14" s="3" t="s">
        <v>6036</v>
      </c>
      <c r="B14" s="3" t="s">
        <v>7364</v>
      </c>
      <c r="C14" s="3" t="s">
        <v>5042</v>
      </c>
      <c r="D14" s="22">
        <v>1</v>
      </c>
      <c r="E14" s="22">
        <v>0</v>
      </c>
      <c r="F14" s="3"/>
      <c r="G14" s="3" t="s">
        <v>3759</v>
      </c>
      <c r="H14" s="224" t="s">
        <v>7365</v>
      </c>
    </row>
    <row r="15" spans="1:8">
      <c r="A15" s="3" t="s">
        <v>7366</v>
      </c>
      <c r="B15" s="3" t="s">
        <v>7367</v>
      </c>
      <c r="C15" s="3" t="s">
        <v>7368</v>
      </c>
      <c r="D15" s="22">
        <v>2</v>
      </c>
      <c r="E15" s="22">
        <v>0</v>
      </c>
      <c r="F15" s="3"/>
      <c r="G15" s="3" t="s">
        <v>3759</v>
      </c>
      <c r="H15" s="224" t="s">
        <v>7369</v>
      </c>
    </row>
    <row r="16" spans="1:8">
      <c r="A16" s="3" t="s">
        <v>7370</v>
      </c>
      <c r="B16" s="3" t="s">
        <v>7371</v>
      </c>
      <c r="C16" s="3" t="s">
        <v>7372</v>
      </c>
      <c r="D16" s="22">
        <v>1</v>
      </c>
      <c r="E16" s="22">
        <v>1</v>
      </c>
      <c r="F16" s="3"/>
      <c r="G16" s="3" t="s">
        <v>3759</v>
      </c>
      <c r="H16" s="224">
        <v>76589</v>
      </c>
    </row>
    <row r="17" spans="1:8">
      <c r="A17" s="3" t="s">
        <v>7373</v>
      </c>
      <c r="B17" s="3">
        <v>217</v>
      </c>
      <c r="C17" s="3" t="s">
        <v>690</v>
      </c>
      <c r="D17" s="22">
        <v>1</v>
      </c>
      <c r="E17" s="22">
        <v>0</v>
      </c>
      <c r="F17" s="3"/>
      <c r="G17" s="3" t="s">
        <v>3807</v>
      </c>
      <c r="H17" s="224" t="s">
        <v>6093</v>
      </c>
    </row>
    <row r="18" spans="1:8">
      <c r="A18" s="127" t="s">
        <v>7374</v>
      </c>
      <c r="B18" s="3" t="s">
        <v>7375</v>
      </c>
      <c r="C18" s="3" t="s">
        <v>7376</v>
      </c>
      <c r="D18" s="22">
        <v>2</v>
      </c>
      <c r="E18" s="22">
        <v>0</v>
      </c>
      <c r="F18" s="3"/>
      <c r="G18" s="3" t="s">
        <v>5829</v>
      </c>
      <c r="H18" s="224">
        <v>79874</v>
      </c>
    </row>
    <row r="19" spans="1:8">
      <c r="A19" s="3" t="s">
        <v>4575</v>
      </c>
      <c r="B19" s="3">
        <v>2356</v>
      </c>
      <c r="C19" s="3" t="s">
        <v>4576</v>
      </c>
      <c r="D19" s="22">
        <v>1</v>
      </c>
      <c r="E19" s="22">
        <v>2</v>
      </c>
      <c r="F19" s="3"/>
      <c r="G19" s="3" t="s">
        <v>3759</v>
      </c>
      <c r="H19" s="224">
        <v>80245</v>
      </c>
    </row>
    <row r="20" spans="1:8">
      <c r="A20" s="3" t="s">
        <v>4858</v>
      </c>
      <c r="B20" s="3" t="s">
        <v>7377</v>
      </c>
      <c r="C20" s="3" t="s">
        <v>4860</v>
      </c>
      <c r="D20" s="22">
        <v>1</v>
      </c>
      <c r="E20" s="22">
        <v>1</v>
      </c>
      <c r="F20" s="3"/>
      <c r="G20" s="3" t="s">
        <v>3807</v>
      </c>
      <c r="H20" s="224" t="s">
        <v>5936</v>
      </c>
    </row>
    <row r="21" spans="1:8">
      <c r="A21" s="3" t="s">
        <v>4586</v>
      </c>
      <c r="B21" s="3">
        <v>1091</v>
      </c>
      <c r="C21" s="3" t="s">
        <v>7378</v>
      </c>
      <c r="D21" s="22">
        <v>1</v>
      </c>
      <c r="E21" s="22">
        <v>0</v>
      </c>
      <c r="F21" s="3"/>
      <c r="G21" s="3" t="s">
        <v>3759</v>
      </c>
      <c r="H21" s="224">
        <v>76992</v>
      </c>
    </row>
    <row r="22" spans="1:8">
      <c r="A22" s="3">
        <v>3199680</v>
      </c>
      <c r="B22" s="3" t="s">
        <v>7379</v>
      </c>
      <c r="C22" s="3" t="s">
        <v>7380</v>
      </c>
      <c r="D22" s="22">
        <v>1</v>
      </c>
      <c r="E22" s="22">
        <v>0</v>
      </c>
      <c r="F22" s="3"/>
      <c r="G22" s="3" t="s">
        <v>3759</v>
      </c>
      <c r="H22" s="224" t="s">
        <v>5936</v>
      </c>
    </row>
    <row r="23" spans="1:8">
      <c r="A23" s="3" t="s">
        <v>3448</v>
      </c>
      <c r="B23" s="3">
        <v>6853</v>
      </c>
      <c r="C23" s="3" t="s">
        <v>4019</v>
      </c>
      <c r="D23" s="22">
        <v>1</v>
      </c>
      <c r="E23" s="22" t="s">
        <v>7381</v>
      </c>
      <c r="F23" s="3"/>
      <c r="G23" s="3" t="s">
        <v>3807</v>
      </c>
      <c r="H23" s="224" t="s">
        <v>7382</v>
      </c>
    </row>
    <row r="24" spans="1:8">
      <c r="A24" s="3" t="s">
        <v>6313</v>
      </c>
      <c r="B24" s="3" t="s">
        <v>7383</v>
      </c>
      <c r="C24" s="3" t="s">
        <v>418</v>
      </c>
      <c r="D24" s="22">
        <v>1</v>
      </c>
      <c r="E24" s="22">
        <v>0</v>
      </c>
      <c r="F24" s="3"/>
      <c r="G24" s="3" t="s">
        <v>3807</v>
      </c>
      <c r="H24" s="224" t="s">
        <v>5936</v>
      </c>
    </row>
    <row r="25" spans="1:8">
      <c r="A25" s="3" t="s">
        <v>4867</v>
      </c>
      <c r="B25" s="3">
        <v>4270</v>
      </c>
      <c r="C25" s="3" t="s">
        <v>207</v>
      </c>
      <c r="D25" s="22">
        <v>1</v>
      </c>
      <c r="E25" s="22">
        <v>0</v>
      </c>
      <c r="F25" s="3"/>
      <c r="G25" s="3" t="s">
        <v>3807</v>
      </c>
      <c r="H25" s="224" t="s">
        <v>5936</v>
      </c>
    </row>
    <row r="26" spans="1:8">
      <c r="A26" s="3" t="s">
        <v>7384</v>
      </c>
      <c r="B26" s="3" t="s">
        <v>7385</v>
      </c>
      <c r="C26" s="3" t="s">
        <v>5842</v>
      </c>
      <c r="D26" s="22">
        <v>1</v>
      </c>
      <c r="E26" s="22">
        <v>0</v>
      </c>
      <c r="F26" s="3"/>
      <c r="G26" s="3" t="s">
        <v>3759</v>
      </c>
      <c r="H26" s="224">
        <v>75225</v>
      </c>
    </row>
    <row r="27" spans="1:8">
      <c r="A27" s="3">
        <v>2841</v>
      </c>
      <c r="B27" s="3">
        <v>726</v>
      </c>
      <c r="C27" s="3" t="s">
        <v>7386</v>
      </c>
      <c r="D27" s="22">
        <v>1</v>
      </c>
      <c r="E27" s="22">
        <v>0</v>
      </c>
      <c r="F27" s="3"/>
      <c r="G27" s="3" t="s">
        <v>3807</v>
      </c>
      <c r="H27" s="230" t="s">
        <v>7387</v>
      </c>
    </row>
    <row r="28" spans="1:8">
      <c r="A28" s="3" t="s">
        <v>4813</v>
      </c>
      <c r="B28" s="3">
        <v>8038</v>
      </c>
      <c r="C28" s="3" t="s">
        <v>3796</v>
      </c>
      <c r="D28" s="22">
        <v>1</v>
      </c>
      <c r="E28" s="22">
        <v>1</v>
      </c>
      <c r="F28" s="3"/>
      <c r="G28" s="3" t="s">
        <v>3759</v>
      </c>
      <c r="H28" s="224" t="s">
        <v>5936</v>
      </c>
    </row>
    <row r="29" spans="1:8">
      <c r="A29" s="3">
        <v>2730426</v>
      </c>
      <c r="B29" s="3" t="s">
        <v>3748</v>
      </c>
      <c r="C29" s="3" t="s">
        <v>7388</v>
      </c>
      <c r="D29" s="22">
        <v>1</v>
      </c>
      <c r="E29" s="22">
        <v>1</v>
      </c>
      <c r="F29" s="3"/>
      <c r="G29" s="3" t="s">
        <v>3807</v>
      </c>
      <c r="H29" s="224">
        <v>76184</v>
      </c>
    </row>
    <row r="30" spans="1:8">
      <c r="A30" s="3" t="s">
        <v>5219</v>
      </c>
      <c r="B30" s="3">
        <v>529</v>
      </c>
      <c r="C30" s="3" t="s">
        <v>5216</v>
      </c>
      <c r="D30" s="22">
        <v>1</v>
      </c>
      <c r="E30" s="22">
        <v>0</v>
      </c>
      <c r="F30" s="3"/>
      <c r="G30" s="3" t="s">
        <v>3759</v>
      </c>
      <c r="H30" s="224">
        <v>79345</v>
      </c>
    </row>
    <row r="31" spans="1:8">
      <c r="A31" s="3" t="s">
        <v>4296</v>
      </c>
      <c r="B31" s="3" t="s">
        <v>7389</v>
      </c>
      <c r="C31" s="3" t="s">
        <v>418</v>
      </c>
      <c r="D31" s="22">
        <v>1</v>
      </c>
      <c r="E31" s="22">
        <v>1</v>
      </c>
      <c r="F31" s="3"/>
      <c r="G31" s="3" t="s">
        <v>3759</v>
      </c>
      <c r="H31" s="224">
        <v>79596</v>
      </c>
    </row>
    <row r="32" spans="1:8">
      <c r="A32" s="340" t="s">
        <v>6296</v>
      </c>
      <c r="B32" s="3" t="s">
        <v>7390</v>
      </c>
      <c r="C32" s="3" t="s">
        <v>418</v>
      </c>
      <c r="D32" s="22">
        <v>2</v>
      </c>
      <c r="E32" s="22">
        <v>0</v>
      </c>
      <c r="F32" s="3"/>
      <c r="G32" s="3" t="s">
        <v>5829</v>
      </c>
      <c r="H32" s="224">
        <v>77931</v>
      </c>
    </row>
    <row r="33" spans="1:8">
      <c r="A33" s="3" t="s">
        <v>7391</v>
      </c>
      <c r="B33" s="3">
        <v>2920</v>
      </c>
      <c r="C33" s="3" t="s">
        <v>7392</v>
      </c>
      <c r="D33" s="22">
        <v>1</v>
      </c>
      <c r="E33" s="22">
        <v>0</v>
      </c>
      <c r="F33" s="3"/>
      <c r="G33" s="3" t="s">
        <v>3759</v>
      </c>
      <c r="H33" s="224">
        <v>80243</v>
      </c>
    </row>
    <row r="34" spans="1:8">
      <c r="A34" s="127" t="s">
        <v>7393</v>
      </c>
      <c r="B34" s="3" t="s">
        <v>3748</v>
      </c>
      <c r="C34" s="3" t="s">
        <v>7394</v>
      </c>
      <c r="D34" s="22">
        <v>1</v>
      </c>
      <c r="E34" s="22">
        <v>0</v>
      </c>
      <c r="F34" s="3"/>
      <c r="G34" s="3" t="s">
        <v>3807</v>
      </c>
      <c r="H34" s="224" t="s">
        <v>5936</v>
      </c>
    </row>
    <row r="35" spans="1:8">
      <c r="A35" s="3">
        <v>4205401</v>
      </c>
      <c r="B35" s="3" t="s">
        <v>7395</v>
      </c>
      <c r="C35" s="3" t="s">
        <v>3817</v>
      </c>
      <c r="D35" s="22">
        <v>1</v>
      </c>
      <c r="E35" s="22">
        <v>0</v>
      </c>
      <c r="F35" s="3"/>
      <c r="G35" s="3" t="s">
        <v>3759</v>
      </c>
      <c r="H35" s="224">
        <v>80771</v>
      </c>
    </row>
    <row r="36" spans="1:8">
      <c r="A36" s="3" t="s">
        <v>4930</v>
      </c>
      <c r="B36" s="3" t="s">
        <v>7396</v>
      </c>
      <c r="C36" s="3" t="s">
        <v>4963</v>
      </c>
      <c r="D36" s="22">
        <v>2</v>
      </c>
      <c r="E36" s="22">
        <v>1</v>
      </c>
      <c r="F36" s="3"/>
      <c r="G36" s="3" t="s">
        <v>3807</v>
      </c>
      <c r="H36" s="224" t="s">
        <v>7397</v>
      </c>
    </row>
    <row r="37" spans="1:8">
      <c r="A37" s="3" t="s">
        <v>7398</v>
      </c>
      <c r="B37" s="3">
        <v>95052514</v>
      </c>
      <c r="C37" s="3" t="s">
        <v>3862</v>
      </c>
      <c r="D37" s="22">
        <v>1</v>
      </c>
      <c r="E37" s="22">
        <v>0</v>
      </c>
      <c r="F37" s="158" t="s">
        <v>6356</v>
      </c>
      <c r="G37" s="3"/>
    </row>
    <row r="38" spans="1:8">
      <c r="A38" s="3" t="s">
        <v>5063</v>
      </c>
      <c r="B38" s="3">
        <v>1744</v>
      </c>
      <c r="C38" s="3" t="s">
        <v>7399</v>
      </c>
      <c r="D38" s="22">
        <v>1</v>
      </c>
      <c r="E38" s="22">
        <v>0</v>
      </c>
      <c r="F38" s="3"/>
      <c r="G38" s="3" t="s">
        <v>3759</v>
      </c>
      <c r="H38" s="224">
        <v>77078</v>
      </c>
    </row>
    <row r="39" spans="1:8">
      <c r="A39" s="3">
        <v>33700002</v>
      </c>
      <c r="B39" s="3" t="s">
        <v>7400</v>
      </c>
      <c r="C39" s="3" t="s">
        <v>4629</v>
      </c>
      <c r="D39" s="22">
        <v>1</v>
      </c>
      <c r="E39" s="22">
        <v>0</v>
      </c>
      <c r="F39" s="3"/>
      <c r="G39" s="3" t="s">
        <v>3759</v>
      </c>
      <c r="H39" s="224" t="s">
        <v>5936</v>
      </c>
    </row>
    <row r="40" spans="1:8">
      <c r="A40" s="3" t="s">
        <v>7401</v>
      </c>
      <c r="B40" s="3" t="s">
        <v>3748</v>
      </c>
      <c r="C40" s="3" t="s">
        <v>548</v>
      </c>
      <c r="D40" s="22">
        <v>1</v>
      </c>
      <c r="E40" s="22">
        <v>0</v>
      </c>
      <c r="F40" s="3"/>
      <c r="G40" s="3" t="s">
        <v>3807</v>
      </c>
      <c r="H40" s="224" t="s">
        <v>5936</v>
      </c>
    </row>
    <row r="41" spans="1:8">
      <c r="A41" s="3" t="s">
        <v>7402</v>
      </c>
      <c r="B41" s="3" t="s">
        <v>7403</v>
      </c>
      <c r="C41" s="3" t="s">
        <v>7404</v>
      </c>
      <c r="D41" s="22">
        <v>1</v>
      </c>
      <c r="E41" s="22">
        <v>0</v>
      </c>
      <c r="F41" s="3"/>
      <c r="G41" s="3" t="s">
        <v>3807</v>
      </c>
      <c r="H41" s="224" t="s">
        <v>5936</v>
      </c>
    </row>
    <row r="42" spans="1:8">
      <c r="A42" s="3" t="s">
        <v>7405</v>
      </c>
      <c r="B42" s="3" t="s">
        <v>3748</v>
      </c>
      <c r="C42" s="3" t="s">
        <v>690</v>
      </c>
      <c r="D42" s="22">
        <v>1</v>
      </c>
      <c r="E42" s="22">
        <v>0</v>
      </c>
      <c r="F42" s="3"/>
      <c r="G42" s="3" t="s">
        <v>7406</v>
      </c>
      <c r="H42" s="224" t="s">
        <v>7407</v>
      </c>
    </row>
    <row r="43" spans="1:8">
      <c r="A43" s="340" t="s">
        <v>4463</v>
      </c>
      <c r="B43" s="3">
        <v>5203</v>
      </c>
      <c r="C43" s="3" t="s">
        <v>4464</v>
      </c>
      <c r="D43" s="22">
        <v>1</v>
      </c>
      <c r="E43" s="22">
        <v>1</v>
      </c>
      <c r="F43" s="3"/>
      <c r="G43" s="3" t="s">
        <v>3759</v>
      </c>
      <c r="H43" s="224">
        <v>78814</v>
      </c>
    </row>
    <row r="44" spans="1:8">
      <c r="A44" s="3" t="s">
        <v>5101</v>
      </c>
      <c r="B44" s="3" t="s">
        <v>7408</v>
      </c>
      <c r="C44" s="3" t="s">
        <v>5103</v>
      </c>
      <c r="D44" s="22">
        <v>1</v>
      </c>
      <c r="E44" s="22">
        <v>2</v>
      </c>
      <c r="F44" s="3"/>
      <c r="G44" s="3" t="s">
        <v>3759</v>
      </c>
      <c r="H44" s="224">
        <v>80332</v>
      </c>
    </row>
    <row r="45" spans="1:8">
      <c r="A45" s="3" t="s">
        <v>7409</v>
      </c>
      <c r="B45" s="3" t="s">
        <v>7410</v>
      </c>
      <c r="C45" s="3" t="s">
        <v>6412</v>
      </c>
      <c r="D45" s="22">
        <v>1</v>
      </c>
      <c r="E45" s="22">
        <v>0</v>
      </c>
      <c r="F45" s="3"/>
      <c r="G45" s="3" t="s">
        <v>3759</v>
      </c>
      <c r="H45" s="224">
        <v>80612</v>
      </c>
    </row>
    <row r="46" spans="1:8">
      <c r="A46" s="3" t="s">
        <v>7411</v>
      </c>
      <c r="B46" s="3" t="s">
        <v>7412</v>
      </c>
      <c r="C46" s="3" t="s">
        <v>7413</v>
      </c>
      <c r="D46" s="22">
        <v>1</v>
      </c>
      <c r="E46" s="22">
        <v>0</v>
      </c>
      <c r="F46" s="3"/>
      <c r="G46" s="3" t="s">
        <v>3759</v>
      </c>
      <c r="H46" s="224">
        <v>79796</v>
      </c>
    </row>
    <row r="47" spans="1:8">
      <c r="A47" s="3" t="s">
        <v>7414</v>
      </c>
      <c r="B47" s="3" t="s">
        <v>3748</v>
      </c>
      <c r="C47" s="3" t="s">
        <v>7415</v>
      </c>
      <c r="D47" s="22">
        <v>1</v>
      </c>
      <c r="E47" s="22">
        <v>0</v>
      </c>
      <c r="F47" s="3"/>
      <c r="G47" s="3" t="s">
        <v>3759</v>
      </c>
      <c r="H47" s="224">
        <v>76846</v>
      </c>
    </row>
    <row r="48" spans="1:8">
      <c r="A48" s="3" t="s">
        <v>7416</v>
      </c>
      <c r="B48" s="3">
        <v>5023</v>
      </c>
      <c r="C48" s="3" t="s">
        <v>7417</v>
      </c>
      <c r="D48" s="22">
        <v>1</v>
      </c>
      <c r="E48" s="22">
        <v>0</v>
      </c>
      <c r="F48" s="3"/>
      <c r="G48" s="3" t="s">
        <v>3807</v>
      </c>
      <c r="H48" s="224">
        <v>80245</v>
      </c>
    </row>
    <row r="49" spans="1:8">
      <c r="A49" s="3" t="s">
        <v>3952</v>
      </c>
      <c r="B49" s="3">
        <v>1854</v>
      </c>
      <c r="C49" s="3" t="s">
        <v>640</v>
      </c>
      <c r="D49" s="22">
        <v>1</v>
      </c>
      <c r="E49" s="22">
        <v>0</v>
      </c>
      <c r="F49" s="3"/>
      <c r="G49" s="3" t="s">
        <v>3807</v>
      </c>
      <c r="H49" s="224" t="s">
        <v>5936</v>
      </c>
    </row>
    <row r="50" spans="1:8">
      <c r="A50" s="127" t="s">
        <v>7418</v>
      </c>
      <c r="B50" s="3">
        <v>5663</v>
      </c>
      <c r="C50" s="3" t="s">
        <v>7419</v>
      </c>
      <c r="D50" s="22">
        <v>1</v>
      </c>
      <c r="E50" s="22">
        <v>0</v>
      </c>
      <c r="F50" s="3"/>
      <c r="G50" s="3" t="s">
        <v>3759</v>
      </c>
      <c r="H50" s="224">
        <v>79887</v>
      </c>
    </row>
    <row r="51" spans="1:8">
      <c r="A51" s="3" t="s">
        <v>7420</v>
      </c>
      <c r="B51" s="3" t="s">
        <v>7421</v>
      </c>
      <c r="C51" s="3" t="s">
        <v>207</v>
      </c>
      <c r="D51" s="22">
        <v>1</v>
      </c>
      <c r="E51" s="22">
        <v>0</v>
      </c>
      <c r="F51" s="3"/>
      <c r="G51" s="3" t="s">
        <v>3807</v>
      </c>
      <c r="H51" s="224" t="s">
        <v>5936</v>
      </c>
    </row>
    <row r="52" spans="1:8">
      <c r="A52" s="340" t="s">
        <v>7422</v>
      </c>
      <c r="B52" s="3" t="s">
        <v>7423</v>
      </c>
      <c r="C52" s="3" t="s">
        <v>1352</v>
      </c>
      <c r="D52" s="22">
        <v>1</v>
      </c>
      <c r="E52" s="22">
        <v>0</v>
      </c>
      <c r="F52" s="3"/>
      <c r="G52" s="3" t="s">
        <v>3759</v>
      </c>
      <c r="H52" s="224">
        <v>80446</v>
      </c>
    </row>
    <row r="53" spans="1:8">
      <c r="A53" s="3" t="s">
        <v>7424</v>
      </c>
      <c r="B53" s="3">
        <v>209068</v>
      </c>
      <c r="C53" s="3" t="s">
        <v>7425</v>
      </c>
      <c r="D53" s="22">
        <v>1</v>
      </c>
      <c r="E53" s="22">
        <v>0</v>
      </c>
      <c r="F53" s="3"/>
      <c r="G53" s="3" t="s">
        <v>3807</v>
      </c>
      <c r="H53" s="224">
        <v>76785</v>
      </c>
    </row>
    <row r="54" spans="1:8">
      <c r="A54" s="3" t="s">
        <v>7426</v>
      </c>
      <c r="B54" s="3" t="s">
        <v>3748</v>
      </c>
      <c r="C54" s="3" t="s">
        <v>474</v>
      </c>
      <c r="D54" s="22">
        <v>1</v>
      </c>
      <c r="E54" s="22">
        <v>0</v>
      </c>
      <c r="F54" s="3"/>
      <c r="G54" s="3" t="s">
        <v>3807</v>
      </c>
      <c r="H54" s="224" t="s">
        <v>5936</v>
      </c>
    </row>
    <row r="55" spans="1:8">
      <c r="A55" s="3" t="s">
        <v>4038</v>
      </c>
      <c r="B55" s="3">
        <v>2674</v>
      </c>
      <c r="C55" s="3" t="s">
        <v>7427</v>
      </c>
      <c r="D55" s="22">
        <v>1</v>
      </c>
      <c r="E55" s="22">
        <v>0</v>
      </c>
      <c r="F55" s="3"/>
      <c r="G55" s="3" t="s">
        <v>3759</v>
      </c>
      <c r="H55" s="224" t="s">
        <v>7428</v>
      </c>
    </row>
    <row r="56" spans="1:8">
      <c r="A56" s="3" t="s">
        <v>5509</v>
      </c>
      <c r="B56" s="3">
        <v>8118</v>
      </c>
      <c r="C56" s="3" t="s">
        <v>5511</v>
      </c>
      <c r="D56" s="22">
        <v>1</v>
      </c>
      <c r="E56" s="22">
        <v>2</v>
      </c>
      <c r="F56" s="3"/>
      <c r="G56" s="3" t="s">
        <v>3759</v>
      </c>
      <c r="H56" s="224" t="s">
        <v>7429</v>
      </c>
    </row>
    <row r="57" spans="1:8">
      <c r="A57" s="3">
        <v>7821344</v>
      </c>
      <c r="B57" s="3">
        <v>182</v>
      </c>
      <c r="C57" s="3" t="s">
        <v>7430</v>
      </c>
      <c r="D57" s="22">
        <v>1</v>
      </c>
      <c r="E57" s="22">
        <v>0</v>
      </c>
      <c r="F57" s="3"/>
      <c r="G57" s="3" t="s">
        <v>3807</v>
      </c>
      <c r="H57" s="224" t="s">
        <v>5936</v>
      </c>
    </row>
    <row r="58" spans="1:8">
      <c r="A58" s="3" t="s">
        <v>7431</v>
      </c>
      <c r="B58" s="3" t="s">
        <v>3748</v>
      </c>
      <c r="C58" s="3"/>
      <c r="D58" s="22">
        <v>1</v>
      </c>
      <c r="E58" s="22">
        <v>0</v>
      </c>
      <c r="F58" s="101" t="s">
        <v>7432</v>
      </c>
      <c r="G58" s="3" t="s">
        <v>3807</v>
      </c>
      <c r="H58" s="224" t="s">
        <v>5936</v>
      </c>
    </row>
    <row r="59" spans="1:8">
      <c r="A59" s="3" t="s">
        <v>7433</v>
      </c>
      <c r="B59" s="3" t="s">
        <v>3748</v>
      </c>
      <c r="C59" s="3"/>
      <c r="D59" s="22">
        <v>1</v>
      </c>
      <c r="E59" s="22">
        <v>0</v>
      </c>
      <c r="F59" s="3"/>
      <c r="G59" s="3" t="s">
        <v>3807</v>
      </c>
      <c r="H59" s="224" t="s">
        <v>5936</v>
      </c>
    </row>
    <row r="60" spans="1:8">
      <c r="A60" s="3" t="s">
        <v>5117</v>
      </c>
      <c r="B60" s="3" t="s">
        <v>7434</v>
      </c>
      <c r="C60" s="3" t="s">
        <v>7435</v>
      </c>
      <c r="D60" s="22">
        <v>1</v>
      </c>
      <c r="E60" s="22">
        <v>1</v>
      </c>
      <c r="F60" s="3"/>
      <c r="G60" s="3" t="s">
        <v>3807</v>
      </c>
      <c r="H60" s="224" t="s">
        <v>7436</v>
      </c>
    </row>
    <row r="61" spans="1:8">
      <c r="A61" s="127" t="s">
        <v>7437</v>
      </c>
      <c r="B61" s="3">
        <v>501</v>
      </c>
      <c r="C61" s="3" t="s">
        <v>7438</v>
      </c>
      <c r="D61" s="22">
        <v>1</v>
      </c>
      <c r="E61" s="22">
        <v>0</v>
      </c>
      <c r="F61" s="3"/>
      <c r="G61" s="3" t="s">
        <v>3759</v>
      </c>
      <c r="H61" s="224">
        <v>76734</v>
      </c>
    </row>
    <row r="62" spans="1:8">
      <c r="A62" s="3" t="s">
        <v>7439</v>
      </c>
      <c r="B62" s="3" t="s">
        <v>7440</v>
      </c>
      <c r="C62" s="3" t="s">
        <v>4103</v>
      </c>
      <c r="D62" s="22">
        <v>1</v>
      </c>
      <c r="E62" s="22">
        <v>0</v>
      </c>
      <c r="F62" s="3"/>
      <c r="G62" s="3" t="s">
        <v>4678</v>
      </c>
      <c r="H62" s="224" t="s">
        <v>7441</v>
      </c>
    </row>
    <row r="63" spans="1:8">
      <c r="A63" s="3" t="s">
        <v>3883</v>
      </c>
      <c r="B63" s="3" t="s">
        <v>7442</v>
      </c>
      <c r="C63" s="3" t="s">
        <v>3890</v>
      </c>
      <c r="D63" s="22">
        <v>1</v>
      </c>
      <c r="E63" s="22">
        <v>2</v>
      </c>
      <c r="F63" s="3"/>
      <c r="G63" s="3" t="s">
        <v>3807</v>
      </c>
      <c r="H63" s="224" t="s">
        <v>5936</v>
      </c>
    </row>
    <row r="64" spans="1:8">
      <c r="A64" s="361" t="s">
        <v>4076</v>
      </c>
      <c r="B64" s="3" t="s">
        <v>7443</v>
      </c>
      <c r="C64" s="3" t="s">
        <v>7444</v>
      </c>
      <c r="D64" s="22">
        <v>1</v>
      </c>
      <c r="E64" s="22">
        <v>2</v>
      </c>
      <c r="F64" s="3"/>
      <c r="G64" s="3" t="s">
        <v>3759</v>
      </c>
      <c r="H64" s="224">
        <v>77468</v>
      </c>
    </row>
    <row r="65" spans="1:8">
      <c r="A65" s="3" t="s">
        <v>5442</v>
      </c>
      <c r="B65" s="3" t="s">
        <v>7445</v>
      </c>
      <c r="C65" s="3" t="s">
        <v>7446</v>
      </c>
      <c r="D65" s="22">
        <v>1</v>
      </c>
      <c r="E65" s="22">
        <v>1</v>
      </c>
      <c r="F65" s="3"/>
      <c r="G65" s="3" t="s">
        <v>3759</v>
      </c>
      <c r="H65" s="224">
        <v>76723</v>
      </c>
    </row>
    <row r="66" spans="1:8">
      <c r="A66" s="3" t="s">
        <v>7447</v>
      </c>
      <c r="B66" s="3" t="s">
        <v>7448</v>
      </c>
      <c r="C66" s="3" t="s">
        <v>4558</v>
      </c>
      <c r="D66" s="22">
        <v>1</v>
      </c>
      <c r="E66" s="22">
        <v>0</v>
      </c>
      <c r="F66" s="3"/>
      <c r="G66" s="3" t="s">
        <v>3807</v>
      </c>
      <c r="H66" s="224" t="s">
        <v>5936</v>
      </c>
    </row>
    <row r="67" spans="1:8">
      <c r="A67" s="3" t="s">
        <v>4819</v>
      </c>
      <c r="B67" s="3" t="s">
        <v>7449</v>
      </c>
      <c r="C67" s="3" t="s">
        <v>7450</v>
      </c>
      <c r="D67" s="22">
        <v>1</v>
      </c>
      <c r="E67" s="22">
        <v>1</v>
      </c>
      <c r="F67" s="3"/>
      <c r="G67" s="3" t="s">
        <v>3759</v>
      </c>
      <c r="H67" s="224">
        <v>79845</v>
      </c>
    </row>
    <row r="68" spans="1:8">
      <c r="A68" s="3" t="s">
        <v>7451</v>
      </c>
      <c r="B68" s="3" t="s">
        <v>7452</v>
      </c>
      <c r="C68" s="3" t="s">
        <v>640</v>
      </c>
      <c r="D68" s="22">
        <v>1</v>
      </c>
      <c r="E68" s="22">
        <v>0</v>
      </c>
      <c r="F68" s="3"/>
      <c r="G68" s="3" t="s">
        <v>3759</v>
      </c>
      <c r="H68" s="224">
        <v>80028</v>
      </c>
    </row>
    <row r="69" spans="1:8">
      <c r="A69" s="3" t="s">
        <v>7451</v>
      </c>
      <c r="B69" s="3" t="s">
        <v>7453</v>
      </c>
      <c r="C69" s="3" t="s">
        <v>640</v>
      </c>
      <c r="D69" s="22">
        <v>1</v>
      </c>
      <c r="E69" s="22">
        <v>0</v>
      </c>
      <c r="F69" s="3"/>
      <c r="G69" s="3" t="s">
        <v>3759</v>
      </c>
      <c r="H69" s="224">
        <v>80028</v>
      </c>
    </row>
    <row r="70" spans="1:8">
      <c r="A70" s="3" t="s">
        <v>6112</v>
      </c>
      <c r="B70" s="3">
        <v>20370228</v>
      </c>
      <c r="C70" s="3" t="s">
        <v>6111</v>
      </c>
      <c r="D70" s="22">
        <v>1</v>
      </c>
      <c r="E70" s="22">
        <v>0</v>
      </c>
      <c r="F70" s="3"/>
      <c r="G70" s="3" t="s">
        <v>3759</v>
      </c>
      <c r="H70" s="224">
        <v>80696</v>
      </c>
    </row>
    <row r="71" spans="1:8">
      <c r="A71" s="3" t="s">
        <v>4700</v>
      </c>
      <c r="B71" s="3" t="s">
        <v>7454</v>
      </c>
      <c r="C71" s="3" t="s">
        <v>418</v>
      </c>
      <c r="D71" s="22">
        <v>1</v>
      </c>
      <c r="E71" s="22">
        <v>2</v>
      </c>
      <c r="F71" s="3"/>
      <c r="G71" s="3" t="s">
        <v>3807</v>
      </c>
      <c r="H71" s="224" t="s">
        <v>5936</v>
      </c>
    </row>
    <row r="72" spans="1:8">
      <c r="A72" s="3" t="s">
        <v>4953</v>
      </c>
      <c r="B72" s="3" t="s">
        <v>7455</v>
      </c>
      <c r="C72" s="3" t="s">
        <v>6768</v>
      </c>
      <c r="D72" s="22">
        <v>1</v>
      </c>
      <c r="E72" s="22">
        <v>0</v>
      </c>
      <c r="F72" s="3"/>
      <c r="G72" s="3" t="s">
        <v>3759</v>
      </c>
      <c r="H72" s="224">
        <v>75763</v>
      </c>
    </row>
    <row r="73" spans="1:8">
      <c r="A73" s="340" t="s">
        <v>7457</v>
      </c>
      <c r="B73" s="3" t="s">
        <v>3748</v>
      </c>
      <c r="C73" s="3" t="s">
        <v>596</v>
      </c>
      <c r="D73" s="22">
        <v>1</v>
      </c>
      <c r="E73" s="22">
        <v>0</v>
      </c>
      <c r="F73" s="3"/>
      <c r="G73" s="3"/>
    </row>
    <row r="74" spans="1:8">
      <c r="A74" s="369" t="s">
        <v>7458</v>
      </c>
      <c r="B74" s="164">
        <v>2384</v>
      </c>
      <c r="C74" s="166" t="s">
        <v>7459</v>
      </c>
      <c r="D74" s="22">
        <v>1</v>
      </c>
      <c r="E74" s="22">
        <v>0</v>
      </c>
      <c r="F74" s="3"/>
      <c r="G74" s="3"/>
    </row>
    <row r="75" spans="1:8">
      <c r="A75" s="341" t="s">
        <v>4296</v>
      </c>
      <c r="B75" s="204" t="s">
        <v>7460</v>
      </c>
      <c r="C75" s="203" t="s">
        <v>7461</v>
      </c>
      <c r="D75" s="22">
        <v>1</v>
      </c>
      <c r="E75" s="22">
        <v>1</v>
      </c>
      <c r="F75" s="3"/>
      <c r="G75" s="3"/>
    </row>
    <row r="76" spans="1:8">
      <c r="A76" s="336" t="s">
        <v>4311</v>
      </c>
      <c r="B76" s="126" t="s">
        <v>7462</v>
      </c>
      <c r="C76" s="11" t="s">
        <v>4313</v>
      </c>
      <c r="D76" s="22">
        <v>1</v>
      </c>
      <c r="E76" s="22">
        <v>1</v>
      </c>
      <c r="F76" s="3"/>
      <c r="G76" s="3"/>
    </row>
    <row r="77" spans="1:8">
      <c r="A77" s="364" t="s">
        <v>6066</v>
      </c>
      <c r="B77" s="152">
        <v>243420</v>
      </c>
      <c r="C77" s="15" t="s">
        <v>3939</v>
      </c>
      <c r="D77" s="22">
        <v>1</v>
      </c>
      <c r="E77" s="31">
        <v>0</v>
      </c>
      <c r="F77" s="3"/>
      <c r="G77" s="3"/>
      <c r="H77" s="226"/>
    </row>
    <row r="78" spans="1:8">
      <c r="A78" s="209" t="s">
        <v>7463</v>
      </c>
      <c r="B78" s="210" t="s">
        <v>7464</v>
      </c>
      <c r="C78" s="166" t="s">
        <v>4140</v>
      </c>
      <c r="D78" s="22">
        <v>1</v>
      </c>
      <c r="E78" s="22">
        <v>0</v>
      </c>
      <c r="F78" s="3"/>
      <c r="G78" s="3"/>
    </row>
    <row r="79" spans="1:8">
      <c r="A79" s="362" t="s">
        <v>7465</v>
      </c>
      <c r="B79" s="7" t="s">
        <v>7466</v>
      </c>
      <c r="C79" s="10" t="s">
        <v>7467</v>
      </c>
      <c r="D79" s="22">
        <v>1</v>
      </c>
      <c r="E79" s="22">
        <v>0</v>
      </c>
      <c r="F79" s="3"/>
      <c r="G79" s="3"/>
    </row>
    <row r="80" spans="1:8">
      <c r="A80" s="33" t="s">
        <v>5184</v>
      </c>
      <c r="B80" s="33">
        <v>23295</v>
      </c>
      <c r="C80" s="33" t="s">
        <v>4247</v>
      </c>
      <c r="D80" s="22">
        <v>1</v>
      </c>
      <c r="E80" s="22">
        <v>3</v>
      </c>
      <c r="F80" s="3"/>
      <c r="G80" s="3"/>
    </row>
    <row r="81" spans="1:7">
      <c r="A81" s="33" t="s">
        <v>5184</v>
      </c>
      <c r="B81" s="33">
        <v>23373</v>
      </c>
      <c r="C81" s="33" t="s">
        <v>4247</v>
      </c>
      <c r="D81" s="22">
        <v>1</v>
      </c>
      <c r="E81" s="22">
        <v>3</v>
      </c>
      <c r="F81" s="3"/>
      <c r="G81" s="3"/>
    </row>
    <row r="82" spans="1:7">
      <c r="A82" s="304" t="s">
        <v>5470</v>
      </c>
      <c r="B82" s="33" t="s">
        <v>7468</v>
      </c>
      <c r="C82" s="33" t="s">
        <v>6792</v>
      </c>
      <c r="D82" s="22">
        <v>1</v>
      </c>
      <c r="E82" s="22">
        <v>1</v>
      </c>
      <c r="F82" s="3"/>
      <c r="G82" s="3"/>
    </row>
    <row r="83" spans="1:7">
      <c r="A83" s="342" t="s">
        <v>7469</v>
      </c>
      <c r="B83" s="164" t="s">
        <v>7470</v>
      </c>
      <c r="C83" s="166" t="s">
        <v>7471</v>
      </c>
      <c r="D83" s="22">
        <v>1</v>
      </c>
      <c r="E83" s="22">
        <v>0</v>
      </c>
      <c r="F83" s="3"/>
      <c r="G83" s="3"/>
    </row>
    <row r="84" spans="1:7">
      <c r="A84" s="355" t="s">
        <v>4514</v>
      </c>
      <c r="B84" s="204">
        <v>1528</v>
      </c>
      <c r="C84" s="203" t="s">
        <v>4515</v>
      </c>
      <c r="D84" s="22">
        <v>1</v>
      </c>
      <c r="E84" s="22">
        <v>1</v>
      </c>
      <c r="F84" s="3"/>
      <c r="G84" s="3"/>
    </row>
    <row r="85" spans="1:7">
      <c r="A85" s="33" t="s">
        <v>5459</v>
      </c>
      <c r="B85" s="33">
        <v>4660</v>
      </c>
      <c r="C85" s="33" t="s">
        <v>5055</v>
      </c>
      <c r="D85" s="22">
        <v>1</v>
      </c>
      <c r="E85" s="22">
        <v>0</v>
      </c>
      <c r="F85" s="3"/>
      <c r="G85" s="3"/>
    </row>
    <row r="86" spans="1:7">
      <c r="A86" s="33" t="s">
        <v>5158</v>
      </c>
      <c r="B86" s="33">
        <v>1519</v>
      </c>
      <c r="C86" s="33" t="s">
        <v>5182</v>
      </c>
      <c r="D86" s="22">
        <v>1</v>
      </c>
      <c r="E86" s="22">
        <v>0</v>
      </c>
      <c r="F86" s="3"/>
      <c r="G86" s="3"/>
    </row>
    <row r="87" spans="1:7">
      <c r="A87" s="7" t="s">
        <v>5163</v>
      </c>
      <c r="B87" s="8" t="s">
        <v>7472</v>
      </c>
      <c r="C87" s="11" t="s">
        <v>5165</v>
      </c>
      <c r="D87" s="22">
        <v>1</v>
      </c>
      <c r="E87" s="22">
        <v>0</v>
      </c>
      <c r="F87" s="3"/>
      <c r="G87" s="3"/>
    </row>
    <row r="88" spans="1:7">
      <c r="A88" s="162" t="s">
        <v>4926</v>
      </c>
      <c r="B88" s="255" t="s">
        <v>7473</v>
      </c>
      <c r="C88" s="166" t="s">
        <v>7474</v>
      </c>
      <c r="D88" s="22">
        <v>1</v>
      </c>
      <c r="E88" s="22">
        <v>0</v>
      </c>
      <c r="F88" s="3"/>
      <c r="G88" s="3"/>
    </row>
    <row r="89" spans="1:7">
      <c r="A89" s="33" t="s">
        <v>7475</v>
      </c>
      <c r="B89" s="33">
        <v>23238</v>
      </c>
      <c r="C89" s="33" t="s">
        <v>7476</v>
      </c>
      <c r="D89" s="22">
        <v>1</v>
      </c>
      <c r="E89" s="22">
        <v>3</v>
      </c>
      <c r="F89" s="3"/>
      <c r="G89" s="3"/>
    </row>
    <row r="90" spans="1:7">
      <c r="A90" s="3" t="s">
        <v>7477</v>
      </c>
      <c r="B90" s="3">
        <v>3503</v>
      </c>
      <c r="C90" s="3" t="s">
        <v>5022</v>
      </c>
      <c r="D90" s="22">
        <v>1</v>
      </c>
      <c r="E90" s="22">
        <v>0</v>
      </c>
      <c r="F90" s="3"/>
      <c r="G90" s="3"/>
    </row>
    <row r="91" spans="1:7">
      <c r="A91" s="3" t="s">
        <v>7478</v>
      </c>
      <c r="B91" s="3">
        <v>225644</v>
      </c>
      <c r="C91" s="3" t="s">
        <v>7479</v>
      </c>
      <c r="D91" s="22">
        <v>1</v>
      </c>
      <c r="E91" s="22">
        <v>0</v>
      </c>
      <c r="F91" s="3"/>
      <c r="G91" s="3"/>
    </row>
    <row r="92" spans="1:7">
      <c r="A92" s="3" t="s">
        <v>4700</v>
      </c>
      <c r="B92" s="3" t="s">
        <v>4701</v>
      </c>
      <c r="C92" s="3" t="s">
        <v>418</v>
      </c>
      <c r="D92" s="22">
        <v>1</v>
      </c>
      <c r="E92" s="22">
        <v>2</v>
      </c>
      <c r="F92" s="3"/>
      <c r="G92" s="3"/>
    </row>
    <row r="93" spans="1:7">
      <c r="A93" s="3" t="s">
        <v>7480</v>
      </c>
      <c r="B93" s="3">
        <v>1508328</v>
      </c>
      <c r="C93" s="3" t="s">
        <v>418</v>
      </c>
      <c r="D93" s="22">
        <v>1</v>
      </c>
      <c r="E93" s="22">
        <v>0</v>
      </c>
      <c r="F93" s="3"/>
      <c r="G93" s="3" t="s">
        <v>3807</v>
      </c>
    </row>
    <row r="94" spans="1:7">
      <c r="A94" s="323" t="s">
        <v>4038</v>
      </c>
      <c r="B94" s="323">
        <v>1376</v>
      </c>
      <c r="C94" s="323" t="s">
        <v>3992</v>
      </c>
      <c r="D94" s="323">
        <v>1</v>
      </c>
      <c r="E94" s="323">
        <v>0</v>
      </c>
      <c r="F94" s="323"/>
      <c r="G94" s="323"/>
    </row>
    <row r="95" spans="1:7">
      <c r="A95" s="447" t="s">
        <v>6158</v>
      </c>
      <c r="B95" s="450" t="s">
        <v>6159</v>
      </c>
      <c r="C95" s="11" t="s">
        <v>4313</v>
      </c>
      <c r="D95" s="323">
        <v>1</v>
      </c>
      <c r="E95" s="323">
        <v>0</v>
      </c>
      <c r="F95" s="323"/>
      <c r="G95" s="323"/>
    </row>
    <row r="96" spans="1:7">
      <c r="A96" s="348" t="s">
        <v>4537</v>
      </c>
      <c r="B96" s="7" t="s">
        <v>4538</v>
      </c>
      <c r="C96" s="10" t="s">
        <v>207</v>
      </c>
      <c r="D96" s="323">
        <v>1</v>
      </c>
      <c r="E96" s="323">
        <v>0</v>
      </c>
      <c r="F96" s="323"/>
      <c r="G96" s="323"/>
    </row>
    <row r="97" spans="1:7">
      <c r="A97" s="323" t="s">
        <v>5080</v>
      </c>
      <c r="B97" s="323" t="s">
        <v>7598</v>
      </c>
      <c r="C97" s="323" t="s">
        <v>7599</v>
      </c>
      <c r="D97" s="323">
        <v>1</v>
      </c>
      <c r="E97" s="323">
        <v>0</v>
      </c>
      <c r="F97" s="323"/>
      <c r="G97" s="323"/>
    </row>
    <row r="98" spans="1:7">
      <c r="A98" s="460">
        <v>8650501</v>
      </c>
      <c r="B98" s="460">
        <v>632</v>
      </c>
      <c r="C98" s="460" t="s">
        <v>8043</v>
      </c>
      <c r="D98" s="460">
        <v>1</v>
      </c>
      <c r="E98" s="460">
        <v>0</v>
      </c>
      <c r="F98" s="460"/>
      <c r="G98" s="460" t="s">
        <v>6162</v>
      </c>
    </row>
    <row r="99" spans="1:7">
      <c r="A99" s="323" t="s">
        <v>8051</v>
      </c>
      <c r="B99" s="323" t="s">
        <v>7603</v>
      </c>
      <c r="C99" s="323" t="s">
        <v>7604</v>
      </c>
      <c r="D99" s="460">
        <v>1</v>
      </c>
      <c r="E99" s="22">
        <v>0</v>
      </c>
      <c r="F99" s="3"/>
      <c r="G99" s="3"/>
    </row>
    <row r="100" spans="1:7">
      <c r="A100" s="742" t="s">
        <v>5184</v>
      </c>
      <c r="B100" s="743">
        <v>23372</v>
      </c>
      <c r="C100" s="743" t="s">
        <v>4247</v>
      </c>
      <c r="D100" s="460">
        <v>1</v>
      </c>
      <c r="E100" s="112">
        <v>2</v>
      </c>
      <c r="F100" s="744"/>
      <c r="G100" s="744"/>
    </row>
    <row r="101" spans="1:7">
      <c r="A101" s="3" t="s">
        <v>4773</v>
      </c>
      <c r="B101" s="3">
        <v>91041208</v>
      </c>
      <c r="C101" s="33" t="s">
        <v>3862</v>
      </c>
      <c r="D101" s="460">
        <v>1</v>
      </c>
      <c r="E101" s="22">
        <v>0</v>
      </c>
      <c r="F101" s="3"/>
      <c r="G101" s="3"/>
    </row>
    <row r="102" spans="1:7">
      <c r="A102" s="3" t="s">
        <v>8163</v>
      </c>
      <c r="B102" s="3">
        <v>2186</v>
      </c>
      <c r="C102" s="3" t="s">
        <v>5134</v>
      </c>
      <c r="D102" s="460">
        <v>1</v>
      </c>
      <c r="E102" s="22">
        <v>0</v>
      </c>
      <c r="F102" s="3"/>
      <c r="G102" s="3"/>
    </row>
    <row r="103" spans="1:7">
      <c r="A103" s="3">
        <v>430107</v>
      </c>
      <c r="B103" s="33" t="s">
        <v>8047</v>
      </c>
      <c r="C103" s="3" t="s">
        <v>6412</v>
      </c>
      <c r="D103" s="460">
        <v>1</v>
      </c>
      <c r="E103" s="22">
        <v>0</v>
      </c>
      <c r="F103" s="3"/>
      <c r="G103" s="3"/>
    </row>
    <row r="104" spans="1:7">
      <c r="A104" s="323" t="s">
        <v>7422</v>
      </c>
      <c r="B104" s="323">
        <v>2440</v>
      </c>
      <c r="C104" s="323" t="s">
        <v>3832</v>
      </c>
      <c r="D104" s="460">
        <v>1</v>
      </c>
      <c r="E104" s="22">
        <v>0</v>
      </c>
      <c r="F104" s="3"/>
      <c r="G104" s="3"/>
    </row>
    <row r="105" spans="1:7">
      <c r="A105" s="3" t="s">
        <v>8032</v>
      </c>
      <c r="B105" s="33">
        <v>139643</v>
      </c>
      <c r="C105" s="3" t="s">
        <v>7425</v>
      </c>
      <c r="D105" s="460">
        <v>1</v>
      </c>
      <c r="E105" s="22">
        <v>0</v>
      </c>
      <c r="F105" s="3"/>
      <c r="G105" s="3"/>
    </row>
    <row r="106" spans="1:7">
      <c r="A106" s="3" t="s">
        <v>5619</v>
      </c>
      <c r="B106" s="3" t="s">
        <v>8092</v>
      </c>
      <c r="C106" s="33" t="s">
        <v>8093</v>
      </c>
      <c r="D106" s="460">
        <v>1</v>
      </c>
      <c r="E106" s="22">
        <v>0</v>
      </c>
      <c r="F106" s="3"/>
      <c r="G106" s="3"/>
    </row>
    <row r="107" spans="1:7">
      <c r="A107" s="3" t="s">
        <v>8192</v>
      </c>
      <c r="B107" s="3" t="s">
        <v>8193</v>
      </c>
      <c r="C107" s="3" t="s">
        <v>8194</v>
      </c>
      <c r="D107" s="22"/>
      <c r="E107" s="22">
        <v>0</v>
      </c>
      <c r="F107" s="3"/>
      <c r="G107" s="3"/>
    </row>
  </sheetData>
  <autoFilter ref="A3:F10398" xr:uid="{19E30AD7-03CB-42C2-B85E-6C2312EF4173}"/>
  <mergeCells count="1">
    <mergeCell ref="B1:C2"/>
  </mergeCells>
  <phoneticPr fontId="1" type="noConversion"/>
  <conditionalFormatting sqref="D1:D93 D107:D1048576">
    <cfRule type="containsText" dxfId="37" priority="1" operator="containsText" text="RO">
      <formula>NOT(ISERROR(SEARCH("RO",D1)))</formula>
    </cfRule>
    <cfRule type="containsText" dxfId="36" priority="4" operator="containsText" text="RO">
      <formula>NOT(ISERROR(SEARCH("RO",D1)))</formula>
    </cfRule>
  </conditionalFormatting>
  <conditionalFormatting sqref="F1:F93 F99:F1048576">
    <cfRule type="containsText" dxfId="35" priority="2" operator="containsText" text="TERRA">
      <formula>NOT(ISERROR(SEARCH("TERRA",F1)))</formula>
    </cfRule>
  </conditionalFormatting>
  <conditionalFormatting sqref="F3">
    <cfRule type="containsText" dxfId="34" priority="5" operator="containsText" text="NO SISTEMA">
      <formula>NOT(ISERROR(SEARCH("NO SISTEMA",F3)))</formula>
    </cfRule>
    <cfRule type="containsText" dxfId="33" priority="6" operator="containsText" text="VENDIDO">
      <formula>NOT(ISERROR(SEARCH("VENDIDO",F3)))</formula>
    </cfRule>
    <cfRule type="containsText" dxfId="32" priority="7" operator="containsText" text="CAMBIO">
      <formula>NOT(ISERROR(SEARCH("CAMBIO",F3)))</formula>
    </cfRule>
  </conditionalFormatting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D1E4-3AD2-4BBA-9B55-74A2E9C12061}">
  <sheetPr>
    <tabColor rgb="FFFFC000"/>
  </sheetPr>
  <dimension ref="A1:I167"/>
  <sheetViews>
    <sheetView zoomScaleNormal="100" workbookViewId="0">
      <pane ySplit="3" topLeftCell="A138" activePane="bottomLeft" state="frozen"/>
      <selection activeCell="M1001" sqref="M1001"/>
      <selection pane="bottomLeft" activeCell="D147" sqref="D147"/>
    </sheetView>
  </sheetViews>
  <sheetFormatPr defaultRowHeight="14.4"/>
  <cols>
    <col min="1" max="1" width="28.109375" style="6" bestFit="1" customWidth="1"/>
    <col min="2" max="2" width="24.44140625" style="6" customWidth="1"/>
    <col min="3" max="3" width="31.6640625" style="54" bestFit="1" customWidth="1"/>
    <col min="4" max="4" width="19.88671875" style="6" customWidth="1"/>
    <col min="5" max="6" width="7.109375" style="6" customWidth="1"/>
    <col min="7" max="7" width="23" style="26" bestFit="1" customWidth="1"/>
    <col min="8" max="8" width="10.6640625" style="224" bestFit="1" customWidth="1"/>
    <col min="9" max="9" width="9.109375" style="6"/>
  </cols>
  <sheetData>
    <row r="1" spans="1:9">
      <c r="B1" s="752" t="s">
        <v>7481</v>
      </c>
      <c r="C1" s="752"/>
    </row>
    <row r="2" spans="1:9">
      <c r="B2" s="753"/>
      <c r="C2" s="753"/>
    </row>
    <row r="3" spans="1:9" s="1" customFormat="1" ht="11.25" customHeight="1">
      <c r="A3" s="39" t="s">
        <v>5804</v>
      </c>
      <c r="B3" s="39" t="s">
        <v>3740</v>
      </c>
      <c r="C3" s="36" t="s">
        <v>3741</v>
      </c>
      <c r="D3" s="36" t="s">
        <v>3742</v>
      </c>
      <c r="E3" s="36" t="s">
        <v>7482</v>
      </c>
      <c r="F3" s="36" t="s">
        <v>1012</v>
      </c>
      <c r="G3" s="37" t="s">
        <v>3746</v>
      </c>
      <c r="H3" s="229"/>
      <c r="I3" s="54"/>
    </row>
    <row r="4" spans="1:9">
      <c r="A4" s="7" t="s">
        <v>7483</v>
      </c>
      <c r="B4" s="7" t="s">
        <v>3748</v>
      </c>
      <c r="C4" s="17" t="s">
        <v>7484</v>
      </c>
      <c r="D4" s="10">
        <v>1</v>
      </c>
      <c r="E4" s="10"/>
      <c r="F4" s="10"/>
      <c r="G4" s="300" t="s">
        <v>3754</v>
      </c>
      <c r="H4" s="224">
        <v>81058</v>
      </c>
      <c r="I4" s="154" t="s">
        <v>7485</v>
      </c>
    </row>
    <row r="5" spans="1:9">
      <c r="A5" s="7" t="s">
        <v>4953</v>
      </c>
      <c r="B5" s="7" t="s">
        <v>7486</v>
      </c>
      <c r="C5" s="17" t="s">
        <v>7487</v>
      </c>
      <c r="D5" s="10">
        <v>1</v>
      </c>
      <c r="E5" s="10"/>
      <c r="F5" s="10"/>
      <c r="G5" s="300" t="s">
        <v>3754</v>
      </c>
      <c r="H5" s="224">
        <v>81058</v>
      </c>
      <c r="I5" s="153"/>
    </row>
    <row r="6" spans="1:9">
      <c r="A6" s="348" t="s">
        <v>7488</v>
      </c>
      <c r="B6" s="7" t="s">
        <v>3748</v>
      </c>
      <c r="C6" s="17" t="s">
        <v>4651</v>
      </c>
      <c r="D6" s="10">
        <v>1</v>
      </c>
      <c r="E6" s="10"/>
      <c r="F6" s="10"/>
      <c r="G6" s="298" t="s">
        <v>3759</v>
      </c>
      <c r="H6" s="224">
        <v>81058</v>
      </c>
      <c r="I6" s="154" t="s">
        <v>7485</v>
      </c>
    </row>
    <row r="7" spans="1:9">
      <c r="A7" s="451">
        <v>892480</v>
      </c>
      <c r="B7" s="451">
        <v>35885</v>
      </c>
      <c r="C7" s="451" t="s">
        <v>7489</v>
      </c>
      <c r="D7" s="451" t="s">
        <v>7490</v>
      </c>
      <c r="E7" s="451"/>
      <c r="F7" s="451"/>
      <c r="G7" s="451" t="s">
        <v>7491</v>
      </c>
      <c r="H7" s="224">
        <v>81058</v>
      </c>
      <c r="I7" s="153"/>
    </row>
    <row r="8" spans="1:9">
      <c r="A8" s="7" t="s">
        <v>7492</v>
      </c>
      <c r="B8" s="7" t="s">
        <v>3748</v>
      </c>
      <c r="C8" s="17" t="s">
        <v>7493</v>
      </c>
      <c r="D8" s="10" t="s">
        <v>7494</v>
      </c>
      <c r="E8" s="10"/>
      <c r="F8" s="10"/>
      <c r="G8" s="27" t="s">
        <v>4041</v>
      </c>
      <c r="H8" s="224">
        <v>81058</v>
      </c>
      <c r="I8" s="153"/>
    </row>
    <row r="9" spans="1:9">
      <c r="A9" s="7">
        <v>45100</v>
      </c>
      <c r="B9" s="7">
        <v>1331</v>
      </c>
      <c r="C9" s="17" t="s">
        <v>313</v>
      </c>
      <c r="D9" s="10">
        <v>1</v>
      </c>
      <c r="E9" s="10"/>
      <c r="F9" s="10"/>
      <c r="G9" s="300" t="s">
        <v>3754</v>
      </c>
      <c r="H9" s="231">
        <v>80889</v>
      </c>
    </row>
    <row r="10" spans="1:9">
      <c r="A10" s="348" t="s">
        <v>4486</v>
      </c>
      <c r="B10" s="7" t="s">
        <v>7495</v>
      </c>
      <c r="C10" s="17" t="s">
        <v>690</v>
      </c>
      <c r="D10" s="168">
        <v>2</v>
      </c>
      <c r="E10" s="168"/>
      <c r="F10" s="168"/>
      <c r="G10" s="298" t="s">
        <v>3759</v>
      </c>
      <c r="H10" s="232" t="s">
        <v>7496</v>
      </c>
    </row>
    <row r="11" spans="1:9">
      <c r="A11" s="162" t="s">
        <v>7497</v>
      </c>
      <c r="B11" s="163" t="s">
        <v>7498</v>
      </c>
      <c r="C11" s="166" t="s">
        <v>7499</v>
      </c>
      <c r="D11" s="166">
        <v>1</v>
      </c>
      <c r="E11" s="166"/>
      <c r="F11" s="166"/>
      <c r="G11" s="300" t="s">
        <v>3754</v>
      </c>
      <c r="H11" s="224">
        <v>81091</v>
      </c>
    </row>
    <row r="12" spans="1:9">
      <c r="A12" s="352" t="s">
        <v>7500</v>
      </c>
      <c r="B12" s="163" t="s">
        <v>3748</v>
      </c>
      <c r="C12" s="166" t="s">
        <v>7501</v>
      </c>
      <c r="D12" s="166">
        <v>1</v>
      </c>
      <c r="E12" s="166"/>
      <c r="F12" s="166"/>
      <c r="G12" s="300" t="s">
        <v>3754</v>
      </c>
      <c r="H12" s="224">
        <v>81091</v>
      </c>
    </row>
    <row r="13" spans="1:9">
      <c r="A13" s="310" t="s">
        <v>7502</v>
      </c>
      <c r="B13" s="162">
        <v>4313</v>
      </c>
      <c r="C13" s="166" t="s">
        <v>690</v>
      </c>
      <c r="D13" s="310" t="s">
        <v>7503</v>
      </c>
      <c r="E13" s="310"/>
      <c r="F13" s="310"/>
      <c r="G13" s="310" t="s">
        <v>8009</v>
      </c>
      <c r="H13" s="224">
        <v>81091</v>
      </c>
    </row>
    <row r="14" spans="1:9">
      <c r="A14" s="310" t="s">
        <v>7504</v>
      </c>
      <c r="B14" s="164">
        <v>1685</v>
      </c>
      <c r="C14" s="166" t="s">
        <v>690</v>
      </c>
      <c r="D14" s="310" t="s">
        <v>7505</v>
      </c>
      <c r="E14" s="310"/>
      <c r="F14" s="310"/>
      <c r="G14" s="310" t="s">
        <v>8009</v>
      </c>
      <c r="H14" s="224">
        <v>81091</v>
      </c>
    </row>
    <row r="15" spans="1:9">
      <c r="A15" s="162" t="s">
        <v>4455</v>
      </c>
      <c r="B15" s="163" t="s">
        <v>7506</v>
      </c>
      <c r="C15" s="166" t="s">
        <v>7507</v>
      </c>
      <c r="D15" s="162">
        <v>1</v>
      </c>
      <c r="E15" s="162"/>
      <c r="F15" s="162"/>
      <c r="G15" s="298" t="s">
        <v>3759</v>
      </c>
      <c r="H15" s="224">
        <v>81091</v>
      </c>
      <c r="I15" s="154" t="s">
        <v>7485</v>
      </c>
    </row>
    <row r="16" spans="1:9">
      <c r="A16" s="310" t="s">
        <v>7508</v>
      </c>
      <c r="B16" s="164">
        <v>3099</v>
      </c>
      <c r="C16" s="166" t="s">
        <v>4070</v>
      </c>
      <c r="D16" s="310" t="s">
        <v>7509</v>
      </c>
      <c r="E16" s="310"/>
      <c r="F16" s="310"/>
      <c r="G16" s="310" t="s">
        <v>8009</v>
      </c>
      <c r="H16" s="224">
        <v>81091</v>
      </c>
    </row>
    <row r="17" spans="1:9">
      <c r="A17" s="310" t="s">
        <v>7510</v>
      </c>
      <c r="B17" s="164">
        <v>2649</v>
      </c>
      <c r="C17" s="166" t="s">
        <v>7511</v>
      </c>
      <c r="D17" s="166">
        <v>1</v>
      </c>
      <c r="E17" s="166"/>
      <c r="F17" s="166"/>
      <c r="G17" s="300" t="s">
        <v>3754</v>
      </c>
      <c r="H17" s="224">
        <v>81091</v>
      </c>
    </row>
    <row r="18" spans="1:9">
      <c r="A18" s="310" t="s">
        <v>7512</v>
      </c>
      <c r="B18" s="164">
        <v>882</v>
      </c>
      <c r="C18" s="166" t="s">
        <v>4070</v>
      </c>
      <c r="D18" s="166">
        <v>1</v>
      </c>
      <c r="E18" s="166"/>
      <c r="F18" s="166"/>
      <c r="G18" s="300" t="s">
        <v>3754</v>
      </c>
      <c r="H18" s="224">
        <v>81091</v>
      </c>
    </row>
    <row r="19" spans="1:9" s="1" customFormat="1">
      <c r="A19" s="209" t="s">
        <v>4742</v>
      </c>
      <c r="B19" s="210" t="s">
        <v>7513</v>
      </c>
      <c r="C19" s="166" t="s">
        <v>4730</v>
      </c>
      <c r="D19" s="174">
        <v>0</v>
      </c>
      <c r="E19" s="174"/>
      <c r="F19" s="174"/>
      <c r="G19" s="299" t="s">
        <v>84</v>
      </c>
      <c r="H19" s="229">
        <v>81098</v>
      </c>
      <c r="I19" s="54" t="s">
        <v>4916</v>
      </c>
    </row>
    <row r="20" spans="1:9">
      <c r="A20" s="203" t="s">
        <v>5449</v>
      </c>
      <c r="B20" s="204" t="s">
        <v>7514</v>
      </c>
      <c r="C20" s="203" t="s">
        <v>5656</v>
      </c>
      <c r="D20" s="166">
        <v>1</v>
      </c>
      <c r="E20" s="166"/>
      <c r="F20" s="166"/>
      <c r="G20" s="300" t="s">
        <v>3754</v>
      </c>
      <c r="H20" s="224" t="s">
        <v>6431</v>
      </c>
    </row>
    <row r="21" spans="1:9">
      <c r="A21" s="347" t="s">
        <v>7515</v>
      </c>
      <c r="B21" s="166" t="s">
        <v>7516</v>
      </c>
      <c r="C21" s="209" t="s">
        <v>690</v>
      </c>
      <c r="D21" s="166">
        <v>1</v>
      </c>
      <c r="E21" s="166"/>
      <c r="F21" s="166"/>
      <c r="G21" s="298" t="s">
        <v>3759</v>
      </c>
      <c r="H21" s="224">
        <v>81237</v>
      </c>
    </row>
    <row r="22" spans="1:9">
      <c r="A22" s="334" t="s">
        <v>7517</v>
      </c>
      <c r="B22" s="303" t="s">
        <v>7518</v>
      </c>
      <c r="C22" s="303" t="s">
        <v>7519</v>
      </c>
      <c r="D22" s="3" t="s">
        <v>7520</v>
      </c>
      <c r="E22" s="3"/>
      <c r="F22" s="3"/>
      <c r="G22" s="47"/>
      <c r="H22" s="224">
        <v>81377</v>
      </c>
    </row>
    <row r="23" spans="1:9">
      <c r="A23" s="303" t="s">
        <v>5059</v>
      </c>
      <c r="B23" s="303" t="s">
        <v>7521</v>
      </c>
      <c r="C23" s="303" t="s">
        <v>5061</v>
      </c>
      <c r="D23" s="3">
        <v>1</v>
      </c>
      <c r="E23" s="3"/>
      <c r="F23" s="3"/>
      <c r="G23" s="47"/>
      <c r="H23" s="224">
        <v>81377</v>
      </c>
    </row>
    <row r="24" spans="1:9">
      <c r="A24" s="83" t="s">
        <v>6842</v>
      </c>
      <c r="B24" s="83">
        <v>25614</v>
      </c>
      <c r="C24" s="83" t="s">
        <v>7522</v>
      </c>
      <c r="D24" s="3">
        <v>1</v>
      </c>
      <c r="E24" s="301"/>
      <c r="F24" s="301"/>
      <c r="G24" s="302"/>
      <c r="H24" s="224">
        <v>81521</v>
      </c>
    </row>
    <row r="25" spans="1:9">
      <c r="A25" s="353" t="s">
        <v>7523</v>
      </c>
      <c r="B25" s="83" t="s">
        <v>3748</v>
      </c>
      <c r="C25" s="83" t="s">
        <v>7524</v>
      </c>
      <c r="D25" s="301" t="s">
        <v>7525</v>
      </c>
      <c r="E25" s="301"/>
      <c r="F25" s="301"/>
      <c r="G25" s="302"/>
      <c r="H25" s="224">
        <v>81521</v>
      </c>
    </row>
    <row r="26" spans="1:9" s="457" customFormat="1">
      <c r="A26" s="452" t="s">
        <v>4688</v>
      </c>
      <c r="B26" s="452">
        <v>71121413829</v>
      </c>
      <c r="C26" s="452" t="s">
        <v>7526</v>
      </c>
      <c r="D26" s="453" t="s">
        <v>7527</v>
      </c>
      <c r="E26" s="453"/>
      <c r="F26" s="453"/>
      <c r="G26" s="454" t="s">
        <v>7528</v>
      </c>
      <c r="H26" s="455">
        <v>81521</v>
      </c>
      <c r="I26" s="456"/>
    </row>
    <row r="27" spans="1:9">
      <c r="A27" s="323" t="s">
        <v>4653</v>
      </c>
      <c r="B27" s="323">
        <v>24477</v>
      </c>
      <c r="C27" s="323" t="s">
        <v>7529</v>
      </c>
      <c r="D27" s="301">
        <v>1</v>
      </c>
      <c r="E27" s="301"/>
      <c r="F27" s="301"/>
      <c r="G27" s="302"/>
      <c r="H27" s="224">
        <v>81562</v>
      </c>
    </row>
    <row r="28" spans="1:9">
      <c r="A28" s="323" t="s">
        <v>4653</v>
      </c>
      <c r="B28" s="323">
        <v>23936</v>
      </c>
      <c r="C28" s="323" t="s">
        <v>7529</v>
      </c>
      <c r="D28" s="301">
        <v>1</v>
      </c>
      <c r="E28" s="301"/>
      <c r="F28" s="301"/>
      <c r="G28" s="302"/>
      <c r="H28" s="224">
        <v>81562</v>
      </c>
    </row>
    <row r="29" spans="1:9">
      <c r="A29" s="323" t="s">
        <v>4653</v>
      </c>
      <c r="B29" s="323">
        <v>23947</v>
      </c>
      <c r="C29" s="323" t="s">
        <v>7529</v>
      </c>
      <c r="D29" s="301">
        <v>1</v>
      </c>
      <c r="E29" s="301"/>
      <c r="F29" s="301"/>
      <c r="G29" s="302"/>
      <c r="H29" s="224">
        <v>81562</v>
      </c>
    </row>
    <row r="30" spans="1:9">
      <c r="A30" s="323" t="s">
        <v>4653</v>
      </c>
      <c r="B30" s="323">
        <v>23944</v>
      </c>
      <c r="C30" s="323" t="s">
        <v>7529</v>
      </c>
      <c r="D30" s="301">
        <v>1</v>
      </c>
      <c r="E30" s="301"/>
      <c r="F30" s="301"/>
      <c r="G30" s="302"/>
      <c r="H30" s="224">
        <v>81562</v>
      </c>
    </row>
    <row r="31" spans="1:9">
      <c r="A31" s="323" t="s">
        <v>4653</v>
      </c>
      <c r="B31" s="323">
        <v>23946</v>
      </c>
      <c r="C31" s="323" t="s">
        <v>7529</v>
      </c>
      <c r="D31" s="301">
        <v>1</v>
      </c>
      <c r="E31" s="301"/>
      <c r="F31" s="301"/>
      <c r="G31" s="302"/>
      <c r="H31" s="224">
        <v>81562</v>
      </c>
    </row>
    <row r="32" spans="1:9">
      <c r="A32" s="359" t="s">
        <v>5593</v>
      </c>
      <c r="B32" s="323" t="s">
        <v>7530</v>
      </c>
      <c r="C32" s="323" t="s">
        <v>3779</v>
      </c>
      <c r="D32" s="301" t="s">
        <v>7531</v>
      </c>
      <c r="E32" s="301"/>
      <c r="F32" s="301"/>
      <c r="G32" s="302"/>
      <c r="H32" s="224">
        <v>81562</v>
      </c>
    </row>
    <row r="33" spans="1:8">
      <c r="A33" s="359" t="s">
        <v>7532</v>
      </c>
      <c r="B33" s="323">
        <v>1842</v>
      </c>
      <c r="C33" s="323" t="s">
        <v>7533</v>
      </c>
      <c r="D33" s="301" t="s">
        <v>8011</v>
      </c>
      <c r="E33" s="301"/>
      <c r="F33" s="301"/>
      <c r="G33" s="302"/>
      <c r="H33" s="224">
        <v>81562</v>
      </c>
    </row>
    <row r="34" spans="1:8">
      <c r="A34" s="359" t="s">
        <v>7534</v>
      </c>
      <c r="B34" s="323" t="s">
        <v>7535</v>
      </c>
      <c r="C34" s="323" t="s">
        <v>7536</v>
      </c>
      <c r="D34" s="301" t="s">
        <v>7537</v>
      </c>
      <c r="E34" s="301"/>
      <c r="F34" s="301"/>
      <c r="G34" s="302"/>
      <c r="H34" s="224">
        <v>81562</v>
      </c>
    </row>
    <row r="35" spans="1:8">
      <c r="A35" s="359" t="s">
        <v>7366</v>
      </c>
      <c r="B35" s="323" t="s">
        <v>7538</v>
      </c>
      <c r="C35" s="323" t="s">
        <v>7539</v>
      </c>
      <c r="D35" s="301" t="s">
        <v>8150</v>
      </c>
      <c r="E35" s="301"/>
      <c r="F35" s="301"/>
      <c r="G35" s="302"/>
      <c r="H35" s="224">
        <v>81562</v>
      </c>
    </row>
    <row r="36" spans="1:8">
      <c r="A36" s="351" t="s">
        <v>7541</v>
      </c>
      <c r="B36" s="323" t="s">
        <v>7542</v>
      </c>
      <c r="C36" s="323" t="s">
        <v>6343</v>
      </c>
      <c r="D36" s="301">
        <v>1</v>
      </c>
      <c r="E36" s="301"/>
      <c r="F36" s="301"/>
      <c r="G36" s="302"/>
      <c r="H36" s="224">
        <v>81562</v>
      </c>
    </row>
    <row r="37" spans="1:8">
      <c r="A37" s="323" t="s">
        <v>5274</v>
      </c>
      <c r="B37" s="323" t="s">
        <v>5285</v>
      </c>
      <c r="C37" s="323" t="s">
        <v>5276</v>
      </c>
      <c r="D37" s="301" t="s">
        <v>7543</v>
      </c>
      <c r="E37" s="301"/>
      <c r="F37" s="301"/>
      <c r="G37" s="302"/>
      <c r="H37" s="224">
        <v>81562</v>
      </c>
    </row>
    <row r="38" spans="1:8">
      <c r="A38" s="359" t="s">
        <v>4537</v>
      </c>
      <c r="B38" s="323" t="s">
        <v>7544</v>
      </c>
      <c r="C38" s="323" t="s">
        <v>7545</v>
      </c>
      <c r="D38" s="325">
        <v>1</v>
      </c>
      <c r="E38" s="325"/>
      <c r="F38" s="325"/>
      <c r="G38" s="326"/>
      <c r="H38" s="224">
        <v>81572</v>
      </c>
    </row>
    <row r="39" spans="1:8">
      <c r="A39" s="359" t="s">
        <v>4537</v>
      </c>
      <c r="B39" s="323">
        <v>951</v>
      </c>
      <c r="C39" s="323" t="s">
        <v>7545</v>
      </c>
      <c r="D39" s="325">
        <v>1</v>
      </c>
      <c r="E39" s="325"/>
      <c r="F39" s="325"/>
      <c r="G39" s="326"/>
      <c r="H39" s="224">
        <v>81572</v>
      </c>
    </row>
    <row r="40" spans="1:8">
      <c r="A40" s="359" t="s">
        <v>4620</v>
      </c>
      <c r="B40" s="323">
        <v>758</v>
      </c>
      <c r="C40" s="323" t="s">
        <v>4587</v>
      </c>
      <c r="D40" s="325"/>
      <c r="E40" s="325"/>
      <c r="F40" s="325"/>
      <c r="G40" s="326"/>
      <c r="H40" s="224">
        <v>81572</v>
      </c>
    </row>
    <row r="41" spans="1:8">
      <c r="A41" s="323" t="s">
        <v>7546</v>
      </c>
      <c r="B41" s="323">
        <v>1537</v>
      </c>
      <c r="C41" s="323" t="s">
        <v>4558</v>
      </c>
      <c r="D41" s="325" t="s">
        <v>7547</v>
      </c>
      <c r="E41" s="325"/>
      <c r="F41" s="325"/>
      <c r="G41" s="326"/>
      <c r="H41" s="224">
        <v>81572</v>
      </c>
    </row>
    <row r="42" spans="1:8">
      <c r="A42" s="323" t="s">
        <v>4575</v>
      </c>
      <c r="B42" s="323" t="s">
        <v>7549</v>
      </c>
      <c r="C42" s="323" t="s">
        <v>7548</v>
      </c>
      <c r="D42" s="301"/>
      <c r="E42" s="301"/>
      <c r="F42" s="301"/>
      <c r="G42" s="326"/>
      <c r="H42" s="224">
        <v>81572</v>
      </c>
    </row>
    <row r="43" spans="1:8">
      <c r="A43" s="324" t="s">
        <v>7550</v>
      </c>
      <c r="B43" s="324" t="s">
        <v>7551</v>
      </c>
      <c r="C43" s="324" t="s">
        <v>7552</v>
      </c>
      <c r="D43" s="301" t="s">
        <v>8148</v>
      </c>
      <c r="E43" s="301"/>
      <c r="F43" s="301"/>
      <c r="G43" s="302"/>
      <c r="H43" s="224">
        <v>81610</v>
      </c>
    </row>
    <row r="44" spans="1:8">
      <c r="A44" s="323" t="s">
        <v>7553</v>
      </c>
      <c r="B44" s="323">
        <v>42332</v>
      </c>
      <c r="C44" s="323" t="s">
        <v>7554</v>
      </c>
      <c r="D44" s="301">
        <v>1</v>
      </c>
      <c r="E44" s="301"/>
      <c r="F44" s="301"/>
      <c r="G44" s="302"/>
      <c r="H44" s="224">
        <v>81610</v>
      </c>
    </row>
    <row r="45" spans="1:8">
      <c r="A45" s="323" t="s">
        <v>7553</v>
      </c>
      <c r="B45" s="323">
        <v>23476</v>
      </c>
      <c r="C45" s="323" t="s">
        <v>7554</v>
      </c>
      <c r="D45" s="301">
        <v>1</v>
      </c>
      <c r="E45" s="301"/>
      <c r="F45" s="301"/>
      <c r="G45" s="302"/>
      <c r="H45" s="224">
        <v>81610</v>
      </c>
    </row>
    <row r="46" spans="1:8">
      <c r="A46" s="323" t="s">
        <v>7553</v>
      </c>
      <c r="B46" s="323">
        <v>43623</v>
      </c>
      <c r="C46" s="323" t="s">
        <v>7554</v>
      </c>
      <c r="D46" s="301">
        <v>1</v>
      </c>
      <c r="E46" s="301"/>
      <c r="F46" s="301"/>
      <c r="G46" s="302"/>
      <c r="H46" s="224">
        <v>81610</v>
      </c>
    </row>
    <row r="47" spans="1:8">
      <c r="A47" s="323" t="s">
        <v>7553</v>
      </c>
      <c r="B47" s="323">
        <v>879038</v>
      </c>
      <c r="C47" s="323" t="s">
        <v>7554</v>
      </c>
      <c r="D47" s="301">
        <v>1</v>
      </c>
      <c r="E47" s="301"/>
      <c r="F47" s="301"/>
      <c r="G47" s="302"/>
      <c r="H47" s="224">
        <v>81610</v>
      </c>
    </row>
    <row r="48" spans="1:8">
      <c r="A48" s="323" t="s">
        <v>7553</v>
      </c>
      <c r="B48" s="323">
        <v>2117</v>
      </c>
      <c r="C48" s="323" t="s">
        <v>7554</v>
      </c>
      <c r="D48" s="301">
        <v>1</v>
      </c>
      <c r="E48" s="301"/>
      <c r="F48" s="301"/>
      <c r="G48" s="302"/>
      <c r="H48" s="224">
        <v>81610</v>
      </c>
    </row>
    <row r="49" spans="1:8">
      <c r="A49" s="323" t="s">
        <v>7553</v>
      </c>
      <c r="B49" s="323">
        <v>42904</v>
      </c>
      <c r="C49" s="323" t="s">
        <v>7554</v>
      </c>
      <c r="D49" s="301">
        <v>1</v>
      </c>
      <c r="E49" s="301"/>
      <c r="F49" s="301"/>
      <c r="G49" s="302"/>
      <c r="H49" s="224">
        <v>81610</v>
      </c>
    </row>
    <row r="50" spans="1:8">
      <c r="A50" s="323" t="s">
        <v>7553</v>
      </c>
      <c r="B50" s="323">
        <v>23894</v>
      </c>
      <c r="C50" s="323" t="s">
        <v>7554</v>
      </c>
      <c r="D50" s="301">
        <v>1</v>
      </c>
      <c r="E50" s="301"/>
      <c r="F50" s="301"/>
      <c r="G50" s="302"/>
      <c r="H50" s="224">
        <v>81610</v>
      </c>
    </row>
    <row r="51" spans="1:8">
      <c r="A51" s="323" t="s">
        <v>7555</v>
      </c>
      <c r="B51" s="323" t="s">
        <v>7556</v>
      </c>
      <c r="C51" s="323" t="s">
        <v>7557</v>
      </c>
      <c r="D51" s="301">
        <v>1</v>
      </c>
      <c r="E51" s="301"/>
      <c r="F51" s="301"/>
      <c r="G51" s="302"/>
      <c r="H51" s="224">
        <v>81610</v>
      </c>
    </row>
    <row r="52" spans="1:8">
      <c r="A52" s="323" t="s">
        <v>7555</v>
      </c>
      <c r="B52" s="323" t="s">
        <v>7558</v>
      </c>
      <c r="C52" s="323" t="s">
        <v>7557</v>
      </c>
      <c r="D52" s="301">
        <v>1</v>
      </c>
      <c r="E52" s="301"/>
      <c r="F52" s="301"/>
      <c r="G52" s="302"/>
      <c r="H52" s="224">
        <v>81610</v>
      </c>
    </row>
    <row r="53" spans="1:8">
      <c r="A53" s="323" t="s">
        <v>7555</v>
      </c>
      <c r="B53" s="323" t="s">
        <v>7559</v>
      </c>
      <c r="C53" s="323" t="s">
        <v>7557</v>
      </c>
      <c r="D53" s="301">
        <v>1</v>
      </c>
      <c r="E53" s="301"/>
      <c r="F53" s="301"/>
      <c r="G53" s="302"/>
      <c r="H53" s="224">
        <v>81610</v>
      </c>
    </row>
    <row r="54" spans="1:8">
      <c r="A54" s="323" t="s">
        <v>7560</v>
      </c>
      <c r="B54" s="323" t="s">
        <v>7561</v>
      </c>
      <c r="C54" s="323" t="s">
        <v>7554</v>
      </c>
      <c r="D54" s="301">
        <v>1</v>
      </c>
      <c r="E54" s="301"/>
      <c r="F54" s="301"/>
      <c r="G54" s="302"/>
      <c r="H54" s="224">
        <v>81610</v>
      </c>
    </row>
    <row r="55" spans="1:8">
      <c r="A55" s="323" t="s">
        <v>7560</v>
      </c>
      <c r="B55" s="323" t="s">
        <v>7562</v>
      </c>
      <c r="C55" s="323" t="s">
        <v>7554</v>
      </c>
      <c r="D55" s="301">
        <v>1</v>
      </c>
      <c r="E55" s="301"/>
      <c r="F55" s="301"/>
      <c r="G55" s="302"/>
      <c r="H55" s="224">
        <v>81610</v>
      </c>
    </row>
    <row r="56" spans="1:8">
      <c r="A56" s="323" t="s">
        <v>7563</v>
      </c>
      <c r="B56" s="323" t="s">
        <v>7564</v>
      </c>
      <c r="C56" s="323" t="s">
        <v>7565</v>
      </c>
      <c r="D56" s="301">
        <v>1</v>
      </c>
      <c r="E56" s="301"/>
      <c r="F56" s="301"/>
      <c r="G56" s="302"/>
      <c r="H56" s="224">
        <v>81610</v>
      </c>
    </row>
    <row r="57" spans="1:8">
      <c r="A57" s="323" t="s">
        <v>7566</v>
      </c>
      <c r="B57" s="323" t="s">
        <v>3748</v>
      </c>
      <c r="C57" s="323" t="s">
        <v>7554</v>
      </c>
      <c r="D57" s="301">
        <v>1</v>
      </c>
      <c r="E57" s="301"/>
      <c r="F57" s="301"/>
      <c r="G57" s="302"/>
      <c r="H57" s="224">
        <v>81610</v>
      </c>
    </row>
    <row r="58" spans="1:8">
      <c r="A58" s="323" t="s">
        <v>7567</v>
      </c>
      <c r="B58" s="323">
        <v>32018</v>
      </c>
      <c r="C58" s="323" t="s">
        <v>7568</v>
      </c>
      <c r="D58" s="301">
        <v>1</v>
      </c>
      <c r="E58" s="301"/>
      <c r="F58" s="301"/>
      <c r="G58" s="302"/>
      <c r="H58" s="224">
        <v>81610</v>
      </c>
    </row>
    <row r="59" spans="1:8">
      <c r="A59" s="323" t="s">
        <v>7037</v>
      </c>
      <c r="B59" s="323" t="s">
        <v>7038</v>
      </c>
      <c r="C59" s="323" t="s">
        <v>4267</v>
      </c>
      <c r="D59" s="301" t="s">
        <v>8017</v>
      </c>
      <c r="E59" s="301"/>
      <c r="F59" s="301"/>
      <c r="G59" s="302"/>
    </row>
    <row r="60" spans="1:8">
      <c r="A60" s="323"/>
      <c r="B60" s="323"/>
      <c r="C60" s="323"/>
      <c r="D60" s="301"/>
      <c r="E60" s="301"/>
      <c r="F60" s="301"/>
      <c r="G60" s="302"/>
    </row>
    <row r="61" spans="1:8">
      <c r="A61" s="323" t="s">
        <v>7569</v>
      </c>
      <c r="B61" s="323" t="s">
        <v>6343</v>
      </c>
      <c r="C61" s="323" t="s">
        <v>7570</v>
      </c>
      <c r="D61" s="301">
        <v>1</v>
      </c>
      <c r="E61" s="301"/>
      <c r="F61" s="301"/>
      <c r="G61" s="302"/>
      <c r="H61" s="224">
        <v>81943</v>
      </c>
    </row>
    <row r="62" spans="1:8">
      <c r="A62" s="323" t="s">
        <v>7569</v>
      </c>
      <c r="B62" s="323" t="s">
        <v>6343</v>
      </c>
      <c r="C62" s="323" t="s">
        <v>7571</v>
      </c>
      <c r="D62" s="301">
        <v>1</v>
      </c>
      <c r="E62" s="301"/>
      <c r="F62" s="301"/>
      <c r="G62" s="302"/>
      <c r="H62" s="224">
        <v>81943</v>
      </c>
    </row>
    <row r="63" spans="1:8">
      <c r="A63" s="323" t="s">
        <v>7572</v>
      </c>
      <c r="B63" s="323" t="s">
        <v>6343</v>
      </c>
      <c r="C63" s="323" t="s">
        <v>7573</v>
      </c>
      <c r="D63" s="301">
        <v>1</v>
      </c>
      <c r="E63" s="301"/>
      <c r="F63" s="301"/>
      <c r="G63" s="302"/>
      <c r="H63" s="224">
        <v>81943</v>
      </c>
    </row>
    <row r="64" spans="1:8">
      <c r="A64" s="323" t="s">
        <v>7572</v>
      </c>
      <c r="B64" s="323" t="s">
        <v>6343</v>
      </c>
      <c r="C64" s="323" t="s">
        <v>7574</v>
      </c>
      <c r="D64" s="301">
        <v>1</v>
      </c>
      <c r="E64" s="301"/>
      <c r="F64" s="301"/>
      <c r="G64" s="302"/>
      <c r="H64" s="224">
        <v>81943</v>
      </c>
    </row>
    <row r="65" spans="1:8">
      <c r="A65" s="323" t="s">
        <v>7575</v>
      </c>
      <c r="B65" s="323" t="s">
        <v>7576</v>
      </c>
      <c r="C65" s="323" t="s">
        <v>3748</v>
      </c>
      <c r="D65" s="301">
        <v>3</v>
      </c>
      <c r="E65" s="301"/>
      <c r="F65" s="301"/>
      <c r="G65" s="302"/>
      <c r="H65" s="224">
        <v>81943</v>
      </c>
    </row>
    <row r="66" spans="1:8">
      <c r="A66" s="323" t="s">
        <v>7550</v>
      </c>
      <c r="B66" s="323" t="s">
        <v>7577</v>
      </c>
      <c r="C66" s="323" t="s">
        <v>7552</v>
      </c>
      <c r="D66" s="301">
        <v>1</v>
      </c>
      <c r="E66" s="301"/>
      <c r="F66" s="301"/>
      <c r="G66" s="302"/>
      <c r="H66" s="224">
        <v>81943</v>
      </c>
    </row>
    <row r="67" spans="1:8">
      <c r="A67" s="323" t="s">
        <v>7578</v>
      </c>
      <c r="B67" s="323" t="s">
        <v>7579</v>
      </c>
      <c r="C67" s="323" t="s">
        <v>7580</v>
      </c>
      <c r="D67" s="301">
        <v>2</v>
      </c>
      <c r="E67" s="301"/>
      <c r="F67" s="301"/>
      <c r="G67" s="302"/>
      <c r="H67" s="224">
        <v>81943</v>
      </c>
    </row>
    <row r="68" spans="1:8">
      <c r="A68" s="323" t="s">
        <v>7581</v>
      </c>
      <c r="B68" s="323" t="s">
        <v>7582</v>
      </c>
      <c r="C68" s="323" t="s">
        <v>4607</v>
      </c>
      <c r="D68" s="301">
        <v>1</v>
      </c>
      <c r="E68" s="301"/>
      <c r="F68" s="301"/>
      <c r="G68" s="413" t="s">
        <v>7583</v>
      </c>
      <c r="H68" s="224">
        <v>81943</v>
      </c>
    </row>
    <row r="69" spans="1:8">
      <c r="A69" s="323"/>
      <c r="B69" s="323"/>
      <c r="C69" s="323"/>
      <c r="D69" s="301"/>
      <c r="E69" s="301"/>
      <c r="F69" s="301"/>
      <c r="G69" s="302"/>
    </row>
    <row r="70" spans="1:8">
      <c r="A70" s="323" t="s">
        <v>7584</v>
      </c>
      <c r="B70" s="323" t="s">
        <v>3748</v>
      </c>
      <c r="C70" s="323" t="s">
        <v>7585</v>
      </c>
      <c r="D70" s="301">
        <v>1</v>
      </c>
      <c r="E70" s="301">
        <v>0</v>
      </c>
      <c r="F70" s="301">
        <v>0</v>
      </c>
      <c r="G70" s="302"/>
      <c r="H70" s="224">
        <v>82013</v>
      </c>
    </row>
    <row r="71" spans="1:8">
      <c r="A71" s="323" t="s">
        <v>5553</v>
      </c>
      <c r="B71" s="323">
        <v>14084439</v>
      </c>
      <c r="C71" s="323" t="s">
        <v>7586</v>
      </c>
      <c r="D71" s="301">
        <v>1</v>
      </c>
      <c r="E71" s="301">
        <v>0</v>
      </c>
      <c r="F71" s="301">
        <v>2</v>
      </c>
      <c r="G71" s="302"/>
      <c r="H71" s="224">
        <v>82013</v>
      </c>
    </row>
    <row r="72" spans="1:8">
      <c r="A72" s="323" t="s">
        <v>5356</v>
      </c>
      <c r="B72" s="323">
        <v>26297</v>
      </c>
      <c r="C72" s="323" t="s">
        <v>5572</v>
      </c>
      <c r="D72" s="301">
        <v>1</v>
      </c>
      <c r="E72" s="301">
        <v>1</v>
      </c>
      <c r="F72" s="301">
        <v>1</v>
      </c>
      <c r="G72" s="302"/>
      <c r="H72" s="224">
        <v>82013</v>
      </c>
    </row>
    <row r="73" spans="1:8">
      <c r="A73" s="323" t="s">
        <v>3265</v>
      </c>
      <c r="B73" s="323">
        <v>57193</v>
      </c>
      <c r="C73" s="323" t="s">
        <v>1521</v>
      </c>
      <c r="D73" s="301">
        <v>1</v>
      </c>
      <c r="E73" s="301">
        <v>1</v>
      </c>
      <c r="F73" s="301">
        <v>11</v>
      </c>
      <c r="G73" s="302"/>
      <c r="H73" s="224">
        <v>82013</v>
      </c>
    </row>
    <row r="74" spans="1:8">
      <c r="A74" s="323" t="s">
        <v>7587</v>
      </c>
      <c r="B74" s="323" t="s">
        <v>7588</v>
      </c>
      <c r="C74" s="323" t="s">
        <v>7589</v>
      </c>
      <c r="D74" s="301">
        <v>1</v>
      </c>
      <c r="E74" s="301">
        <v>0</v>
      </c>
      <c r="F74" s="301">
        <v>0</v>
      </c>
      <c r="G74" s="302"/>
      <c r="H74" s="224">
        <v>82013</v>
      </c>
    </row>
    <row r="75" spans="1:8">
      <c r="A75" s="323" t="s">
        <v>7590</v>
      </c>
      <c r="B75" s="323" t="s">
        <v>3748</v>
      </c>
      <c r="C75" s="323" t="s">
        <v>7591</v>
      </c>
      <c r="D75" s="301">
        <v>1</v>
      </c>
      <c r="E75" s="301">
        <v>0</v>
      </c>
      <c r="F75" s="301">
        <v>0</v>
      </c>
      <c r="G75" s="302"/>
      <c r="H75" s="224">
        <v>82013</v>
      </c>
    </row>
    <row r="76" spans="1:8">
      <c r="A76" s="323" t="s">
        <v>4102</v>
      </c>
      <c r="B76" s="323" t="s">
        <v>7592</v>
      </c>
      <c r="C76" s="323" t="s">
        <v>4103</v>
      </c>
      <c r="D76" s="301">
        <v>1</v>
      </c>
      <c r="E76" s="301">
        <v>0</v>
      </c>
      <c r="F76" s="301">
        <v>0</v>
      </c>
      <c r="G76" s="302"/>
      <c r="H76" s="224">
        <v>82013</v>
      </c>
    </row>
    <row r="77" spans="1:8">
      <c r="A77" s="323" t="s">
        <v>7593</v>
      </c>
      <c r="B77" s="323">
        <v>1440</v>
      </c>
      <c r="C77" s="323" t="s">
        <v>7594</v>
      </c>
      <c r="D77" s="301">
        <v>1</v>
      </c>
      <c r="E77" s="301">
        <v>0</v>
      </c>
      <c r="F77" s="301">
        <v>0</v>
      </c>
      <c r="G77" s="302"/>
      <c r="H77" s="224">
        <v>82013</v>
      </c>
    </row>
    <row r="78" spans="1:8">
      <c r="A78" s="323" t="s">
        <v>4742</v>
      </c>
      <c r="B78" s="323">
        <v>3611</v>
      </c>
      <c r="C78" s="323" t="s">
        <v>4690</v>
      </c>
      <c r="D78" s="301">
        <v>1</v>
      </c>
      <c r="E78" s="301">
        <v>1</v>
      </c>
      <c r="F78" s="301">
        <v>5</v>
      </c>
      <c r="G78" s="302"/>
      <c r="H78" s="224">
        <v>82013</v>
      </c>
    </row>
    <row r="79" spans="1:8">
      <c r="A79" s="323" t="s">
        <v>7416</v>
      </c>
      <c r="B79" s="323">
        <v>50990</v>
      </c>
      <c r="C79" s="323" t="s">
        <v>5572</v>
      </c>
      <c r="D79" s="301">
        <v>1</v>
      </c>
      <c r="E79" s="301">
        <v>0</v>
      </c>
      <c r="F79" s="301">
        <v>0</v>
      </c>
      <c r="G79" s="302"/>
      <c r="H79" s="224">
        <v>82013</v>
      </c>
    </row>
    <row r="80" spans="1:8">
      <c r="A80" s="323">
        <v>340545</v>
      </c>
      <c r="B80" s="323" t="s">
        <v>7597</v>
      </c>
      <c r="C80" s="323" t="s">
        <v>207</v>
      </c>
      <c r="D80" s="301">
        <v>1</v>
      </c>
      <c r="E80" s="301">
        <v>3</v>
      </c>
      <c r="F80" s="301">
        <v>4</v>
      </c>
      <c r="G80" s="302"/>
      <c r="H80" s="224">
        <v>82013</v>
      </c>
    </row>
    <row r="81" spans="1:8">
      <c r="A81" s="323" t="s">
        <v>7600</v>
      </c>
      <c r="B81" s="323" t="s">
        <v>3748</v>
      </c>
      <c r="C81" s="323" t="s">
        <v>7601</v>
      </c>
      <c r="D81" s="301">
        <v>1</v>
      </c>
      <c r="E81" s="301">
        <v>0</v>
      </c>
      <c r="F81" s="301">
        <v>0</v>
      </c>
      <c r="G81" s="302"/>
      <c r="H81" s="224">
        <v>82013</v>
      </c>
    </row>
    <row r="82" spans="1:8">
      <c r="A82" s="323" t="s">
        <v>4717</v>
      </c>
      <c r="B82" s="323">
        <v>162504</v>
      </c>
      <c r="C82" s="323" t="s">
        <v>7602</v>
      </c>
      <c r="D82" s="301">
        <v>1</v>
      </c>
      <c r="E82" s="301">
        <v>2</v>
      </c>
      <c r="F82" s="301">
        <v>0</v>
      </c>
      <c r="G82" s="302"/>
      <c r="H82" s="224">
        <v>82013</v>
      </c>
    </row>
    <row r="83" spans="1:8">
      <c r="A83" s="323" t="s">
        <v>7605</v>
      </c>
      <c r="B83" s="323" t="s">
        <v>3748</v>
      </c>
      <c r="C83" s="323" t="s">
        <v>7606</v>
      </c>
      <c r="D83" s="301">
        <v>1</v>
      </c>
      <c r="E83" s="301">
        <v>0</v>
      </c>
      <c r="F83" s="301">
        <v>0</v>
      </c>
      <c r="G83" s="302"/>
      <c r="H83" s="224">
        <v>82013</v>
      </c>
    </row>
    <row r="84" spans="1:8">
      <c r="A84" s="323" t="s">
        <v>3975</v>
      </c>
      <c r="B84" s="323" t="s">
        <v>7607</v>
      </c>
      <c r="C84" s="323" t="s">
        <v>7608</v>
      </c>
      <c r="D84" s="301">
        <v>2</v>
      </c>
      <c r="E84" s="301">
        <v>1</v>
      </c>
      <c r="F84" s="301">
        <v>1</v>
      </c>
      <c r="G84" s="302"/>
      <c r="H84" s="224">
        <v>82013</v>
      </c>
    </row>
    <row r="85" spans="1:8">
      <c r="A85" s="323" t="s">
        <v>4861</v>
      </c>
      <c r="B85" s="323" t="s">
        <v>8132</v>
      </c>
      <c r="C85" s="323" t="s">
        <v>4645</v>
      </c>
      <c r="D85" s="301" t="s">
        <v>8131</v>
      </c>
      <c r="E85" s="301">
        <v>0</v>
      </c>
      <c r="F85" s="301">
        <v>1</v>
      </c>
      <c r="G85" s="302"/>
      <c r="H85" s="224">
        <v>82013</v>
      </c>
    </row>
    <row r="86" spans="1:8">
      <c r="A86" s="323" t="s">
        <v>5428</v>
      </c>
      <c r="B86" s="323" t="s">
        <v>7609</v>
      </c>
      <c r="C86" s="323" t="s">
        <v>4798</v>
      </c>
      <c r="D86" s="301">
        <v>1</v>
      </c>
      <c r="E86" s="301">
        <v>0</v>
      </c>
      <c r="F86" s="301">
        <v>0</v>
      </c>
      <c r="G86" s="302"/>
      <c r="H86" s="224">
        <v>82013</v>
      </c>
    </row>
    <row r="87" spans="1:8">
      <c r="A87" s="323" t="s">
        <v>7610</v>
      </c>
      <c r="B87" s="323" t="s">
        <v>3748</v>
      </c>
      <c r="C87" s="323" t="s">
        <v>3766</v>
      </c>
      <c r="D87" s="301">
        <v>1</v>
      </c>
      <c r="E87" s="301">
        <v>0</v>
      </c>
      <c r="F87" s="301">
        <v>0</v>
      </c>
      <c r="G87" s="302"/>
      <c r="H87" s="224">
        <v>82013</v>
      </c>
    </row>
    <row r="88" spans="1:8">
      <c r="A88" s="323" t="s">
        <v>7611</v>
      </c>
      <c r="B88" s="323" t="s">
        <v>7612</v>
      </c>
      <c r="C88" s="323" t="s">
        <v>7613</v>
      </c>
      <c r="D88" s="301">
        <v>2</v>
      </c>
      <c r="E88" s="301">
        <v>0</v>
      </c>
      <c r="F88" s="301">
        <v>0</v>
      </c>
      <c r="G88" s="302"/>
      <c r="H88" s="224">
        <v>82013</v>
      </c>
    </row>
    <row r="89" spans="1:8">
      <c r="A89" s="323" t="s">
        <v>7614</v>
      </c>
      <c r="B89" s="323" t="s">
        <v>3748</v>
      </c>
      <c r="C89" s="323" t="s">
        <v>7615</v>
      </c>
      <c r="D89" s="301">
        <v>4</v>
      </c>
      <c r="E89" s="301">
        <v>0</v>
      </c>
      <c r="F89" s="301">
        <v>0</v>
      </c>
      <c r="G89" s="302"/>
      <c r="H89" s="224">
        <v>82013</v>
      </c>
    </row>
    <row r="90" spans="1:8">
      <c r="A90" s="323" t="s">
        <v>4012</v>
      </c>
      <c r="B90" s="323" t="s">
        <v>4013</v>
      </c>
      <c r="C90" s="323" t="s">
        <v>7617</v>
      </c>
      <c r="D90" s="301" t="s">
        <v>7618</v>
      </c>
      <c r="E90" s="301">
        <v>0</v>
      </c>
      <c r="F90" s="301">
        <v>0</v>
      </c>
      <c r="G90" s="302"/>
      <c r="H90" s="224">
        <v>82013</v>
      </c>
    </row>
    <row r="91" spans="1:8">
      <c r="A91" s="323" t="s">
        <v>7619</v>
      </c>
      <c r="B91" s="323">
        <v>583662</v>
      </c>
      <c r="C91" s="323" t="s">
        <v>5572</v>
      </c>
      <c r="D91" s="301">
        <v>1</v>
      </c>
      <c r="E91" s="301">
        <v>0</v>
      </c>
      <c r="F91" s="301">
        <v>0</v>
      </c>
      <c r="G91" s="302"/>
      <c r="H91" s="224">
        <v>82013</v>
      </c>
    </row>
    <row r="92" spans="1:8">
      <c r="A92" s="323" t="s">
        <v>7620</v>
      </c>
      <c r="B92" s="323" t="s">
        <v>7621</v>
      </c>
      <c r="C92" s="323" t="s">
        <v>7622</v>
      </c>
      <c r="D92" s="301">
        <v>1</v>
      </c>
      <c r="E92" s="301">
        <v>0</v>
      </c>
      <c r="F92" s="301">
        <v>0</v>
      </c>
      <c r="G92" s="302"/>
      <c r="H92" s="224">
        <v>82013</v>
      </c>
    </row>
    <row r="93" spans="1:8">
      <c r="A93" s="323" t="s">
        <v>4537</v>
      </c>
      <c r="B93" s="323" t="s">
        <v>7623</v>
      </c>
      <c r="C93" s="323" t="s">
        <v>207</v>
      </c>
      <c r="D93" s="301">
        <v>1</v>
      </c>
      <c r="E93" s="301">
        <v>0</v>
      </c>
      <c r="F93" s="301">
        <v>2</v>
      </c>
      <c r="G93" s="302"/>
      <c r="H93" s="224">
        <v>82013</v>
      </c>
    </row>
    <row r="94" spans="1:8">
      <c r="A94" s="323" t="s">
        <v>6082</v>
      </c>
      <c r="B94" s="323">
        <v>6295</v>
      </c>
      <c r="C94" s="323" t="s">
        <v>7624</v>
      </c>
      <c r="D94" s="301">
        <v>1</v>
      </c>
      <c r="E94" s="301">
        <v>0</v>
      </c>
      <c r="F94" s="301">
        <v>2</v>
      </c>
      <c r="G94" s="302"/>
      <c r="H94" s="224">
        <v>82013</v>
      </c>
    </row>
    <row r="95" spans="1:8">
      <c r="A95" s="323" t="s">
        <v>7625</v>
      </c>
      <c r="B95" s="323" t="s">
        <v>7626</v>
      </c>
      <c r="C95" s="323" t="s">
        <v>7627</v>
      </c>
      <c r="D95" s="301">
        <v>1</v>
      </c>
      <c r="E95" s="301">
        <v>0</v>
      </c>
      <c r="F95" s="301">
        <v>0</v>
      </c>
      <c r="G95" s="302"/>
      <c r="H95" s="224">
        <v>82013</v>
      </c>
    </row>
    <row r="96" spans="1:8">
      <c r="A96" s="323" t="s">
        <v>4600</v>
      </c>
      <c r="B96" s="323" t="s">
        <v>7628</v>
      </c>
      <c r="C96" s="323" t="s">
        <v>4629</v>
      </c>
      <c r="D96" s="301">
        <v>3</v>
      </c>
      <c r="E96" s="301">
        <v>1</v>
      </c>
      <c r="F96" s="301">
        <v>4</v>
      </c>
      <c r="G96" s="302"/>
      <c r="H96" s="224">
        <v>82013</v>
      </c>
    </row>
    <row r="97" spans="1:8">
      <c r="A97" s="323" t="s">
        <v>4597</v>
      </c>
      <c r="B97" s="323" t="s">
        <v>7629</v>
      </c>
      <c r="C97" s="323" t="s">
        <v>4629</v>
      </c>
      <c r="D97" s="301" t="s">
        <v>8018</v>
      </c>
      <c r="E97" s="301">
        <v>0</v>
      </c>
      <c r="F97" s="301">
        <v>0</v>
      </c>
      <c r="G97" s="302"/>
      <c r="H97" s="224">
        <v>82013</v>
      </c>
    </row>
    <row r="98" spans="1:8">
      <c r="A98" s="323">
        <v>33900004</v>
      </c>
      <c r="B98" s="323" t="s">
        <v>7630</v>
      </c>
      <c r="C98" s="323" t="s">
        <v>4629</v>
      </c>
      <c r="D98" s="301">
        <v>1</v>
      </c>
      <c r="E98" s="301">
        <v>1</v>
      </c>
      <c r="F98" s="301">
        <v>0</v>
      </c>
      <c r="G98" s="302"/>
      <c r="H98" s="224">
        <v>82013</v>
      </c>
    </row>
    <row r="99" spans="1:8">
      <c r="A99" s="323" t="s">
        <v>7631</v>
      </c>
      <c r="B99" s="323" t="s">
        <v>7632</v>
      </c>
      <c r="C99" s="323" t="s">
        <v>7633</v>
      </c>
      <c r="D99" s="301">
        <v>1</v>
      </c>
      <c r="E99" s="301">
        <v>0</v>
      </c>
      <c r="F99" s="301">
        <v>0</v>
      </c>
      <c r="G99" s="302"/>
      <c r="H99" s="224">
        <v>82013</v>
      </c>
    </row>
    <row r="100" spans="1:8">
      <c r="A100" s="323" t="s">
        <v>7634</v>
      </c>
      <c r="B100" s="323" t="s">
        <v>7635</v>
      </c>
      <c r="C100" s="323" t="s">
        <v>7636</v>
      </c>
      <c r="D100" s="301">
        <v>1</v>
      </c>
      <c r="E100" s="301">
        <v>0</v>
      </c>
      <c r="F100" s="301">
        <v>0</v>
      </c>
      <c r="G100" s="302"/>
      <c r="H100" s="224">
        <v>82013</v>
      </c>
    </row>
    <row r="101" spans="1:8">
      <c r="A101" s="323">
        <v>4579</v>
      </c>
      <c r="B101" s="323" t="s">
        <v>7637</v>
      </c>
      <c r="C101" s="323" t="s">
        <v>1521</v>
      </c>
      <c r="D101" s="301">
        <v>2</v>
      </c>
      <c r="E101" s="301">
        <v>0</v>
      </c>
      <c r="F101" s="301">
        <v>0</v>
      </c>
      <c r="G101" s="302"/>
      <c r="H101" s="224">
        <v>82013</v>
      </c>
    </row>
    <row r="102" spans="1:8">
      <c r="A102" s="323" t="s">
        <v>7638</v>
      </c>
      <c r="B102" s="323">
        <v>504778</v>
      </c>
      <c r="C102" s="323" t="s">
        <v>7639</v>
      </c>
      <c r="D102" s="301">
        <v>1</v>
      </c>
      <c r="E102" s="301">
        <v>0</v>
      </c>
      <c r="F102" s="301">
        <v>0</v>
      </c>
      <c r="G102" s="302"/>
      <c r="H102" s="224">
        <v>82013</v>
      </c>
    </row>
    <row r="103" spans="1:8">
      <c r="A103" s="323" t="s">
        <v>7640</v>
      </c>
      <c r="B103" s="323" t="s">
        <v>7641</v>
      </c>
      <c r="C103" s="323" t="s">
        <v>7642</v>
      </c>
      <c r="D103" s="301">
        <v>2</v>
      </c>
      <c r="E103" s="301">
        <v>0</v>
      </c>
      <c r="F103" s="301">
        <v>0</v>
      </c>
      <c r="G103" s="302"/>
      <c r="H103" s="224">
        <v>82013</v>
      </c>
    </row>
    <row r="104" spans="1:8">
      <c r="A104" s="323" t="s">
        <v>7643</v>
      </c>
      <c r="B104" s="323" t="s">
        <v>7644</v>
      </c>
      <c r="C104" s="323" t="s">
        <v>7642</v>
      </c>
      <c r="D104" s="301">
        <v>2</v>
      </c>
      <c r="E104" s="301">
        <v>2</v>
      </c>
      <c r="F104" s="301">
        <v>0</v>
      </c>
      <c r="G104" s="302"/>
      <c r="H104" s="224">
        <v>82013</v>
      </c>
    </row>
    <row r="105" spans="1:8">
      <c r="A105" s="323" t="s">
        <v>7645</v>
      </c>
      <c r="B105" s="323" t="s">
        <v>6137</v>
      </c>
      <c r="C105" s="323" t="s">
        <v>7646</v>
      </c>
      <c r="D105" s="301">
        <v>2</v>
      </c>
      <c r="E105" s="301">
        <v>0</v>
      </c>
      <c r="F105" s="301">
        <v>0</v>
      </c>
      <c r="G105" s="302"/>
      <c r="H105" s="224">
        <v>82013</v>
      </c>
    </row>
    <row r="106" spans="1:8">
      <c r="A106" s="323" t="s">
        <v>7647</v>
      </c>
      <c r="B106" s="323" t="s">
        <v>3748</v>
      </c>
      <c r="C106" s="323" t="s">
        <v>7648</v>
      </c>
      <c r="D106" s="301">
        <v>1</v>
      </c>
      <c r="E106" s="301">
        <v>0</v>
      </c>
      <c r="F106" s="301">
        <v>0</v>
      </c>
      <c r="G106" s="302"/>
      <c r="H106" s="224">
        <v>82013</v>
      </c>
    </row>
    <row r="107" spans="1:8">
      <c r="A107" s="323" t="s">
        <v>7649</v>
      </c>
      <c r="B107" s="323" t="s">
        <v>3748</v>
      </c>
      <c r="C107" s="323" t="s">
        <v>7648</v>
      </c>
      <c r="D107" s="301">
        <v>1</v>
      </c>
      <c r="E107" s="301">
        <v>0</v>
      </c>
      <c r="F107" s="301">
        <v>0</v>
      </c>
      <c r="G107" s="302"/>
      <c r="H107" s="224">
        <v>82013</v>
      </c>
    </row>
    <row r="108" spans="1:8">
      <c r="A108" s="323" t="s">
        <v>7650</v>
      </c>
      <c r="B108" s="323" t="s">
        <v>3748</v>
      </c>
      <c r="C108" s="323" t="s">
        <v>5529</v>
      </c>
      <c r="D108" s="301">
        <v>1</v>
      </c>
      <c r="E108" s="301">
        <v>0</v>
      </c>
      <c r="F108" s="301">
        <v>0</v>
      </c>
      <c r="G108" s="302"/>
      <c r="H108" s="224">
        <v>82013</v>
      </c>
    </row>
    <row r="109" spans="1:8">
      <c r="A109" s="323" t="s">
        <v>7651</v>
      </c>
      <c r="B109" s="323" t="s">
        <v>3748</v>
      </c>
      <c r="C109" s="323" t="s">
        <v>7652</v>
      </c>
      <c r="D109" s="301">
        <v>1</v>
      </c>
      <c r="E109" s="301">
        <v>0</v>
      </c>
      <c r="F109" s="301">
        <v>0</v>
      </c>
      <c r="G109" s="302"/>
      <c r="H109" s="224">
        <v>82013</v>
      </c>
    </row>
    <row r="110" spans="1:8">
      <c r="A110" s="323" t="s">
        <v>7653</v>
      </c>
      <c r="B110" s="323" t="s">
        <v>3748</v>
      </c>
      <c r="C110" s="323" t="s">
        <v>7654</v>
      </c>
      <c r="D110" s="301">
        <v>1</v>
      </c>
      <c r="E110" s="301">
        <v>0</v>
      </c>
      <c r="F110" s="301">
        <v>0</v>
      </c>
      <c r="G110" s="302"/>
      <c r="H110" s="224">
        <v>82013</v>
      </c>
    </row>
    <row r="111" spans="1:8">
      <c r="A111" s="323" t="s">
        <v>4434</v>
      </c>
      <c r="B111" s="323" t="s">
        <v>8151</v>
      </c>
      <c r="C111" s="323" t="s">
        <v>4436</v>
      </c>
      <c r="D111" s="301" t="s">
        <v>8152</v>
      </c>
      <c r="E111" s="301">
        <v>0</v>
      </c>
      <c r="F111" s="301">
        <v>0</v>
      </c>
      <c r="G111" s="302"/>
      <c r="H111" s="224">
        <v>82013</v>
      </c>
    </row>
    <row r="112" spans="1:8">
      <c r="A112" s="323" t="s">
        <v>4438</v>
      </c>
      <c r="B112" s="323" t="s">
        <v>7655</v>
      </c>
      <c r="C112" s="323" t="s">
        <v>4440</v>
      </c>
      <c r="D112" s="301">
        <v>1</v>
      </c>
      <c r="E112" s="301">
        <v>1</v>
      </c>
      <c r="F112" s="301">
        <v>0</v>
      </c>
      <c r="G112" s="302"/>
      <c r="H112" s="224">
        <v>82013</v>
      </c>
    </row>
    <row r="113" spans="1:8">
      <c r="A113" s="323" t="s">
        <v>5407</v>
      </c>
      <c r="B113" s="323" t="s">
        <v>7656</v>
      </c>
      <c r="C113" s="323" t="s">
        <v>7657</v>
      </c>
      <c r="D113" s="301">
        <v>3</v>
      </c>
      <c r="E113" s="301">
        <v>0</v>
      </c>
      <c r="F113" s="301">
        <v>0</v>
      </c>
      <c r="G113" s="302"/>
      <c r="H113" s="224">
        <v>82013</v>
      </c>
    </row>
    <row r="114" spans="1:8">
      <c r="A114" s="323" t="s">
        <v>5447</v>
      </c>
      <c r="B114" s="323" t="s">
        <v>7658</v>
      </c>
      <c r="C114" s="323" t="s">
        <v>7657</v>
      </c>
      <c r="D114" s="301">
        <v>3</v>
      </c>
      <c r="E114" s="301">
        <v>0</v>
      </c>
      <c r="F114" s="301">
        <v>0</v>
      </c>
      <c r="G114" s="302"/>
      <c r="H114" s="224">
        <v>82013</v>
      </c>
    </row>
    <row r="115" spans="1:8">
      <c r="A115" s="323"/>
      <c r="B115" s="323"/>
      <c r="C115" s="323"/>
      <c r="D115" s="301"/>
      <c r="E115" s="301"/>
      <c r="F115" s="301"/>
      <c r="G115" s="302"/>
    </row>
    <row r="116" spans="1:8">
      <c r="A116" s="323" t="s">
        <v>4729</v>
      </c>
      <c r="B116" s="323" t="s">
        <v>7661</v>
      </c>
      <c r="C116" s="323" t="s">
        <v>4885</v>
      </c>
      <c r="D116" s="301" t="s">
        <v>7662</v>
      </c>
      <c r="E116" s="301"/>
      <c r="F116" s="301"/>
      <c r="G116" s="302"/>
      <c r="H116" s="224">
        <v>82088</v>
      </c>
    </row>
    <row r="117" spans="1:8">
      <c r="A117" s="323" t="s">
        <v>7663</v>
      </c>
      <c r="B117" s="323">
        <v>220177</v>
      </c>
      <c r="C117" s="323" t="s">
        <v>7664</v>
      </c>
      <c r="D117" s="301" t="s">
        <v>7665</v>
      </c>
      <c r="E117" s="301"/>
      <c r="F117" s="301"/>
      <c r="G117" s="302"/>
      <c r="H117" s="224">
        <v>82088</v>
      </c>
    </row>
    <row r="118" spans="1:8">
      <c r="A118" s="323" t="s">
        <v>4861</v>
      </c>
      <c r="B118" s="323">
        <v>15971</v>
      </c>
      <c r="C118" s="323" t="s">
        <v>7666</v>
      </c>
      <c r="D118" s="301"/>
      <c r="E118" s="301"/>
      <c r="F118" s="301"/>
      <c r="G118" s="302"/>
      <c r="H118" s="224">
        <v>82088</v>
      </c>
    </row>
    <row r="119" spans="1:8">
      <c r="A119" s="323" t="s">
        <v>7667</v>
      </c>
      <c r="B119" s="323">
        <v>2342</v>
      </c>
      <c r="C119" s="323" t="s">
        <v>7668</v>
      </c>
      <c r="D119" s="301"/>
      <c r="E119" s="301"/>
      <c r="F119" s="301"/>
      <c r="G119" s="302"/>
      <c r="H119" s="224">
        <v>82088</v>
      </c>
    </row>
    <row r="120" spans="1:8">
      <c r="A120" s="323" t="s">
        <v>7669</v>
      </c>
      <c r="B120" s="323" t="s">
        <v>7670</v>
      </c>
      <c r="C120" s="323" t="s">
        <v>5746</v>
      </c>
      <c r="D120" s="301" t="s">
        <v>7671</v>
      </c>
      <c r="E120" s="301"/>
      <c r="F120" s="301"/>
      <c r="G120" s="302"/>
      <c r="H120" s="224">
        <v>82088</v>
      </c>
    </row>
    <row r="121" spans="1:8">
      <c r="A121" s="323" t="s">
        <v>4537</v>
      </c>
      <c r="B121" s="323" t="s">
        <v>7672</v>
      </c>
      <c r="C121" s="323" t="s">
        <v>207</v>
      </c>
      <c r="D121" s="301"/>
      <c r="E121" s="301"/>
      <c r="F121" s="301"/>
      <c r="G121" s="302"/>
      <c r="H121" s="224">
        <v>82088</v>
      </c>
    </row>
    <row r="122" spans="1:8">
      <c r="A122" s="323" t="s">
        <v>7673</v>
      </c>
      <c r="B122" s="323" t="s">
        <v>7674</v>
      </c>
      <c r="C122" s="323" t="s">
        <v>7675</v>
      </c>
      <c r="D122" s="301" t="s">
        <v>7676</v>
      </c>
      <c r="E122" s="301"/>
      <c r="F122" s="301"/>
      <c r="G122" s="302"/>
      <c r="H122" s="224">
        <v>82088</v>
      </c>
    </row>
    <row r="123" spans="1:8">
      <c r="A123" s="323" t="s">
        <v>5400</v>
      </c>
      <c r="B123" s="323">
        <v>8748</v>
      </c>
      <c r="C123" s="323" t="s">
        <v>6151</v>
      </c>
      <c r="D123" s="301"/>
      <c r="E123" s="301"/>
      <c r="F123" s="301"/>
      <c r="G123" s="302"/>
      <c r="H123" s="224">
        <v>82088</v>
      </c>
    </row>
    <row r="124" spans="1:8">
      <c r="A124" s="323" t="s">
        <v>4620</v>
      </c>
      <c r="B124" s="323">
        <v>668</v>
      </c>
      <c r="C124" s="323" t="s">
        <v>7677</v>
      </c>
      <c r="D124" s="301"/>
      <c r="E124" s="301"/>
      <c r="F124" s="301"/>
      <c r="G124" s="302"/>
      <c r="H124" s="224">
        <v>82088</v>
      </c>
    </row>
    <row r="125" spans="1:8">
      <c r="A125" s="323" t="s">
        <v>3956</v>
      </c>
      <c r="B125" s="323">
        <v>1482</v>
      </c>
      <c r="C125" s="323" t="s">
        <v>6955</v>
      </c>
      <c r="D125" s="301" t="s">
        <v>8001</v>
      </c>
      <c r="E125" s="301"/>
      <c r="F125" s="301"/>
      <c r="G125" s="302"/>
      <c r="H125" s="224">
        <v>82088</v>
      </c>
    </row>
    <row r="126" spans="1:8">
      <c r="A126" s="323" t="s">
        <v>3956</v>
      </c>
      <c r="B126" s="323">
        <v>1253</v>
      </c>
      <c r="C126" s="323" t="s">
        <v>6955</v>
      </c>
      <c r="D126" s="301" t="s">
        <v>8000</v>
      </c>
      <c r="E126" s="301"/>
      <c r="F126" s="301"/>
      <c r="G126" s="302"/>
      <c r="H126" s="224">
        <v>82088</v>
      </c>
    </row>
    <row r="127" spans="1:8">
      <c r="A127" s="323" t="s">
        <v>4849</v>
      </c>
      <c r="B127" s="323" t="s">
        <v>4847</v>
      </c>
      <c r="C127" s="323" t="s">
        <v>4668</v>
      </c>
      <c r="D127" s="301" t="s">
        <v>7680</v>
      </c>
      <c r="E127" s="301"/>
      <c r="F127" s="301"/>
      <c r="G127" s="302"/>
      <c r="H127" s="224">
        <v>82088</v>
      </c>
    </row>
    <row r="128" spans="1:8">
      <c r="A128" s="323" t="s">
        <v>5586</v>
      </c>
      <c r="B128" s="323">
        <v>94431137</v>
      </c>
      <c r="C128" s="323" t="s">
        <v>6102</v>
      </c>
      <c r="D128" s="301" t="s">
        <v>7681</v>
      </c>
      <c r="E128" s="301"/>
      <c r="F128" s="301"/>
      <c r="G128" s="302"/>
      <c r="H128" s="224">
        <v>82088</v>
      </c>
    </row>
    <row r="129" spans="1:8">
      <c r="A129" s="323" t="s">
        <v>7682</v>
      </c>
      <c r="B129" s="323">
        <v>1508328</v>
      </c>
      <c r="C129" s="323" t="s">
        <v>7683</v>
      </c>
      <c r="D129" s="301"/>
      <c r="E129" s="301"/>
      <c r="F129" s="301"/>
      <c r="G129" s="302"/>
      <c r="H129" s="224">
        <v>82088</v>
      </c>
    </row>
    <row r="130" spans="1:8">
      <c r="A130" s="323" t="s">
        <v>7687</v>
      </c>
      <c r="B130" s="323">
        <v>65311</v>
      </c>
      <c r="C130" s="323" t="s">
        <v>7688</v>
      </c>
      <c r="D130" s="301" t="s">
        <v>7689</v>
      </c>
      <c r="E130" s="301"/>
      <c r="F130" s="301"/>
      <c r="G130" s="302"/>
      <c r="H130" s="224">
        <v>82088</v>
      </c>
    </row>
    <row r="131" spans="1:8">
      <c r="A131" s="323" t="s">
        <v>7690</v>
      </c>
      <c r="B131" s="323">
        <v>2461</v>
      </c>
      <c r="C131" s="323" t="s">
        <v>7691</v>
      </c>
      <c r="D131" s="301"/>
      <c r="E131" s="301"/>
      <c r="F131" s="301"/>
      <c r="G131" s="302"/>
      <c r="H131" s="224">
        <v>82088</v>
      </c>
    </row>
    <row r="132" spans="1:8">
      <c r="A132" s="323" t="s">
        <v>3920</v>
      </c>
      <c r="B132" s="323">
        <v>12177</v>
      </c>
      <c r="C132" s="323" t="s">
        <v>7692</v>
      </c>
      <c r="D132" s="301" t="s">
        <v>7693</v>
      </c>
      <c r="E132" s="301"/>
      <c r="F132" s="301"/>
      <c r="G132" s="302"/>
      <c r="H132" s="224">
        <v>82088</v>
      </c>
    </row>
    <row r="133" spans="1:8">
      <c r="A133" s="410" t="s">
        <v>6555</v>
      </c>
      <c r="B133" s="410">
        <v>711</v>
      </c>
      <c r="C133" s="410" t="s">
        <v>7675</v>
      </c>
      <c r="D133" s="411"/>
      <c r="E133" s="411"/>
      <c r="F133" s="411"/>
      <c r="G133" s="412" t="s">
        <v>7694</v>
      </c>
    </row>
    <row r="134" spans="1:8">
      <c r="A134" s="323"/>
      <c r="B134" s="323"/>
      <c r="C134" s="323"/>
      <c r="D134" s="301"/>
      <c r="E134" s="301"/>
      <c r="F134" s="301"/>
      <c r="G134" s="302"/>
    </row>
    <row r="135" spans="1:8">
      <c r="A135" s="323" t="s">
        <v>7826</v>
      </c>
      <c r="B135" s="323">
        <v>12035832</v>
      </c>
      <c r="C135" s="323" t="s">
        <v>3779</v>
      </c>
      <c r="D135" s="301" t="s">
        <v>8002</v>
      </c>
      <c r="E135" s="301"/>
      <c r="F135" s="301"/>
      <c r="G135" s="302"/>
      <c r="H135" s="224">
        <v>82162</v>
      </c>
    </row>
    <row r="136" spans="1:8">
      <c r="A136" s="323" t="s">
        <v>4688</v>
      </c>
      <c r="B136" s="323">
        <v>12141310</v>
      </c>
      <c r="C136" s="323" t="s">
        <v>8007</v>
      </c>
      <c r="D136" s="301" t="s">
        <v>8129</v>
      </c>
      <c r="E136" s="301"/>
      <c r="F136" s="301"/>
      <c r="G136" s="302"/>
      <c r="H136" s="224">
        <v>82181</v>
      </c>
    </row>
    <row r="138" spans="1:8">
      <c r="A138" s="3" t="s">
        <v>6677</v>
      </c>
      <c r="B138" s="33">
        <v>706</v>
      </c>
      <c r="C138" s="3" t="s">
        <v>8024</v>
      </c>
      <c r="D138" s="3"/>
      <c r="E138" s="3"/>
      <c r="F138" s="3"/>
      <c r="G138" s="51"/>
    </row>
    <row r="139" spans="1:8">
      <c r="A139" s="3" t="s">
        <v>4824</v>
      </c>
      <c r="B139" s="33">
        <v>1518</v>
      </c>
      <c r="C139" s="3" t="s">
        <v>6412</v>
      </c>
      <c r="D139" s="3" t="s">
        <v>8046</v>
      </c>
      <c r="E139" s="3"/>
      <c r="F139" s="3"/>
      <c r="G139" s="51"/>
    </row>
    <row r="140" spans="1:8">
      <c r="A140" s="3" t="s">
        <v>4639</v>
      </c>
      <c r="B140" s="33">
        <v>1427</v>
      </c>
      <c r="C140" s="3" t="s">
        <v>8025</v>
      </c>
      <c r="D140" s="3" t="s">
        <v>8146</v>
      </c>
      <c r="E140" s="3"/>
      <c r="F140" s="3"/>
      <c r="G140" s="51"/>
    </row>
    <row r="141" spans="1:8">
      <c r="A141" s="3" t="s">
        <v>8026</v>
      </c>
      <c r="B141" s="33" t="s">
        <v>8027</v>
      </c>
      <c r="C141" s="3" t="s">
        <v>8025</v>
      </c>
      <c r="D141" s="3" t="s">
        <v>8045</v>
      </c>
      <c r="E141" s="3"/>
      <c r="F141" s="3"/>
      <c r="G141" s="51"/>
    </row>
    <row r="142" spans="1:8">
      <c r="A142" s="3" t="s">
        <v>7532</v>
      </c>
      <c r="B142" s="33" t="s">
        <v>5624</v>
      </c>
      <c r="C142" s="3" t="s">
        <v>8028</v>
      </c>
      <c r="D142" s="3"/>
      <c r="E142" s="3"/>
      <c r="F142" s="3"/>
      <c r="G142" s="51"/>
    </row>
    <row r="143" spans="1:8">
      <c r="A143" s="3" t="s">
        <v>7532</v>
      </c>
      <c r="B143" s="33" t="s">
        <v>3748</v>
      </c>
      <c r="C143" s="3" t="s">
        <v>8028</v>
      </c>
      <c r="D143" s="3" t="s">
        <v>8048</v>
      </c>
      <c r="E143" s="3"/>
      <c r="F143" s="3"/>
      <c r="G143" s="51"/>
    </row>
    <row r="144" spans="1:8">
      <c r="A144" s="3" t="s">
        <v>8029</v>
      </c>
      <c r="B144" s="33" t="s">
        <v>8031</v>
      </c>
      <c r="C144" s="3" t="s">
        <v>8030</v>
      </c>
      <c r="D144" s="3"/>
      <c r="E144" s="3"/>
      <c r="F144" s="3"/>
      <c r="G144" s="51"/>
    </row>
    <row r="145" spans="1:4">
      <c r="A145" s="3" t="s">
        <v>5612</v>
      </c>
      <c r="B145" s="3" t="s">
        <v>8044</v>
      </c>
      <c r="C145" s="3" t="s">
        <v>7427</v>
      </c>
      <c r="D145" s="3" t="s">
        <v>8197</v>
      </c>
    </row>
    <row r="146" spans="1:4">
      <c r="A146" s="3" t="s">
        <v>8033</v>
      </c>
      <c r="B146" s="33">
        <v>1031337</v>
      </c>
      <c r="C146" s="3" t="s">
        <v>207</v>
      </c>
      <c r="D146" s="3"/>
    </row>
    <row r="147" spans="1:4">
      <c r="A147" s="3" t="s">
        <v>3883</v>
      </c>
      <c r="B147" s="33" t="s">
        <v>8034</v>
      </c>
      <c r="C147" s="3" t="s">
        <v>3890</v>
      </c>
      <c r="D147" s="3"/>
    </row>
    <row r="148" spans="1:4">
      <c r="A148" s="3" t="s">
        <v>3883</v>
      </c>
      <c r="B148" s="33" t="s">
        <v>8035</v>
      </c>
      <c r="C148" s="3" t="s">
        <v>3890</v>
      </c>
      <c r="D148" s="3"/>
    </row>
    <row r="149" spans="1:4">
      <c r="A149" s="3"/>
      <c r="B149" s="3"/>
      <c r="C149" s="33"/>
      <c r="D149" s="3"/>
    </row>
    <row r="150" spans="1:4">
      <c r="A150" s="3" t="s">
        <v>7366</v>
      </c>
      <c r="B150" s="3">
        <v>2017</v>
      </c>
      <c r="C150" s="33" t="s">
        <v>7539</v>
      </c>
      <c r="D150" s="3" t="s">
        <v>8153</v>
      </c>
    </row>
    <row r="151" spans="1:4">
      <c r="A151" s="3">
        <v>7278100</v>
      </c>
      <c r="B151" s="3">
        <v>1984</v>
      </c>
      <c r="C151" s="33" t="s">
        <v>8084</v>
      </c>
      <c r="D151" s="3"/>
    </row>
    <row r="152" spans="1:4">
      <c r="A152" s="3">
        <v>97980612</v>
      </c>
      <c r="B152" s="3">
        <v>3405</v>
      </c>
      <c r="C152" s="33" t="s">
        <v>8085</v>
      </c>
      <c r="D152" s="3" t="s">
        <v>8116</v>
      </c>
    </row>
    <row r="153" spans="1:4">
      <c r="A153" s="3" t="s">
        <v>8026</v>
      </c>
      <c r="B153" s="3">
        <v>555379</v>
      </c>
      <c r="C153" s="33" t="s">
        <v>8088</v>
      </c>
      <c r="D153" s="3" t="s">
        <v>8123</v>
      </c>
    </row>
    <row r="154" spans="1:4">
      <c r="A154" s="3" t="s">
        <v>7532</v>
      </c>
      <c r="B154" s="3">
        <v>7020</v>
      </c>
      <c r="C154" s="33" t="s">
        <v>8089</v>
      </c>
      <c r="D154" s="3" t="s">
        <v>8122</v>
      </c>
    </row>
    <row r="155" spans="1:4">
      <c r="A155" s="3" t="s">
        <v>4248</v>
      </c>
      <c r="B155" s="3" t="s">
        <v>8090</v>
      </c>
      <c r="C155" s="33" t="s">
        <v>8091</v>
      </c>
      <c r="D155" s="3" t="s">
        <v>8120</v>
      </c>
    </row>
    <row r="156" spans="1:4">
      <c r="A156" s="3" t="s">
        <v>5287</v>
      </c>
      <c r="B156" s="3">
        <v>1088</v>
      </c>
      <c r="C156" s="33" t="s">
        <v>8094</v>
      </c>
      <c r="D156" s="3"/>
    </row>
    <row r="157" spans="1:4">
      <c r="A157" s="3" t="s">
        <v>5538</v>
      </c>
      <c r="B157" s="3" t="s">
        <v>8095</v>
      </c>
      <c r="C157" s="33" t="s">
        <v>1423</v>
      </c>
      <c r="D157" s="3" t="s">
        <v>8124</v>
      </c>
    </row>
    <row r="158" spans="1:4">
      <c r="A158" s="3" t="s">
        <v>8096</v>
      </c>
      <c r="B158" s="3" t="s">
        <v>3748</v>
      </c>
      <c r="C158" s="33" t="s">
        <v>8097</v>
      </c>
      <c r="D158" s="3"/>
    </row>
    <row r="159" spans="1:4">
      <c r="A159" s="3" t="s">
        <v>8098</v>
      </c>
      <c r="B159" s="3">
        <v>22000682</v>
      </c>
      <c r="C159" s="33" t="s">
        <v>8099</v>
      </c>
      <c r="D159" s="3" t="s">
        <v>8115</v>
      </c>
    </row>
    <row r="160" spans="1:4">
      <c r="A160" s="3" t="s">
        <v>4209</v>
      </c>
      <c r="B160" s="3" t="s">
        <v>5714</v>
      </c>
      <c r="C160" s="33" t="s">
        <v>8100</v>
      </c>
      <c r="D160" s="3"/>
    </row>
    <row r="161" spans="1:4">
      <c r="A161" s="3" t="s">
        <v>4209</v>
      </c>
      <c r="B161" s="3" t="s">
        <v>4212</v>
      </c>
      <c r="C161" s="33" t="s">
        <v>8100</v>
      </c>
      <c r="D161" s="3" t="s">
        <v>8182</v>
      </c>
    </row>
    <row r="162" spans="1:4">
      <c r="A162" s="3" t="s">
        <v>4209</v>
      </c>
      <c r="B162" s="3" t="s">
        <v>5513</v>
      </c>
      <c r="C162" s="33" t="s">
        <v>8100</v>
      </c>
      <c r="D162" s="3"/>
    </row>
    <row r="163" spans="1:4">
      <c r="A163" s="3" t="s">
        <v>8101</v>
      </c>
      <c r="B163" s="3" t="s">
        <v>8102</v>
      </c>
      <c r="C163" s="33" t="s">
        <v>5656</v>
      </c>
      <c r="D163" s="3" t="s">
        <v>8118</v>
      </c>
    </row>
    <row r="164" spans="1:4">
      <c r="A164" s="3" t="s">
        <v>4688</v>
      </c>
      <c r="B164" s="3" t="s">
        <v>8103</v>
      </c>
      <c r="C164" s="33" t="s">
        <v>4295</v>
      </c>
      <c r="D164" s="3" t="s">
        <v>8119</v>
      </c>
    </row>
    <row r="165" spans="1:4">
      <c r="A165" s="3" t="s">
        <v>4773</v>
      </c>
      <c r="B165" s="3">
        <v>91041208</v>
      </c>
      <c r="C165" s="33" t="s">
        <v>3862</v>
      </c>
      <c r="D165" s="3" t="s">
        <v>8121</v>
      </c>
    </row>
    <row r="166" spans="1:4">
      <c r="A166" s="3"/>
      <c r="B166" s="3"/>
      <c r="C166" s="33"/>
      <c r="D166" s="3"/>
    </row>
    <row r="167" spans="1:4">
      <c r="A167" s="745" t="s">
        <v>6689</v>
      </c>
      <c r="B167" s="746" t="s">
        <v>7695</v>
      </c>
      <c r="C167" s="747" t="s">
        <v>6691</v>
      </c>
      <c r="D167" s="3" t="s">
        <v>8188</v>
      </c>
    </row>
  </sheetData>
  <autoFilter ref="A3:G136" xr:uid="{27F5D1E4-3AD2-4BBA-9B55-74A2E9C12061}"/>
  <mergeCells count="1">
    <mergeCell ref="B1:C2"/>
  </mergeCells>
  <phoneticPr fontId="1" type="noConversion"/>
  <conditionalFormatting sqref="A7:G7 D17:F1048576">
    <cfRule type="containsText" dxfId="31" priority="1" operator="containsText" text="VENDIDO">
      <formula>NOT(ISERROR(SEARCH("VENDIDO",A7)))</formula>
    </cfRule>
    <cfRule type="containsText" dxfId="30" priority="2" operator="containsText" text="RO">
      <formula>NOT(ISERROR(SEARCH("RO",A7)))</formula>
    </cfRule>
  </conditionalFormatting>
  <conditionalFormatting sqref="D1:F6 D8:F12">
    <cfRule type="containsText" dxfId="29" priority="37" operator="containsText" text="VENDIDO">
      <formula>NOT(ISERROR(SEARCH("VENDIDO",D1)))</formula>
    </cfRule>
    <cfRule type="containsText" dxfId="28" priority="38" operator="containsText" text="RO">
      <formula>NOT(ISERROR(SEARCH("RO",D1)))</formula>
    </cfRule>
  </conditionalFormatting>
  <conditionalFormatting sqref="G1:G6 G8:G12 G17:G1048576 G15">
    <cfRule type="containsText" dxfId="27" priority="32" operator="containsText" text="OK">
      <formula>NOT(ISERROR(SEARCH("OK",G1)))</formula>
    </cfRule>
  </conditionalFormatting>
  <conditionalFormatting sqref="G4:G5">
    <cfRule type="containsText" dxfId="26" priority="30" operator="containsText" text="OK">
      <formula>NOT(ISERROR(SEARCH("OK",G4)))</formula>
    </cfRule>
    <cfRule type="containsText" dxfId="25" priority="31" operator="containsText" text="MISSING">
      <formula>NOT(ISERROR(SEARCH("MISSING",G4)))</formula>
    </cfRule>
  </conditionalFormatting>
  <conditionalFormatting sqref="G9">
    <cfRule type="containsText" dxfId="24" priority="24" operator="containsText" text="OK">
      <formula>NOT(ISERROR(SEARCH("OK",G9)))</formula>
    </cfRule>
    <cfRule type="containsText" dxfId="23" priority="25" operator="containsText" text="MISSING">
      <formula>NOT(ISERROR(SEARCH("MISSING",G9)))</formula>
    </cfRule>
  </conditionalFormatting>
  <conditionalFormatting sqref="G11:G12">
    <cfRule type="containsText" dxfId="22" priority="21" operator="containsText" text="OK">
      <formula>NOT(ISERROR(SEARCH("OK",G11)))</formula>
    </cfRule>
    <cfRule type="containsText" dxfId="21" priority="22" operator="containsText" text="MISSING">
      <formula>NOT(ISERROR(SEARCH("MISSING",G11)))</formula>
    </cfRule>
  </conditionalFormatting>
  <conditionalFormatting sqref="G17:G18">
    <cfRule type="containsText" dxfId="20" priority="15" operator="containsText" text="OK">
      <formula>NOT(ISERROR(SEARCH("OK",G17)))</formula>
    </cfRule>
    <cfRule type="containsText" dxfId="19" priority="16" operator="containsText" text="MISSING">
      <formula>NOT(ISERROR(SEARCH("MISSING",G17)))</formula>
    </cfRule>
  </conditionalFormatting>
  <conditionalFormatting sqref="G20">
    <cfRule type="containsText" dxfId="18" priority="12" operator="containsText" text="OK">
      <formula>NOT(ISERROR(SEARCH("OK",G20)))</formula>
    </cfRule>
    <cfRule type="containsText" dxfId="17" priority="13" operator="containsText" text="MISSING">
      <formula>NOT(ISERROR(SEARCH("MISSING",G20)))</formula>
    </cfRule>
  </conditionalFormatting>
  <pageMargins left="0.25" right="0.25" top="0.75" bottom="0.75" header="0.3" footer="0.3"/>
  <pageSetup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7CAC-8D6E-4147-AEB2-1B1B23FE93E9}">
  <sheetPr>
    <tabColor rgb="FFFFC000"/>
  </sheetPr>
  <dimension ref="A1:O41"/>
  <sheetViews>
    <sheetView workbookViewId="0">
      <pane ySplit="3" topLeftCell="A4" activePane="bottomLeft" state="frozen"/>
      <selection activeCell="M1001" sqref="M1001"/>
      <selection pane="bottomLeft" activeCell="A13" sqref="A13"/>
    </sheetView>
  </sheetViews>
  <sheetFormatPr defaultRowHeight="14.4"/>
  <cols>
    <col min="1" max="2" width="23.33203125" customWidth="1"/>
    <col min="3" max="3" width="26.33203125" customWidth="1"/>
    <col min="4" max="4" width="11.109375" customWidth="1"/>
    <col min="5" max="5" width="8.5546875" style="26" customWidth="1"/>
    <col min="6" max="6" width="8.44140625" style="26" customWidth="1"/>
    <col min="7" max="7" width="11.109375" style="224" customWidth="1"/>
    <col min="8" max="8" width="18.33203125" customWidth="1"/>
    <col min="9" max="9" width="20.33203125" customWidth="1"/>
    <col min="10" max="10" width="21.109375" customWidth="1"/>
  </cols>
  <sheetData>
    <row r="1" spans="1:15" ht="15" customHeight="1">
      <c r="B1" s="752" t="s">
        <v>7696</v>
      </c>
      <c r="C1" s="752"/>
      <c r="I1" s="752"/>
      <c r="J1" s="752"/>
      <c r="L1" s="26"/>
      <c r="M1" s="26"/>
    </row>
    <row r="2" spans="1:15" ht="15" customHeight="1">
      <c r="B2" s="753"/>
      <c r="C2" s="753"/>
      <c r="I2" s="752"/>
      <c r="J2" s="752"/>
      <c r="L2" s="26"/>
      <c r="M2" s="26"/>
    </row>
    <row r="3" spans="1:15" s="1" customFormat="1" ht="12" customHeight="1">
      <c r="A3" s="39" t="s">
        <v>5804</v>
      </c>
      <c r="B3" s="39" t="s">
        <v>3740</v>
      </c>
      <c r="C3" s="36" t="s">
        <v>3741</v>
      </c>
      <c r="D3" s="36" t="s">
        <v>3742</v>
      </c>
      <c r="E3" s="37" t="s">
        <v>5805</v>
      </c>
      <c r="F3" s="37" t="s">
        <v>6643</v>
      </c>
      <c r="G3" s="229" t="s">
        <v>7346</v>
      </c>
      <c r="H3" s="396"/>
      <c r="I3" s="396"/>
      <c r="J3" s="396"/>
      <c r="K3" s="396"/>
      <c r="L3" s="397"/>
      <c r="M3" s="397"/>
    </row>
    <row r="4" spans="1:15">
      <c r="A4" s="7" t="s">
        <v>4776</v>
      </c>
      <c r="B4" s="7">
        <v>5649</v>
      </c>
      <c r="C4" s="10" t="s">
        <v>4103</v>
      </c>
      <c r="D4" s="10">
        <v>1</v>
      </c>
      <c r="E4" s="12">
        <v>1</v>
      </c>
      <c r="F4" s="12"/>
      <c r="G4" s="224">
        <v>81179</v>
      </c>
      <c r="M4" s="398"/>
      <c r="N4" s="256"/>
    </row>
    <row r="5" spans="1:15">
      <c r="A5" s="348" t="s">
        <v>4486</v>
      </c>
      <c r="B5" s="7">
        <v>12289</v>
      </c>
      <c r="C5" s="10" t="s">
        <v>690</v>
      </c>
      <c r="D5" s="10">
        <v>1</v>
      </c>
      <c r="E5" s="12">
        <v>2</v>
      </c>
      <c r="F5" s="12"/>
      <c r="H5" s="256"/>
      <c r="I5" s="256"/>
      <c r="J5" s="256"/>
      <c r="K5" s="256"/>
      <c r="L5" s="398"/>
      <c r="M5" s="398"/>
    </row>
    <row r="6" spans="1:15">
      <c r="A6" s="7" t="s">
        <v>7697</v>
      </c>
      <c r="B6" s="9">
        <v>13203859</v>
      </c>
      <c r="C6" s="10" t="s">
        <v>7698</v>
      </c>
      <c r="D6" s="10">
        <v>1</v>
      </c>
      <c r="E6" s="12">
        <v>0</v>
      </c>
      <c r="F6" s="12"/>
      <c r="H6" s="256"/>
      <c r="I6" s="256"/>
      <c r="J6" s="256"/>
      <c r="K6" s="256"/>
      <c r="L6" s="398"/>
      <c r="M6" s="398"/>
      <c r="O6" t="s">
        <v>3769</v>
      </c>
    </row>
    <row r="7" spans="1:15">
      <c r="A7" s="7" t="s">
        <v>7699</v>
      </c>
      <c r="B7" s="7" t="s">
        <v>7700</v>
      </c>
      <c r="C7" s="10" t="s">
        <v>7701</v>
      </c>
      <c r="D7" s="10">
        <v>1</v>
      </c>
      <c r="E7" s="12">
        <v>0</v>
      </c>
      <c r="F7" s="12"/>
      <c r="H7" s="256"/>
      <c r="I7" s="256"/>
      <c r="J7" s="256"/>
      <c r="K7" s="256"/>
      <c r="L7" s="398"/>
      <c r="M7" s="398"/>
    </row>
    <row r="8" spans="1:15">
      <c r="A8" s="7" t="s">
        <v>7702</v>
      </c>
      <c r="B8" s="7" t="s">
        <v>3748</v>
      </c>
      <c r="C8" s="10" t="s">
        <v>3871</v>
      </c>
      <c r="D8" s="10"/>
      <c r="E8" s="12">
        <v>0</v>
      </c>
      <c r="F8" s="12"/>
      <c r="H8" s="256"/>
      <c r="I8" s="256"/>
      <c r="J8" s="256"/>
      <c r="K8" s="256"/>
      <c r="L8" s="398"/>
      <c r="M8" s="398"/>
    </row>
    <row r="9" spans="1:15">
      <c r="A9" s="7" t="s">
        <v>7703</v>
      </c>
      <c r="B9" s="7">
        <v>971</v>
      </c>
      <c r="C9" s="10" t="s">
        <v>7704</v>
      </c>
      <c r="D9" s="10">
        <v>1</v>
      </c>
      <c r="E9" s="12">
        <v>0</v>
      </c>
      <c r="F9" s="12"/>
      <c r="H9" s="256"/>
      <c r="I9" s="256"/>
      <c r="J9" s="256"/>
      <c r="K9" s="256"/>
      <c r="L9" s="398"/>
      <c r="M9" s="398"/>
    </row>
    <row r="10" spans="1:15">
      <c r="A10" s="7" t="s">
        <v>6313</v>
      </c>
      <c r="B10" s="7" t="s">
        <v>7705</v>
      </c>
      <c r="C10" s="10" t="s">
        <v>418</v>
      </c>
      <c r="D10" s="10" t="s">
        <v>8006</v>
      </c>
      <c r="E10" s="12">
        <v>0</v>
      </c>
      <c r="F10" s="12"/>
      <c r="H10" s="256"/>
      <c r="I10" s="256"/>
      <c r="J10" s="256"/>
      <c r="K10" s="256"/>
      <c r="L10" s="398"/>
      <c r="M10" s="398"/>
    </row>
    <row r="11" spans="1:15">
      <c r="A11" s="7" t="s">
        <v>7706</v>
      </c>
      <c r="B11" s="7" t="s">
        <v>7707</v>
      </c>
      <c r="C11" s="10" t="s">
        <v>6360</v>
      </c>
      <c r="D11" s="10">
        <v>1</v>
      </c>
      <c r="E11" s="12">
        <v>0</v>
      </c>
      <c r="F11" s="12"/>
      <c r="G11" s="231"/>
      <c r="M11" s="398"/>
    </row>
    <row r="12" spans="1:15">
      <c r="A12" s="7" t="s">
        <v>7708</v>
      </c>
      <c r="B12" s="7" t="s">
        <v>3748</v>
      </c>
      <c r="C12" s="10" t="s">
        <v>1030</v>
      </c>
      <c r="D12" s="175">
        <v>1</v>
      </c>
      <c r="E12" s="12">
        <v>0</v>
      </c>
      <c r="F12" s="12"/>
      <c r="G12" s="231"/>
      <c r="M12" s="398"/>
    </row>
    <row r="13" spans="1:15">
      <c r="A13" s="348" t="s">
        <v>7541</v>
      </c>
      <c r="B13" s="7" t="s">
        <v>7709</v>
      </c>
      <c r="C13" s="10" t="s">
        <v>7710</v>
      </c>
      <c r="D13" s="10">
        <v>1</v>
      </c>
      <c r="E13" s="12">
        <v>0</v>
      </c>
      <c r="F13" s="12"/>
      <c r="M13" s="398"/>
    </row>
    <row r="14" spans="1:15">
      <c r="A14" s="7" t="s">
        <v>7711</v>
      </c>
      <c r="B14" s="7" t="s">
        <v>7712</v>
      </c>
      <c r="C14" s="10" t="s">
        <v>4390</v>
      </c>
      <c r="D14" s="10" t="s">
        <v>8114</v>
      </c>
      <c r="E14" s="12">
        <v>0</v>
      </c>
      <c r="F14" s="12" t="s">
        <v>7713</v>
      </c>
      <c r="G14" s="231"/>
      <c r="L14" s="398"/>
      <c r="M14" s="398"/>
    </row>
    <row r="15" spans="1:15">
      <c r="A15" s="7"/>
      <c r="B15" s="7"/>
      <c r="C15" s="10"/>
      <c r="D15" s="10"/>
      <c r="E15" s="12"/>
      <c r="F15" s="12"/>
      <c r="G15" s="231"/>
      <c r="L15" s="398"/>
      <c r="M15" s="398"/>
    </row>
    <row r="16" spans="1:15">
      <c r="A16" s="7" t="s">
        <v>7714</v>
      </c>
      <c r="B16" s="7" t="s">
        <v>7715</v>
      </c>
      <c r="C16" s="10" t="s">
        <v>4436</v>
      </c>
      <c r="D16" s="10"/>
      <c r="E16" s="12">
        <v>0</v>
      </c>
      <c r="F16" s="12" t="s">
        <v>7713</v>
      </c>
      <c r="G16" s="231"/>
      <c r="M16" s="398"/>
    </row>
    <row r="17" spans="1:7">
      <c r="A17" s="7" t="s">
        <v>5436</v>
      </c>
      <c r="B17" s="7">
        <v>46028</v>
      </c>
      <c r="C17" s="10" t="s">
        <v>5572</v>
      </c>
      <c r="D17" s="10">
        <v>1</v>
      </c>
      <c r="E17" s="12">
        <v>0</v>
      </c>
      <c r="F17" s="12"/>
      <c r="G17" s="231"/>
    </row>
    <row r="18" spans="1:7">
      <c r="A18" s="336" t="s">
        <v>7716</v>
      </c>
      <c r="B18" s="7" t="s">
        <v>3748</v>
      </c>
      <c r="C18" s="10" t="s">
        <v>7717</v>
      </c>
      <c r="D18" s="10">
        <v>1</v>
      </c>
      <c r="E18" s="12">
        <v>0</v>
      </c>
      <c r="F18" s="12"/>
      <c r="G18" s="395"/>
    </row>
    <row r="19" spans="1:7">
      <c r="A19" s="346" t="s">
        <v>3265</v>
      </c>
      <c r="B19" s="255" t="s">
        <v>7718</v>
      </c>
      <c r="C19" s="166" t="s">
        <v>1521</v>
      </c>
      <c r="D19" s="166">
        <v>1</v>
      </c>
      <c r="E19" s="166">
        <v>1</v>
      </c>
      <c r="F19" s="12"/>
    </row>
    <row r="24" spans="1:7">
      <c r="B24" s="752" t="s">
        <v>7719</v>
      </c>
      <c r="C24" s="752"/>
      <c r="G24"/>
    </row>
    <row r="25" spans="1:7">
      <c r="B25" s="753"/>
      <c r="C25" s="753"/>
      <c r="G25"/>
    </row>
    <row r="26" spans="1:7" ht="28.8">
      <c r="A26" s="39" t="s">
        <v>5804</v>
      </c>
      <c r="B26" s="39" t="s">
        <v>3740</v>
      </c>
      <c r="C26" s="36" t="s">
        <v>3741</v>
      </c>
      <c r="D26" s="36" t="s">
        <v>3742</v>
      </c>
      <c r="E26" s="37" t="s">
        <v>5805</v>
      </c>
      <c r="F26" s="37" t="s">
        <v>6643</v>
      </c>
      <c r="G26" s="1" t="s">
        <v>7346</v>
      </c>
    </row>
    <row r="27" spans="1:7">
      <c r="E27"/>
      <c r="F27" s="12"/>
      <c r="G27" s="260">
        <v>81188</v>
      </c>
    </row>
    <row r="28" spans="1:7">
      <c r="A28" s="349" t="s">
        <v>7720</v>
      </c>
      <c r="B28" s="4" t="s">
        <v>7721</v>
      </c>
      <c r="C28" s="2" t="s">
        <v>207</v>
      </c>
      <c r="D28" s="2">
        <v>1</v>
      </c>
      <c r="E28" s="12">
        <v>0</v>
      </c>
      <c r="F28" s="12"/>
      <c r="G28"/>
    </row>
    <row r="29" spans="1:7">
      <c r="E29"/>
      <c r="F29" s="12"/>
      <c r="G29"/>
    </row>
    <row r="30" spans="1:7">
      <c r="A30" s="7" t="s">
        <v>7722</v>
      </c>
      <c r="B30" s="7" t="s">
        <v>7723</v>
      </c>
      <c r="C30" s="10" t="s">
        <v>7724</v>
      </c>
      <c r="D30" s="10">
        <v>1</v>
      </c>
      <c r="E30" s="12">
        <v>0</v>
      </c>
      <c r="F30" s="12"/>
      <c r="G30"/>
    </row>
    <row r="31" spans="1:7">
      <c r="A31" s="7" t="s">
        <v>7725</v>
      </c>
      <c r="B31" s="7" t="s">
        <v>3748</v>
      </c>
      <c r="C31" s="10" t="s">
        <v>7726</v>
      </c>
      <c r="D31" s="10">
        <v>1</v>
      </c>
      <c r="E31" s="12">
        <v>0</v>
      </c>
      <c r="F31" s="12"/>
      <c r="G31"/>
    </row>
    <row r="32" spans="1:7">
      <c r="A32" s="7" t="s">
        <v>7727</v>
      </c>
      <c r="B32" s="7" t="s">
        <v>7728</v>
      </c>
      <c r="C32" s="10" t="s">
        <v>7729</v>
      </c>
      <c r="D32" s="10">
        <v>1</v>
      </c>
      <c r="E32" s="12">
        <v>0</v>
      </c>
      <c r="F32" s="12"/>
      <c r="G32"/>
    </row>
    <row r="33" spans="1:5">
      <c r="A33" s="7" t="s">
        <v>7730</v>
      </c>
      <c r="B33" s="7" t="s">
        <v>7731</v>
      </c>
      <c r="C33" s="10" t="s">
        <v>7732</v>
      </c>
      <c r="D33" s="10">
        <v>1</v>
      </c>
      <c r="E33" s="12">
        <v>0</v>
      </c>
    </row>
    <row r="34" spans="1:5">
      <c r="A34" s="7" t="s">
        <v>7733</v>
      </c>
      <c r="B34" s="7" t="s">
        <v>7734</v>
      </c>
      <c r="C34" s="10" t="s">
        <v>4645</v>
      </c>
      <c r="D34" s="10">
        <v>1</v>
      </c>
      <c r="E34" s="12">
        <v>0</v>
      </c>
    </row>
    <row r="35" spans="1:5">
      <c r="A35" s="362" t="s">
        <v>7735</v>
      </c>
      <c r="B35" s="7" t="s">
        <v>7736</v>
      </c>
      <c r="C35" s="10" t="s">
        <v>4657</v>
      </c>
      <c r="D35" s="10">
        <v>2</v>
      </c>
      <c r="E35" s="12">
        <v>0</v>
      </c>
    </row>
    <row r="36" spans="1:5">
      <c r="A36" s="7" t="s">
        <v>7737</v>
      </c>
      <c r="B36" s="7" t="s">
        <v>3748</v>
      </c>
      <c r="C36" s="10" t="s">
        <v>1882</v>
      </c>
      <c r="D36" s="10">
        <v>1</v>
      </c>
      <c r="E36" s="12">
        <v>0</v>
      </c>
    </row>
    <row r="37" spans="1:5">
      <c r="A37" s="7">
        <v>567618</v>
      </c>
      <c r="B37" s="7" t="s">
        <v>3748</v>
      </c>
      <c r="C37" s="10" t="s">
        <v>2238</v>
      </c>
      <c r="D37" s="10">
        <v>1</v>
      </c>
      <c r="E37" s="12">
        <v>0</v>
      </c>
    </row>
    <row r="38" spans="1:5">
      <c r="A38" s="7" t="s">
        <v>7738</v>
      </c>
      <c r="B38" s="7" t="s">
        <v>7739</v>
      </c>
      <c r="C38" s="10" t="s">
        <v>4095</v>
      </c>
      <c r="D38" s="10">
        <v>1</v>
      </c>
      <c r="E38" s="12">
        <v>0</v>
      </c>
    </row>
    <row r="39" spans="1:5">
      <c r="A39" s="257" t="s">
        <v>7740</v>
      </c>
      <c r="B39" s="255" t="s">
        <v>7741</v>
      </c>
      <c r="C39" s="166" t="s">
        <v>640</v>
      </c>
      <c r="D39" s="166">
        <v>1</v>
      </c>
      <c r="E39" s="166">
        <v>0</v>
      </c>
    </row>
    <row r="40" spans="1:5">
      <c r="A40" s="370" t="s">
        <v>7742</v>
      </c>
      <c r="B40" s="255" t="s">
        <v>7743</v>
      </c>
      <c r="C40" s="166" t="s">
        <v>7744</v>
      </c>
      <c r="D40" s="166">
        <v>1</v>
      </c>
      <c r="E40" s="166">
        <v>0</v>
      </c>
    </row>
    <row r="41" spans="1:5">
      <c r="A41" s="162" t="s">
        <v>7745</v>
      </c>
      <c r="B41" s="162" t="s">
        <v>7746</v>
      </c>
      <c r="C41" s="166" t="s">
        <v>7747</v>
      </c>
      <c r="D41" s="166">
        <v>2</v>
      </c>
      <c r="E41" s="166">
        <v>0</v>
      </c>
    </row>
  </sheetData>
  <mergeCells count="3">
    <mergeCell ref="B1:C2"/>
    <mergeCell ref="I1:J2"/>
    <mergeCell ref="B24:C25"/>
  </mergeCells>
  <phoneticPr fontId="1" type="noConversion"/>
  <conditionalFormatting sqref="D1:D26 G27 D28 D30:D1048576">
    <cfRule type="containsText" dxfId="16" priority="5" operator="containsText" text="RO">
      <formula>NOT(ISERROR(SEARCH("RO",D1)))</formula>
    </cfRule>
  </conditionalFormatting>
  <conditionalFormatting sqref="E1:E26 E28 E30:E1048576">
    <cfRule type="containsText" dxfId="15" priority="1" operator="containsText" text="4">
      <formula>NOT(ISERROR(SEARCH("4",E1)))</formula>
    </cfRule>
    <cfRule type="containsText" dxfId="14" priority="2" operator="containsText" text="3">
      <formula>NOT(ISERROR(SEARCH("3",E1)))</formula>
    </cfRule>
    <cfRule type="containsText" dxfId="13" priority="3" operator="containsText" text="2">
      <formula>NOT(ISERROR(SEARCH("2",E1)))</formula>
    </cfRule>
    <cfRule type="containsText" dxfId="12" priority="4" operator="containsText" text="1">
      <formula>NOT(ISERROR(SEARCH("1",E1)))</formula>
    </cfRule>
  </conditionalFormatting>
  <conditionalFormatting sqref="K1:K3 N4">
    <cfRule type="containsText" dxfId="11" priority="10" operator="containsText" text="RO">
      <formula>NOT(ISERROR(SEARCH("RO",K1)))</formula>
    </cfRule>
  </conditionalFormatting>
  <conditionalFormatting sqref="K5:K10 K19:K20">
    <cfRule type="containsText" dxfId="10" priority="15" operator="containsText" text="RO">
      <formula>NOT(ISERROR(SEARCH("RO",K5)))</formula>
    </cfRule>
  </conditionalFormatting>
  <conditionalFormatting sqref="L1:L3 L14:L15">
    <cfRule type="containsText" dxfId="9" priority="6" operator="containsText" text="4">
      <formula>NOT(ISERROR(SEARCH("4",L1)))</formula>
    </cfRule>
    <cfRule type="containsText" dxfId="8" priority="7" operator="containsText" text="3">
      <formula>NOT(ISERROR(SEARCH("3",L1)))</formula>
    </cfRule>
    <cfRule type="containsText" dxfId="7" priority="8" operator="containsText" text="2">
      <formula>NOT(ISERROR(SEARCH("2",L1)))</formula>
    </cfRule>
    <cfRule type="containsText" dxfId="6" priority="9" operator="containsText" text="1">
      <formula>NOT(ISERROR(SEARCH("1",L1)))</formula>
    </cfRule>
  </conditionalFormatting>
  <conditionalFormatting sqref="L5:L10 L19:L20">
    <cfRule type="containsText" dxfId="5" priority="11" operator="containsText" text="4">
      <formula>NOT(ISERROR(SEARCH("4",L5)))</formula>
    </cfRule>
    <cfRule type="containsText" dxfId="4" priority="12" operator="containsText" text="3">
      <formula>NOT(ISERROR(SEARCH("3",L5)))</formula>
    </cfRule>
    <cfRule type="containsText" dxfId="3" priority="13" operator="containsText" text="2">
      <formula>NOT(ISERROR(SEARCH("2",L5)))</formula>
    </cfRule>
    <cfRule type="containsText" dxfId="2" priority="14" operator="containsText" text="1">
      <formula>NOT(ISERROR(SEARCH("1",L5)))</formula>
    </cfRule>
  </conditionalFormatting>
  <pageMargins left="0.25" right="0.25" top="0.75" bottom="0.75" header="0.3" footer="0.3"/>
  <pageSetup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2B40-FEF2-4E1A-A70F-87A9D7229662}">
  <sheetPr>
    <tabColor rgb="FFFFC000"/>
  </sheetPr>
  <dimension ref="A1:O76"/>
  <sheetViews>
    <sheetView workbookViewId="0">
      <pane ySplit="3" topLeftCell="A48" activePane="bottomLeft" state="frozen"/>
      <selection activeCell="M1001" sqref="M1001"/>
      <selection pane="bottomLeft" activeCell="A66" sqref="A66:C66"/>
    </sheetView>
  </sheetViews>
  <sheetFormatPr defaultRowHeight="14.4"/>
  <cols>
    <col min="1" max="1" width="28" customWidth="1"/>
    <col min="2" max="2" width="23.33203125" customWidth="1"/>
    <col min="3" max="3" width="31.33203125" customWidth="1"/>
    <col min="4" max="4" width="11.109375" customWidth="1"/>
    <col min="5" max="5" width="10.44140625" style="283" customWidth="1"/>
    <col min="6" max="6" width="11.109375" style="224" customWidth="1"/>
    <col min="7" max="7" width="9.109375" style="6"/>
  </cols>
  <sheetData>
    <row r="1" spans="1:15">
      <c r="B1" s="752" t="s">
        <v>7748</v>
      </c>
      <c r="C1" s="752"/>
    </row>
    <row r="2" spans="1:15">
      <c r="B2" s="753"/>
      <c r="C2" s="753"/>
    </row>
    <row r="3" spans="1:15" s="1" customFormat="1" ht="12" customHeight="1">
      <c r="A3" s="39" t="s">
        <v>5804</v>
      </c>
      <c r="B3" s="39" t="s">
        <v>3740</v>
      </c>
      <c r="C3" s="36" t="s">
        <v>3741</v>
      </c>
      <c r="D3" s="36" t="s">
        <v>3742</v>
      </c>
      <c r="E3" s="37" t="s">
        <v>7749</v>
      </c>
      <c r="F3" s="229"/>
      <c r="G3" s="54"/>
    </row>
    <row r="4" spans="1:15">
      <c r="A4" s="7" t="s">
        <v>7750</v>
      </c>
      <c r="B4" s="7" t="s">
        <v>7751</v>
      </c>
      <c r="C4" s="10" t="s">
        <v>207</v>
      </c>
      <c r="D4" s="10">
        <v>1</v>
      </c>
      <c r="E4" s="30"/>
      <c r="F4" s="224">
        <v>81273</v>
      </c>
      <c r="G4" s="153"/>
    </row>
    <row r="5" spans="1:15">
      <c r="A5" s="348" t="s">
        <v>7752</v>
      </c>
      <c r="B5" s="7">
        <v>18636</v>
      </c>
      <c r="C5" s="10" t="s">
        <v>7753</v>
      </c>
      <c r="D5" s="10">
        <v>1</v>
      </c>
      <c r="E5" s="30"/>
      <c r="F5" s="224">
        <v>81273</v>
      </c>
      <c r="G5" s="153"/>
    </row>
    <row r="6" spans="1:15">
      <c r="A6" s="348" t="s">
        <v>7754</v>
      </c>
      <c r="B6" s="9" t="s">
        <v>7755</v>
      </c>
      <c r="C6" s="10" t="s">
        <v>7753</v>
      </c>
      <c r="D6" s="10">
        <v>1</v>
      </c>
      <c r="E6" s="30"/>
      <c r="F6" s="224">
        <v>81273</v>
      </c>
      <c r="O6" t="s">
        <v>3769</v>
      </c>
    </row>
    <row r="7" spans="1:15">
      <c r="A7" s="279">
        <v>2730426</v>
      </c>
      <c r="B7" s="280">
        <v>1569</v>
      </c>
      <c r="C7" s="281" t="s">
        <v>207</v>
      </c>
      <c r="D7" s="281">
        <v>0</v>
      </c>
      <c r="E7" s="284" t="s">
        <v>7756</v>
      </c>
      <c r="F7" s="224">
        <v>81273</v>
      </c>
    </row>
    <row r="8" spans="1:15">
      <c r="A8" s="7">
        <v>2630426</v>
      </c>
      <c r="B8" s="9" t="s">
        <v>7757</v>
      </c>
      <c r="C8" s="10" t="s">
        <v>207</v>
      </c>
      <c r="D8" s="10">
        <v>1</v>
      </c>
      <c r="E8" s="30"/>
      <c r="F8" s="224">
        <v>81273</v>
      </c>
    </row>
    <row r="9" spans="1:15">
      <c r="A9" s="10" t="s">
        <v>7758</v>
      </c>
      <c r="B9" s="10" t="s">
        <v>7759</v>
      </c>
      <c r="C9" s="10" t="s">
        <v>4645</v>
      </c>
      <c r="D9" s="10">
        <v>1</v>
      </c>
      <c r="E9" s="30" t="s">
        <v>7760</v>
      </c>
      <c r="F9" s="224">
        <v>81273</v>
      </c>
    </row>
    <row r="10" spans="1:15">
      <c r="A10" s="10" t="s">
        <v>7758</v>
      </c>
      <c r="B10" s="10" t="s">
        <v>7761</v>
      </c>
      <c r="C10" s="10" t="s">
        <v>4645</v>
      </c>
      <c r="D10" s="10">
        <v>1</v>
      </c>
      <c r="E10" s="30"/>
      <c r="F10" s="224">
        <v>81273</v>
      </c>
    </row>
    <row r="11" spans="1:15" s="1" customFormat="1">
      <c r="A11" s="17" t="s">
        <v>7762</v>
      </c>
      <c r="B11" s="17" t="s">
        <v>7763</v>
      </c>
      <c r="C11" s="17" t="s">
        <v>4645</v>
      </c>
      <c r="D11" s="10">
        <v>1</v>
      </c>
      <c r="E11" s="30"/>
      <c r="F11" s="224">
        <v>81273</v>
      </c>
      <c r="G11" s="54"/>
    </row>
    <row r="12" spans="1:15">
      <c r="A12" s="115" t="s">
        <v>7764</v>
      </c>
      <c r="B12" s="34">
        <v>92122598</v>
      </c>
      <c r="C12" s="10" t="s">
        <v>5099</v>
      </c>
      <c r="D12" s="10">
        <v>1</v>
      </c>
      <c r="E12" s="30"/>
      <c r="F12" s="224">
        <v>81273</v>
      </c>
    </row>
    <row r="13" spans="1:15">
      <c r="A13" s="115" t="s">
        <v>7765</v>
      </c>
      <c r="B13" s="34" t="s">
        <v>7766</v>
      </c>
      <c r="C13" s="10" t="s">
        <v>5099</v>
      </c>
      <c r="D13" s="10">
        <v>1</v>
      </c>
      <c r="E13" s="30"/>
      <c r="F13" s="224">
        <v>81273</v>
      </c>
    </row>
    <row r="14" spans="1:15">
      <c r="A14" s="115" t="s">
        <v>5295</v>
      </c>
      <c r="B14" s="34" t="s">
        <v>5297</v>
      </c>
      <c r="C14" s="10" t="s">
        <v>207</v>
      </c>
      <c r="D14" s="10">
        <v>1</v>
      </c>
      <c r="E14" s="30"/>
      <c r="F14" s="224">
        <v>81273</v>
      </c>
      <c r="I14" t="s">
        <v>3805</v>
      </c>
    </row>
    <row r="15" spans="1:15">
      <c r="A15" s="368" t="s">
        <v>7767</v>
      </c>
      <c r="B15" s="34">
        <v>99193</v>
      </c>
      <c r="C15" s="10" t="s">
        <v>207</v>
      </c>
      <c r="D15" s="10">
        <v>1</v>
      </c>
      <c r="E15" s="30" t="s">
        <v>7768</v>
      </c>
      <c r="F15" s="224">
        <v>81273</v>
      </c>
    </row>
    <row r="16" spans="1:15">
      <c r="A16" s="115" t="s">
        <v>5194</v>
      </c>
      <c r="B16" s="34" t="s">
        <v>7769</v>
      </c>
      <c r="C16" s="10" t="s">
        <v>5196</v>
      </c>
      <c r="D16" s="10">
        <v>1</v>
      </c>
      <c r="E16" s="30"/>
      <c r="F16" s="224">
        <v>81273</v>
      </c>
    </row>
    <row r="17" spans="1:6" s="6" customFormat="1">
      <c r="A17" s="115" t="s">
        <v>7770</v>
      </c>
      <c r="B17" s="34">
        <v>166473</v>
      </c>
      <c r="C17" s="10" t="s">
        <v>7771</v>
      </c>
      <c r="D17" s="10">
        <v>1</v>
      </c>
      <c r="E17" s="30"/>
      <c r="F17" s="224">
        <v>81273</v>
      </c>
    </row>
    <row r="18" spans="1:6" s="6" customFormat="1">
      <c r="A18" s="115" t="s">
        <v>7770</v>
      </c>
      <c r="B18" s="34">
        <v>166509</v>
      </c>
      <c r="C18" s="10" t="s">
        <v>7771</v>
      </c>
      <c r="D18" s="10">
        <v>1</v>
      </c>
      <c r="E18" s="30"/>
      <c r="F18" s="224">
        <v>81273</v>
      </c>
    </row>
    <row r="19" spans="1:6" s="6" customFormat="1">
      <c r="A19" s="115" t="s">
        <v>7772</v>
      </c>
      <c r="B19" s="115" t="s">
        <v>7773</v>
      </c>
      <c r="C19" s="10" t="s">
        <v>7771</v>
      </c>
      <c r="D19" s="10">
        <v>1</v>
      </c>
      <c r="E19" s="30"/>
      <c r="F19" s="224">
        <v>81273</v>
      </c>
    </row>
    <row r="20" spans="1:6" s="6" customFormat="1">
      <c r="A20" s="115">
        <v>371380</v>
      </c>
      <c r="B20" s="115" t="s">
        <v>7774</v>
      </c>
      <c r="C20" s="375" t="s">
        <v>3817</v>
      </c>
      <c r="D20" s="10">
        <v>1</v>
      </c>
      <c r="E20" s="30"/>
      <c r="F20" s="224">
        <v>81273</v>
      </c>
    </row>
    <row r="21" spans="1:6" s="6" customFormat="1">
      <c r="A21" s="115" t="s">
        <v>7775</v>
      </c>
      <c r="B21" s="34">
        <v>97310</v>
      </c>
      <c r="C21" s="10" t="s">
        <v>5467</v>
      </c>
      <c r="D21" s="10">
        <v>1</v>
      </c>
      <c r="E21" s="30"/>
      <c r="F21" s="224">
        <v>81273</v>
      </c>
    </row>
    <row r="22" spans="1:6" s="6" customFormat="1">
      <c r="A22" s="115" t="s">
        <v>7776</v>
      </c>
      <c r="B22" s="115" t="s">
        <v>7777</v>
      </c>
      <c r="C22" s="10" t="s">
        <v>7778</v>
      </c>
      <c r="D22" s="10">
        <v>1</v>
      </c>
      <c r="E22" s="30"/>
      <c r="F22" s="224">
        <v>81273</v>
      </c>
    </row>
    <row r="23" spans="1:6" s="6" customFormat="1">
      <c r="A23" s="115" t="s">
        <v>7779</v>
      </c>
      <c r="B23" s="115">
        <v>99193</v>
      </c>
      <c r="C23" s="10" t="s">
        <v>690</v>
      </c>
      <c r="D23" s="10">
        <v>1</v>
      </c>
      <c r="E23" s="30"/>
      <c r="F23" s="224">
        <v>81273</v>
      </c>
    </row>
    <row r="24" spans="1:6" s="6" customFormat="1">
      <c r="A24" s="345" t="s">
        <v>6456</v>
      </c>
      <c r="B24" s="115" t="s">
        <v>7780</v>
      </c>
      <c r="C24" s="10" t="s">
        <v>7781</v>
      </c>
      <c r="D24" s="10">
        <v>1</v>
      </c>
      <c r="E24" s="30"/>
      <c r="F24" s="224">
        <v>81273</v>
      </c>
    </row>
    <row r="25" spans="1:6" s="6" customFormat="1">
      <c r="A25" s="167" t="s">
        <v>5068</v>
      </c>
      <c r="B25" s="166">
        <v>14706</v>
      </c>
      <c r="C25" s="166" t="s">
        <v>5070</v>
      </c>
      <c r="D25" s="10">
        <v>1</v>
      </c>
      <c r="E25" s="30"/>
      <c r="F25" s="224">
        <v>81273</v>
      </c>
    </row>
    <row r="26" spans="1:6" s="6" customFormat="1">
      <c r="A26" s="272"/>
      <c r="B26" s="271"/>
      <c r="C26" s="270"/>
      <c r="D26" s="270"/>
      <c r="E26" s="270"/>
      <c r="F26" s="224"/>
    </row>
    <row r="27" spans="1:6" s="6" customFormat="1">
      <c r="A27" s="167" t="s">
        <v>5068</v>
      </c>
      <c r="B27" s="166">
        <v>8716</v>
      </c>
      <c r="C27" s="375" t="s">
        <v>5070</v>
      </c>
      <c r="D27" s="166"/>
      <c r="E27" s="166"/>
      <c r="F27" s="224">
        <v>81273</v>
      </c>
    </row>
    <row r="28" spans="1:6" s="6" customFormat="1">
      <c r="A28" s="167" t="s">
        <v>5068</v>
      </c>
      <c r="B28" s="166">
        <v>13427</v>
      </c>
      <c r="C28" s="255" t="s">
        <v>5070</v>
      </c>
      <c r="D28" s="166" t="s">
        <v>8003</v>
      </c>
      <c r="E28" s="458" t="s">
        <v>84</v>
      </c>
      <c r="F28" s="224">
        <v>81273</v>
      </c>
    </row>
    <row r="29" spans="1:6" s="6" customFormat="1">
      <c r="A29" s="165" t="s">
        <v>5068</v>
      </c>
      <c r="B29" s="166">
        <v>15356</v>
      </c>
      <c r="C29" s="255" t="s">
        <v>5070</v>
      </c>
      <c r="D29" s="166"/>
      <c r="E29" s="166"/>
      <c r="F29" s="224">
        <v>81273</v>
      </c>
    </row>
    <row r="30" spans="1:6" s="6" customFormat="1">
      <c r="A30" s="165" t="s">
        <v>7782</v>
      </c>
      <c r="B30" s="166" t="s">
        <v>7783</v>
      </c>
      <c r="C30" s="375" t="s">
        <v>3859</v>
      </c>
      <c r="D30" s="166"/>
      <c r="E30" s="166"/>
      <c r="F30" s="224">
        <v>81273</v>
      </c>
    </row>
    <row r="31" spans="1:6" s="6" customFormat="1">
      <c r="A31" s="167" t="s">
        <v>6333</v>
      </c>
      <c r="B31" s="166">
        <v>27895</v>
      </c>
      <c r="C31" s="375" t="s">
        <v>6335</v>
      </c>
      <c r="D31" s="166"/>
      <c r="E31" s="166"/>
      <c r="F31" s="224">
        <v>81273</v>
      </c>
    </row>
    <row r="32" spans="1:6" s="6" customFormat="1">
      <c r="A32" s="167" t="s">
        <v>6333</v>
      </c>
      <c r="B32" s="166" t="s">
        <v>7784</v>
      </c>
      <c r="C32" s="375" t="s">
        <v>6335</v>
      </c>
      <c r="D32" s="166"/>
      <c r="E32" s="166"/>
      <c r="F32" s="224">
        <v>81273</v>
      </c>
    </row>
    <row r="33" spans="1:6">
      <c r="A33" s="162" t="s">
        <v>7785</v>
      </c>
      <c r="B33" s="166">
        <v>9271</v>
      </c>
      <c r="C33" s="375" t="s">
        <v>4295</v>
      </c>
      <c r="D33" s="166"/>
      <c r="E33" s="166"/>
      <c r="F33" s="224">
        <v>81273</v>
      </c>
    </row>
    <row r="34" spans="1:6">
      <c r="A34" s="165" t="s">
        <v>7786</v>
      </c>
      <c r="B34" s="166">
        <v>2610</v>
      </c>
      <c r="C34" s="255" t="s">
        <v>4095</v>
      </c>
      <c r="D34" s="166"/>
      <c r="E34" s="166"/>
      <c r="F34" s="224">
        <v>81273</v>
      </c>
    </row>
    <row r="35" spans="1:6">
      <c r="A35" s="165" t="s">
        <v>7787</v>
      </c>
      <c r="B35" s="166">
        <v>728</v>
      </c>
      <c r="C35" s="375" t="s">
        <v>7788</v>
      </c>
      <c r="D35" s="166"/>
      <c r="E35" s="166"/>
      <c r="F35" s="224">
        <v>81273</v>
      </c>
    </row>
    <row r="36" spans="1:6">
      <c r="A36" s="165" t="s">
        <v>7789</v>
      </c>
      <c r="B36" s="166">
        <v>3390</v>
      </c>
      <c r="C36" s="255" t="s">
        <v>7790</v>
      </c>
      <c r="D36" s="166"/>
      <c r="E36" s="166"/>
      <c r="F36" s="224">
        <v>81273</v>
      </c>
    </row>
    <row r="37" spans="1:6">
      <c r="A37" s="165" t="s">
        <v>7791</v>
      </c>
      <c r="B37" s="166" t="s">
        <v>7792</v>
      </c>
      <c r="C37" s="375" t="s">
        <v>4095</v>
      </c>
      <c r="D37" s="166"/>
      <c r="E37" s="166"/>
      <c r="F37" s="224">
        <v>81273</v>
      </c>
    </row>
    <row r="38" spans="1:6">
      <c r="A38" s="162" t="s">
        <v>7779</v>
      </c>
      <c r="B38" s="166" t="s">
        <v>7793</v>
      </c>
      <c r="C38" s="375" t="s">
        <v>7794</v>
      </c>
      <c r="D38" s="166"/>
      <c r="E38" s="166"/>
      <c r="F38" s="224">
        <v>81273</v>
      </c>
    </row>
    <row r="39" spans="1:6">
      <c r="A39" s="165" t="s">
        <v>7795</v>
      </c>
      <c r="B39" s="166">
        <v>9504</v>
      </c>
      <c r="C39" s="375" t="s">
        <v>7796</v>
      </c>
      <c r="D39" s="166"/>
      <c r="E39" s="166"/>
      <c r="F39" s="224">
        <v>81273</v>
      </c>
    </row>
    <row r="40" spans="1:6" s="1" customFormat="1">
      <c r="A40" s="273"/>
      <c r="B40" s="274"/>
      <c r="C40" s="270"/>
      <c r="D40" s="270"/>
      <c r="E40" s="270"/>
      <c r="F40" s="229"/>
    </row>
    <row r="41" spans="1:6">
      <c r="A41" s="167" t="s">
        <v>5068</v>
      </c>
      <c r="B41" s="375">
        <v>67669</v>
      </c>
      <c r="C41" s="375" t="s">
        <v>5070</v>
      </c>
      <c r="D41" s="166"/>
      <c r="E41" s="166"/>
      <c r="F41" s="224">
        <v>81273</v>
      </c>
    </row>
    <row r="42" spans="1:6" s="1" customFormat="1">
      <c r="A42" s="167" t="s">
        <v>5068</v>
      </c>
      <c r="B42" s="378">
        <v>15706</v>
      </c>
      <c r="C42" s="255" t="s">
        <v>5070</v>
      </c>
      <c r="D42" s="166"/>
      <c r="E42" s="166">
        <v>60244</v>
      </c>
      <c r="F42" s="224">
        <v>81273</v>
      </c>
    </row>
    <row r="43" spans="1:6">
      <c r="A43" s="167" t="s">
        <v>5068</v>
      </c>
      <c r="B43" s="375">
        <v>13577</v>
      </c>
      <c r="C43" s="255" t="s">
        <v>5070</v>
      </c>
      <c r="D43" s="166"/>
      <c r="E43" s="166"/>
      <c r="F43" s="224">
        <v>81273</v>
      </c>
    </row>
    <row r="44" spans="1:6">
      <c r="A44" s="167" t="s">
        <v>5068</v>
      </c>
      <c r="B44" s="204">
        <v>69036</v>
      </c>
      <c r="C44" s="255" t="s">
        <v>5070</v>
      </c>
      <c r="D44" s="166"/>
      <c r="E44" s="166">
        <v>60244</v>
      </c>
      <c r="F44" s="224">
        <v>81273</v>
      </c>
    </row>
    <row r="45" spans="1:6">
      <c r="A45" s="167" t="s">
        <v>5068</v>
      </c>
      <c r="B45" s="204">
        <v>12612</v>
      </c>
      <c r="C45" s="255" t="s">
        <v>5070</v>
      </c>
      <c r="D45" s="166"/>
      <c r="E45" s="166"/>
      <c r="F45" s="224">
        <v>81273</v>
      </c>
    </row>
    <row r="46" spans="1:6">
      <c r="A46" s="167" t="s">
        <v>5068</v>
      </c>
      <c r="B46" s="204">
        <v>6536</v>
      </c>
      <c r="C46" s="255" t="s">
        <v>5070</v>
      </c>
      <c r="D46" s="166"/>
      <c r="E46" s="166"/>
      <c r="F46" s="224">
        <v>81273</v>
      </c>
    </row>
    <row r="47" spans="1:6" s="6" customFormat="1">
      <c r="A47" s="167" t="s">
        <v>5068</v>
      </c>
      <c r="B47" s="204">
        <v>68418</v>
      </c>
      <c r="C47" s="255" t="s">
        <v>5070</v>
      </c>
      <c r="D47" s="166"/>
      <c r="E47" s="166"/>
      <c r="F47" s="224">
        <v>81273</v>
      </c>
    </row>
    <row r="48" spans="1:6" s="6" customFormat="1">
      <c r="A48" s="167" t="s">
        <v>5068</v>
      </c>
      <c r="B48" s="204">
        <v>11705</v>
      </c>
      <c r="C48" s="255" t="s">
        <v>5070</v>
      </c>
      <c r="D48" s="166"/>
      <c r="E48" s="166"/>
      <c r="F48" s="224">
        <v>81273</v>
      </c>
    </row>
    <row r="49" spans="1:6" s="6" customFormat="1">
      <c r="A49" s="203" t="s">
        <v>7797</v>
      </c>
      <c r="B49" s="204" t="s">
        <v>7798</v>
      </c>
      <c r="C49" s="375" t="s">
        <v>4232</v>
      </c>
      <c r="D49" s="166"/>
      <c r="E49" s="166"/>
      <c r="F49" s="224">
        <v>81273</v>
      </c>
    </row>
    <row r="50" spans="1:6" s="6" customFormat="1">
      <c r="A50" s="203" t="s">
        <v>7797</v>
      </c>
      <c r="B50" s="204" t="s">
        <v>7799</v>
      </c>
      <c r="C50" s="375" t="s">
        <v>4232</v>
      </c>
      <c r="D50" s="166"/>
      <c r="E50" s="166"/>
      <c r="F50" s="224">
        <v>81273</v>
      </c>
    </row>
    <row r="51" spans="1:6" s="6" customFormat="1">
      <c r="A51" s="203">
        <v>371380</v>
      </c>
      <c r="B51" s="204" t="s">
        <v>7800</v>
      </c>
      <c r="C51" s="375" t="s">
        <v>3817</v>
      </c>
      <c r="D51" s="166"/>
      <c r="E51" s="166"/>
      <c r="F51" s="224">
        <v>81273</v>
      </c>
    </row>
    <row r="52" spans="1:6" s="6" customFormat="1">
      <c r="A52" s="203">
        <v>371380</v>
      </c>
      <c r="B52" s="204" t="s">
        <v>7801</v>
      </c>
      <c r="C52" s="375" t="s">
        <v>3817</v>
      </c>
      <c r="D52" s="166"/>
      <c r="E52" s="166"/>
      <c r="F52" s="224">
        <v>81273</v>
      </c>
    </row>
    <row r="53" spans="1:6" s="6" customFormat="1">
      <c r="A53" s="203" t="s">
        <v>7802</v>
      </c>
      <c r="B53" s="204">
        <v>85419</v>
      </c>
      <c r="C53" s="203" t="s">
        <v>4645</v>
      </c>
      <c r="D53" s="166"/>
      <c r="E53" s="166"/>
      <c r="F53" s="224" t="s">
        <v>5936</v>
      </c>
    </row>
    <row r="54" spans="1:6" s="6" customFormat="1">
      <c r="A54" s="275"/>
      <c r="B54" s="276"/>
      <c r="C54" s="275"/>
      <c r="D54" s="270"/>
      <c r="E54" s="270"/>
      <c r="F54" s="224"/>
    </row>
    <row r="55" spans="1:6" s="6" customFormat="1">
      <c r="A55" s="167" t="s">
        <v>5068</v>
      </c>
      <c r="B55" s="375">
        <v>10728</v>
      </c>
      <c r="C55" s="375" t="s">
        <v>5070</v>
      </c>
      <c r="D55" s="166"/>
      <c r="E55" s="166"/>
      <c r="F55" s="224">
        <v>81273</v>
      </c>
    </row>
    <row r="56" spans="1:6" s="6" customFormat="1">
      <c r="A56" s="167" t="s">
        <v>5068</v>
      </c>
      <c r="B56" s="378">
        <v>8759</v>
      </c>
      <c r="C56" s="255" t="s">
        <v>5070</v>
      </c>
      <c r="D56" s="166"/>
      <c r="E56" s="166"/>
      <c r="F56" s="224">
        <v>81273</v>
      </c>
    </row>
    <row r="57" spans="1:6" s="6" customFormat="1">
      <c r="A57" s="167" t="s">
        <v>5068</v>
      </c>
      <c r="B57" s="375">
        <v>11545</v>
      </c>
      <c r="C57" s="255" t="s">
        <v>5070</v>
      </c>
      <c r="D57" s="166"/>
      <c r="E57" s="166"/>
      <c r="F57" s="224">
        <v>81273</v>
      </c>
    </row>
    <row r="58" spans="1:6" s="6" customFormat="1">
      <c r="A58" s="167" t="s">
        <v>5068</v>
      </c>
      <c r="B58" s="204">
        <v>16405</v>
      </c>
      <c r="C58" s="255" t="s">
        <v>5070</v>
      </c>
      <c r="D58" s="166"/>
      <c r="E58" s="166"/>
      <c r="F58" s="224">
        <v>81273</v>
      </c>
    </row>
    <row r="59" spans="1:6" s="6" customFormat="1">
      <c r="A59" s="167" t="s">
        <v>5068</v>
      </c>
      <c r="B59" s="204" t="s">
        <v>7803</v>
      </c>
      <c r="C59" s="255" t="s">
        <v>5070</v>
      </c>
      <c r="D59" s="166"/>
      <c r="E59" s="166"/>
      <c r="F59" s="224">
        <v>81273</v>
      </c>
    </row>
    <row r="60" spans="1:6" s="6" customFormat="1">
      <c r="A60" s="167" t="s">
        <v>5068</v>
      </c>
      <c r="B60" s="204">
        <v>9030</v>
      </c>
      <c r="C60" s="255" t="s">
        <v>5070</v>
      </c>
      <c r="D60" s="166"/>
      <c r="E60" s="166"/>
      <c r="F60" s="224">
        <v>81273</v>
      </c>
    </row>
    <row r="61" spans="1:6" s="6" customFormat="1">
      <c r="A61" s="167" t="s">
        <v>5068</v>
      </c>
      <c r="B61" s="204" t="s">
        <v>7804</v>
      </c>
      <c r="C61" s="255" t="s">
        <v>5070</v>
      </c>
      <c r="D61" s="166"/>
      <c r="E61" s="166"/>
      <c r="F61" s="224">
        <v>81273</v>
      </c>
    </row>
    <row r="62" spans="1:6" s="6" customFormat="1">
      <c r="A62" s="167" t="s">
        <v>5068</v>
      </c>
      <c r="B62" s="204">
        <v>6625</v>
      </c>
      <c r="C62" s="255" t="s">
        <v>5070</v>
      </c>
      <c r="D62" s="166"/>
      <c r="E62" s="166"/>
      <c r="F62" s="224">
        <v>81273</v>
      </c>
    </row>
    <row r="63" spans="1:6" s="6" customFormat="1">
      <c r="A63" s="167" t="s">
        <v>5068</v>
      </c>
      <c r="B63" s="204">
        <v>15672</v>
      </c>
      <c r="C63" s="255" t="s">
        <v>5070</v>
      </c>
      <c r="D63" s="166"/>
      <c r="E63" s="166"/>
      <c r="F63" s="224">
        <v>81273</v>
      </c>
    </row>
    <row r="64" spans="1:6" s="6" customFormat="1">
      <c r="A64" s="167" t="s">
        <v>5068</v>
      </c>
      <c r="B64" s="204">
        <v>6632</v>
      </c>
      <c r="C64" s="255" t="s">
        <v>5070</v>
      </c>
      <c r="D64" s="166"/>
      <c r="E64" s="166"/>
      <c r="F64" s="224">
        <v>81273</v>
      </c>
    </row>
    <row r="65" spans="1:6" s="6" customFormat="1">
      <c r="A65" s="167">
        <v>731753</v>
      </c>
      <c r="B65" s="204" t="s">
        <v>7805</v>
      </c>
      <c r="C65" s="255" t="s">
        <v>5070</v>
      </c>
      <c r="D65" s="166"/>
      <c r="E65" s="166"/>
      <c r="F65" s="224">
        <v>81273</v>
      </c>
    </row>
    <row r="66" spans="1:6" s="6" customFormat="1">
      <c r="A66" s="167">
        <v>731753</v>
      </c>
      <c r="B66" s="204">
        <v>13352</v>
      </c>
      <c r="C66" s="255" t="s">
        <v>5070</v>
      </c>
      <c r="D66" s="166"/>
      <c r="E66" s="166"/>
      <c r="F66" s="224">
        <v>81273</v>
      </c>
    </row>
    <row r="67" spans="1:6" s="6" customFormat="1">
      <c r="A67" s="203" t="s">
        <v>7762</v>
      </c>
      <c r="B67" s="204" t="s">
        <v>7806</v>
      </c>
      <c r="C67" s="375" t="s">
        <v>4645</v>
      </c>
      <c r="D67" s="166"/>
      <c r="E67" s="166"/>
      <c r="F67" s="224">
        <v>81273</v>
      </c>
    </row>
    <row r="68" spans="1:6" s="6" customFormat="1">
      <c r="A68" s="203" t="s">
        <v>7762</v>
      </c>
      <c r="B68" s="204" t="s">
        <v>7807</v>
      </c>
      <c r="C68" s="375" t="s">
        <v>4645</v>
      </c>
      <c r="D68" s="166"/>
      <c r="E68" s="166"/>
      <c r="F68" s="224">
        <v>81273</v>
      </c>
    </row>
    <row r="69" spans="1:6" s="6" customFormat="1">
      <c r="A69" s="203" t="s">
        <v>7762</v>
      </c>
      <c r="B69" s="204" t="s">
        <v>7808</v>
      </c>
      <c r="C69" s="375" t="s">
        <v>4645</v>
      </c>
      <c r="D69" s="166"/>
      <c r="E69" s="166"/>
      <c r="F69" s="224">
        <v>81273</v>
      </c>
    </row>
    <row r="70" spans="1:6" s="6" customFormat="1">
      <c r="A70" s="203" t="s">
        <v>7809</v>
      </c>
      <c r="B70" s="204" t="s">
        <v>7810</v>
      </c>
      <c r="C70" s="375" t="s">
        <v>4645</v>
      </c>
      <c r="D70" s="166"/>
      <c r="E70" s="166"/>
      <c r="F70" s="224">
        <v>81273</v>
      </c>
    </row>
    <row r="71" spans="1:6" s="6" customFormat="1">
      <c r="A71" s="203" t="s">
        <v>7809</v>
      </c>
      <c r="B71" s="204" t="s">
        <v>7811</v>
      </c>
      <c r="C71" s="375" t="s">
        <v>4645</v>
      </c>
      <c r="D71" s="166"/>
      <c r="E71" s="166"/>
      <c r="F71" s="224">
        <v>81273</v>
      </c>
    </row>
    <row r="72" spans="1:6" s="6" customFormat="1">
      <c r="A72" s="203" t="s">
        <v>7809</v>
      </c>
      <c r="B72" s="204" t="s">
        <v>7812</v>
      </c>
      <c r="C72" s="375" t="s">
        <v>4645</v>
      </c>
      <c r="D72" s="166"/>
      <c r="E72" s="166"/>
      <c r="F72" s="224">
        <v>81273</v>
      </c>
    </row>
    <row r="73" spans="1:6" s="6" customFormat="1">
      <c r="A73" s="203">
        <v>3602310</v>
      </c>
      <c r="B73" s="204" t="s">
        <v>7813</v>
      </c>
      <c r="C73" s="375" t="s">
        <v>4645</v>
      </c>
      <c r="D73" s="166"/>
      <c r="E73" s="166"/>
      <c r="F73" s="224">
        <v>81273</v>
      </c>
    </row>
    <row r="74" spans="1:6">
      <c r="A74" s="203">
        <v>96487</v>
      </c>
      <c r="B74" s="204">
        <v>62985</v>
      </c>
      <c r="C74" s="375" t="s">
        <v>5887</v>
      </c>
      <c r="D74" s="166"/>
      <c r="E74" s="166"/>
      <c r="F74" s="224">
        <v>81273</v>
      </c>
    </row>
    <row r="75" spans="1:6">
      <c r="A75" s="203" t="s">
        <v>4001</v>
      </c>
      <c r="B75" s="204" t="s">
        <v>7814</v>
      </c>
      <c r="C75" s="375" t="s">
        <v>4645</v>
      </c>
      <c r="D75" s="166"/>
      <c r="E75" s="166"/>
      <c r="F75" s="224">
        <v>81273</v>
      </c>
    </row>
    <row r="76" spans="1:6">
      <c r="A76" s="203" t="s">
        <v>4001</v>
      </c>
      <c r="B76" s="204">
        <v>87537</v>
      </c>
      <c r="C76" s="375" t="s">
        <v>4645</v>
      </c>
      <c r="D76" s="166"/>
      <c r="E76" s="166"/>
      <c r="F76" s="224">
        <v>81273</v>
      </c>
    </row>
  </sheetData>
  <autoFilter ref="A3:O73" xr:uid="{BB300F5B-58FD-46EA-A8DE-5B93EE48820A}"/>
  <mergeCells count="1">
    <mergeCell ref="B1:C2"/>
  </mergeCells>
  <phoneticPr fontId="1" type="noConversion"/>
  <conditionalFormatting sqref="D1:E1048576">
    <cfRule type="containsText" dxfId="1" priority="5" operator="containsText" text="RO">
      <formula>NOT(ISERROR(SEARCH("RO",D1)))</formula>
    </cfRule>
  </conditionalFormatting>
  <pageMargins left="0.25" right="0.25" top="0.75" bottom="0.75" header="0.3" footer="0.3"/>
  <pageSetup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839B-D529-4E37-B224-E55C27DFB81F}">
  <sheetPr>
    <tabColor rgb="FFFFC000"/>
  </sheetPr>
  <dimension ref="A1:O118"/>
  <sheetViews>
    <sheetView workbookViewId="0">
      <pane ySplit="3" topLeftCell="A4" activePane="bottomLeft" state="frozen"/>
      <selection activeCell="M1001" sqref="M1001"/>
      <selection pane="bottomLeft" activeCell="M1001" sqref="M1001"/>
    </sheetView>
  </sheetViews>
  <sheetFormatPr defaultRowHeight="14.4"/>
  <cols>
    <col min="1" max="1" width="28" customWidth="1"/>
    <col min="2" max="2" width="13" customWidth="1"/>
    <col min="3" max="3" width="31.33203125" customWidth="1"/>
    <col min="4" max="4" width="11.109375" customWidth="1"/>
    <col min="5" max="5" width="12.44140625" style="283" customWidth="1"/>
    <col min="6" max="6" width="11.109375" style="224" customWidth="1"/>
    <col min="7" max="7" width="9.109375" style="6"/>
  </cols>
  <sheetData>
    <row r="1" spans="1:15">
      <c r="B1" s="752" t="s">
        <v>7815</v>
      </c>
      <c r="C1" s="752"/>
    </row>
    <row r="2" spans="1:15">
      <c r="B2" s="753"/>
      <c r="C2" s="753"/>
    </row>
    <row r="3" spans="1:15" s="1" customFormat="1" ht="12" customHeight="1">
      <c r="A3" s="39" t="s">
        <v>5804</v>
      </c>
      <c r="B3" s="39" t="s">
        <v>3740</v>
      </c>
      <c r="C3" s="36" t="s">
        <v>3741</v>
      </c>
      <c r="D3" s="36" t="s">
        <v>3742</v>
      </c>
      <c r="E3" s="37" t="s">
        <v>7749</v>
      </c>
      <c r="F3" s="229"/>
      <c r="G3" s="54"/>
    </row>
    <row r="4" spans="1:15">
      <c r="A4" s="10" t="s">
        <v>7816</v>
      </c>
      <c r="B4" s="10"/>
      <c r="C4" s="10" t="s">
        <v>1476</v>
      </c>
      <c r="D4" s="10">
        <v>52</v>
      </c>
      <c r="E4" s="30"/>
      <c r="G4" s="153"/>
    </row>
    <row r="5" spans="1:15">
      <c r="A5" s="10" t="s">
        <v>7817</v>
      </c>
      <c r="B5" s="10"/>
      <c r="C5" s="10" t="s">
        <v>1476</v>
      </c>
      <c r="D5" s="10">
        <v>25</v>
      </c>
      <c r="E5" s="30"/>
      <c r="G5" s="153"/>
    </row>
    <row r="6" spans="1:15">
      <c r="A6" s="10" t="s">
        <v>7818</v>
      </c>
      <c r="B6" s="11"/>
      <c r="C6" s="10" t="s">
        <v>7819</v>
      </c>
      <c r="D6" s="10">
        <v>2</v>
      </c>
      <c r="E6" s="30"/>
      <c r="O6" t="s">
        <v>3769</v>
      </c>
    </row>
    <row r="7" spans="1:15">
      <c r="A7" s="379" t="s">
        <v>7820</v>
      </c>
      <c r="B7" s="11"/>
      <c r="C7" s="10" t="s">
        <v>7821</v>
      </c>
      <c r="D7" s="379">
        <v>66</v>
      </c>
      <c r="E7" s="30"/>
    </row>
    <row r="8" spans="1:15">
      <c r="A8" s="10" t="s">
        <v>7822</v>
      </c>
      <c r="B8" s="11"/>
      <c r="C8" s="10" t="s">
        <v>1476</v>
      </c>
      <c r="D8" s="10">
        <v>48</v>
      </c>
      <c r="E8" s="30"/>
    </row>
    <row r="9" spans="1:15">
      <c r="A9" s="379" t="s">
        <v>7823</v>
      </c>
      <c r="B9" s="11"/>
      <c r="C9" s="10" t="s">
        <v>7824</v>
      </c>
      <c r="D9" s="379">
        <v>4</v>
      </c>
      <c r="E9" s="30"/>
    </row>
    <row r="10" spans="1:15">
      <c r="A10" s="10" t="s">
        <v>7825</v>
      </c>
      <c r="B10" s="10"/>
      <c r="C10" s="10" t="s">
        <v>7819</v>
      </c>
      <c r="D10" s="10">
        <v>1</v>
      </c>
      <c r="E10" s="30"/>
    </row>
    <row r="11" spans="1:15">
      <c r="A11" s="10" t="s">
        <v>7826</v>
      </c>
      <c r="B11" s="10" t="s">
        <v>7827</v>
      </c>
      <c r="C11" s="10" t="s">
        <v>3779</v>
      </c>
      <c r="D11" s="10">
        <v>1</v>
      </c>
      <c r="E11" s="30"/>
    </row>
    <row r="12" spans="1:15" s="1" customFormat="1">
      <c r="A12" s="17" t="s">
        <v>7828</v>
      </c>
      <c r="B12" s="17"/>
      <c r="C12" s="17" t="s">
        <v>1476</v>
      </c>
      <c r="D12" s="10">
        <v>134</v>
      </c>
      <c r="E12" s="30"/>
      <c r="F12" s="224"/>
      <c r="G12" s="54"/>
    </row>
    <row r="13" spans="1:15">
      <c r="A13" s="115" t="s">
        <v>7829</v>
      </c>
      <c r="B13" s="34"/>
      <c r="C13" s="10" t="s">
        <v>7830</v>
      </c>
      <c r="D13" s="10">
        <v>62</v>
      </c>
      <c r="E13" s="30"/>
    </row>
    <row r="14" spans="1:15">
      <c r="A14" s="115" t="s">
        <v>7831</v>
      </c>
      <c r="B14" s="34"/>
      <c r="C14" s="10" t="s">
        <v>7824</v>
      </c>
      <c r="D14" s="10">
        <v>2</v>
      </c>
      <c r="E14" s="30"/>
    </row>
    <row r="15" spans="1:15">
      <c r="A15" s="380" t="s">
        <v>7832</v>
      </c>
      <c r="B15" s="34"/>
      <c r="C15" s="10" t="s">
        <v>7824</v>
      </c>
      <c r="D15" s="379">
        <v>128</v>
      </c>
      <c r="E15" s="30"/>
    </row>
    <row r="16" spans="1:15">
      <c r="A16" s="115" t="s">
        <v>7833</v>
      </c>
      <c r="B16" s="115" t="s">
        <v>7834</v>
      </c>
      <c r="C16" s="10" t="s">
        <v>7835</v>
      </c>
      <c r="D16" s="10">
        <v>1</v>
      </c>
      <c r="E16" s="30"/>
      <c r="I16" t="s">
        <v>3805</v>
      </c>
    </row>
    <row r="17" spans="1:5">
      <c r="A17" s="115" t="s">
        <v>7836</v>
      </c>
      <c r="B17" s="115" t="s">
        <v>7837</v>
      </c>
      <c r="C17" s="10" t="s">
        <v>7824</v>
      </c>
      <c r="D17" s="10">
        <v>1</v>
      </c>
      <c r="E17" s="30"/>
    </row>
    <row r="18" spans="1:5">
      <c r="A18" s="115" t="s">
        <v>7838</v>
      </c>
      <c r="B18" s="34"/>
      <c r="C18" s="10" t="s">
        <v>1476</v>
      </c>
      <c r="D18" s="10">
        <v>36</v>
      </c>
      <c r="E18" s="30"/>
    </row>
    <row r="19" spans="1:5" s="6" customFormat="1">
      <c r="A19" s="380" t="s">
        <v>7839</v>
      </c>
      <c r="B19" s="34"/>
      <c r="C19" s="10" t="s">
        <v>7824</v>
      </c>
      <c r="D19" s="379">
        <v>82</v>
      </c>
      <c r="E19" s="30"/>
    </row>
    <row r="20" spans="1:5" s="6" customFormat="1">
      <c r="A20" s="115" t="s">
        <v>7840</v>
      </c>
      <c r="B20" s="34"/>
      <c r="C20" s="10" t="s">
        <v>7841</v>
      </c>
      <c r="D20" s="10">
        <v>1</v>
      </c>
      <c r="E20" s="30"/>
    </row>
    <row r="21" spans="1:5" s="6" customFormat="1">
      <c r="A21" s="380" t="s">
        <v>7842</v>
      </c>
      <c r="B21" s="115"/>
      <c r="C21" s="10" t="s">
        <v>7843</v>
      </c>
      <c r="D21" s="379">
        <v>7</v>
      </c>
      <c r="E21" s="30"/>
    </row>
    <row r="22" spans="1:5" s="6" customFormat="1">
      <c r="A22" s="115" t="s">
        <v>7844</v>
      </c>
      <c r="B22" s="115"/>
      <c r="C22" s="10" t="s">
        <v>7845</v>
      </c>
      <c r="D22" s="10">
        <v>1</v>
      </c>
      <c r="E22" s="30"/>
    </row>
    <row r="23" spans="1:5" s="6" customFormat="1">
      <c r="A23" s="115" t="s">
        <v>7846</v>
      </c>
      <c r="B23" s="115"/>
      <c r="C23" s="10" t="s">
        <v>272</v>
      </c>
      <c r="D23" s="10">
        <v>1</v>
      </c>
      <c r="E23" s="30"/>
    </row>
    <row r="24" spans="1:5" s="6" customFormat="1">
      <c r="A24" s="115" t="s">
        <v>7847</v>
      </c>
      <c r="B24" s="115"/>
      <c r="C24" s="10" t="s">
        <v>7848</v>
      </c>
      <c r="D24" s="10">
        <v>1</v>
      </c>
      <c r="E24" s="30"/>
    </row>
    <row r="25" spans="1:5" s="6" customFormat="1">
      <c r="A25" s="380" t="s">
        <v>7849</v>
      </c>
      <c r="B25" s="115"/>
      <c r="C25" s="10" t="s">
        <v>1476</v>
      </c>
      <c r="D25" s="379">
        <v>60</v>
      </c>
      <c r="E25" s="30"/>
    </row>
    <row r="26" spans="1:5" s="6" customFormat="1">
      <c r="A26" s="115" t="s">
        <v>7850</v>
      </c>
      <c r="B26" s="375"/>
      <c r="C26" s="166" t="s">
        <v>7851</v>
      </c>
      <c r="D26" s="166">
        <v>1</v>
      </c>
      <c r="E26" s="166"/>
    </row>
    <row r="27" spans="1:5" s="6" customFormat="1">
      <c r="A27" s="115" t="s">
        <v>7852</v>
      </c>
      <c r="B27" s="375"/>
      <c r="C27" s="166" t="s">
        <v>1476</v>
      </c>
      <c r="D27" s="166">
        <v>28</v>
      </c>
      <c r="E27" s="166"/>
    </row>
    <row r="28" spans="1:5" s="6" customFormat="1">
      <c r="A28" s="10" t="s">
        <v>7826</v>
      </c>
      <c r="B28" s="10" t="s">
        <v>7853</v>
      </c>
      <c r="C28" s="10" t="s">
        <v>3779</v>
      </c>
      <c r="D28" s="10">
        <v>1</v>
      </c>
      <c r="E28" s="166"/>
    </row>
    <row r="29" spans="1:5" s="6" customFormat="1">
      <c r="A29" s="115" t="s">
        <v>7833</v>
      </c>
      <c r="B29" s="115" t="s">
        <v>7854</v>
      </c>
      <c r="C29" s="10" t="s">
        <v>7835</v>
      </c>
      <c r="D29" s="166">
        <v>1</v>
      </c>
      <c r="E29" s="166"/>
    </row>
    <row r="30" spans="1:5" s="6" customFormat="1">
      <c r="A30" s="115" t="s">
        <v>7855</v>
      </c>
      <c r="B30" s="375" t="s">
        <v>7856</v>
      </c>
      <c r="C30" s="166" t="s">
        <v>7857</v>
      </c>
      <c r="D30" s="166">
        <v>1</v>
      </c>
      <c r="E30" s="166"/>
    </row>
    <row r="31" spans="1:5" s="6" customFormat="1">
      <c r="A31" s="115" t="s">
        <v>7858</v>
      </c>
      <c r="B31" s="375"/>
      <c r="C31" s="166" t="s">
        <v>7859</v>
      </c>
      <c r="D31" s="166">
        <v>1</v>
      </c>
      <c r="E31" s="166"/>
    </row>
    <row r="32" spans="1:5">
      <c r="A32" s="115" t="s">
        <v>7860</v>
      </c>
      <c r="B32" s="375"/>
      <c r="C32" s="166" t="s">
        <v>7861</v>
      </c>
      <c r="D32" s="166">
        <v>1</v>
      </c>
      <c r="E32" s="166"/>
    </row>
    <row r="33" spans="1:5">
      <c r="A33" s="115" t="s">
        <v>7862</v>
      </c>
      <c r="B33" s="255"/>
      <c r="C33" s="166" t="s">
        <v>83</v>
      </c>
      <c r="D33" s="166">
        <v>1</v>
      </c>
      <c r="E33" s="166"/>
    </row>
    <row r="34" spans="1:5">
      <c r="A34" s="115" t="s">
        <v>7863</v>
      </c>
      <c r="B34" s="375"/>
      <c r="C34" s="166" t="s">
        <v>7864</v>
      </c>
      <c r="D34" s="166">
        <v>1</v>
      </c>
      <c r="E34" s="166"/>
    </row>
    <row r="35" spans="1:5">
      <c r="A35" s="115" t="s">
        <v>7865</v>
      </c>
      <c r="B35" s="255"/>
      <c r="C35" s="166" t="s">
        <v>1476</v>
      </c>
      <c r="D35" s="166">
        <v>1</v>
      </c>
      <c r="E35" s="166"/>
    </row>
    <row r="36" spans="1:5">
      <c r="A36" s="115" t="s">
        <v>7866</v>
      </c>
      <c r="B36" s="375"/>
      <c r="C36" s="166" t="s">
        <v>7867</v>
      </c>
      <c r="D36" s="166">
        <v>1</v>
      </c>
      <c r="E36" s="166"/>
    </row>
    <row r="37" spans="1:5">
      <c r="A37" s="115" t="s">
        <v>7868</v>
      </c>
      <c r="B37" s="375"/>
      <c r="C37" s="166" t="s">
        <v>1476</v>
      </c>
      <c r="D37" s="166">
        <v>1</v>
      </c>
      <c r="E37" s="166"/>
    </row>
    <row r="38" spans="1:5">
      <c r="A38" s="166" t="s">
        <v>7869</v>
      </c>
      <c r="B38" s="375"/>
      <c r="C38" s="166" t="s">
        <v>1476</v>
      </c>
      <c r="D38" s="166">
        <v>4</v>
      </c>
      <c r="E38" s="166"/>
    </row>
    <row r="39" spans="1:5">
      <c r="A39" s="115" t="s">
        <v>7870</v>
      </c>
      <c r="B39" s="375"/>
      <c r="C39" s="166" t="s">
        <v>1476</v>
      </c>
      <c r="D39" s="166">
        <v>3</v>
      </c>
      <c r="E39" s="166"/>
    </row>
    <row r="40" spans="1:5" s="1" customFormat="1">
      <c r="A40" s="115" t="s">
        <v>7871</v>
      </c>
      <c r="B40" s="378"/>
      <c r="C40" s="166" t="s">
        <v>1476</v>
      </c>
      <c r="D40" s="166">
        <v>1</v>
      </c>
      <c r="E40" s="166"/>
    </row>
    <row r="41" spans="1:5">
      <c r="A41" s="115" t="s">
        <v>7872</v>
      </c>
      <c r="B41" s="375"/>
      <c r="C41" s="166" t="s">
        <v>1476</v>
      </c>
      <c r="D41" s="166">
        <v>21</v>
      </c>
      <c r="E41" s="166"/>
    </row>
    <row r="42" spans="1:5" s="1" customFormat="1">
      <c r="A42" s="115" t="s">
        <v>7873</v>
      </c>
      <c r="B42" s="378"/>
      <c r="C42" s="166" t="s">
        <v>7874</v>
      </c>
      <c r="D42" s="166">
        <v>1</v>
      </c>
      <c r="E42" s="166"/>
    </row>
    <row r="43" spans="1:5">
      <c r="A43" s="115" t="s">
        <v>7875</v>
      </c>
      <c r="B43" s="375"/>
      <c r="C43" s="166" t="s">
        <v>7876</v>
      </c>
      <c r="D43" s="166">
        <v>1</v>
      </c>
      <c r="E43" s="166"/>
    </row>
    <row r="44" spans="1:5">
      <c r="A44" s="115" t="s">
        <v>7877</v>
      </c>
      <c r="B44" s="204" t="s">
        <v>7878</v>
      </c>
      <c r="C44" s="203" t="s">
        <v>7879</v>
      </c>
      <c r="D44" s="166">
        <v>1</v>
      </c>
      <c r="E44" s="166"/>
    </row>
    <row r="45" spans="1:5">
      <c r="A45" s="115" t="s">
        <v>7880</v>
      </c>
      <c r="B45" s="204"/>
      <c r="C45" s="203" t="s">
        <v>7881</v>
      </c>
      <c r="D45" s="166">
        <v>1</v>
      </c>
      <c r="E45" s="166"/>
    </row>
    <row r="46" spans="1:5">
      <c r="A46" s="115" t="s">
        <v>7882</v>
      </c>
      <c r="B46" s="204"/>
      <c r="C46" s="203" t="s">
        <v>7879</v>
      </c>
      <c r="D46" s="166">
        <v>1</v>
      </c>
      <c r="E46" s="166"/>
    </row>
    <row r="47" spans="1:5">
      <c r="A47" s="115" t="s">
        <v>7883</v>
      </c>
      <c r="B47" s="204"/>
      <c r="C47" s="203" t="s">
        <v>7884</v>
      </c>
      <c r="D47" s="166">
        <v>1</v>
      </c>
      <c r="E47" s="166"/>
    </row>
    <row r="48" spans="1:5" s="6" customFormat="1">
      <c r="A48" s="115" t="s">
        <v>7885</v>
      </c>
      <c r="B48" s="204"/>
      <c r="C48" s="203" t="s">
        <v>7886</v>
      </c>
      <c r="D48" s="166">
        <v>1</v>
      </c>
      <c r="E48" s="166"/>
    </row>
    <row r="49" spans="1:5" s="6" customFormat="1">
      <c r="A49" s="115" t="s">
        <v>7887</v>
      </c>
      <c r="B49" s="204"/>
      <c r="C49" s="203" t="s">
        <v>7888</v>
      </c>
      <c r="D49" s="166">
        <v>1</v>
      </c>
      <c r="E49" s="166"/>
    </row>
    <row r="50" spans="1:5" s="6" customFormat="1">
      <c r="A50" s="115" t="s">
        <v>7889</v>
      </c>
      <c r="B50" s="204"/>
      <c r="C50" s="203" t="s">
        <v>7890</v>
      </c>
      <c r="D50" s="166">
        <v>1</v>
      </c>
      <c r="E50" s="166"/>
    </row>
    <row r="51" spans="1:5" s="6" customFormat="1">
      <c r="A51" s="115" t="s">
        <v>7891</v>
      </c>
      <c r="B51" s="204"/>
      <c r="C51" s="203" t="s">
        <v>7892</v>
      </c>
      <c r="D51" s="166">
        <v>40</v>
      </c>
      <c r="E51" s="166"/>
    </row>
    <row r="52" spans="1:5" s="6" customFormat="1">
      <c r="A52" s="115" t="s">
        <v>7893</v>
      </c>
      <c r="B52" s="204" t="s">
        <v>7894</v>
      </c>
      <c r="C52" s="203" t="s">
        <v>1476</v>
      </c>
      <c r="D52" s="166">
        <v>1</v>
      </c>
      <c r="E52" s="166"/>
    </row>
    <row r="53" spans="1:5" s="6" customFormat="1">
      <c r="A53" s="115" t="s">
        <v>7893</v>
      </c>
      <c r="B53" s="204" t="s">
        <v>7895</v>
      </c>
      <c r="C53" s="203" t="s">
        <v>1476</v>
      </c>
      <c r="D53" s="166">
        <v>1</v>
      </c>
      <c r="E53" s="166"/>
    </row>
    <row r="54" spans="1:5" s="6" customFormat="1">
      <c r="A54" s="115" t="s">
        <v>7896</v>
      </c>
      <c r="B54" s="204" t="s">
        <v>7897</v>
      </c>
      <c r="C54" s="203" t="s">
        <v>7898</v>
      </c>
      <c r="D54" s="166">
        <v>1</v>
      </c>
      <c r="E54" s="166"/>
    </row>
    <row r="55" spans="1:5" s="6" customFormat="1">
      <c r="A55" s="115" t="s">
        <v>7899</v>
      </c>
      <c r="B55" s="204">
        <v>1300</v>
      </c>
      <c r="C55" s="203" t="s">
        <v>7884</v>
      </c>
      <c r="D55" s="166">
        <v>1</v>
      </c>
      <c r="E55" s="166"/>
    </row>
    <row r="56" spans="1:5" s="6" customFormat="1">
      <c r="A56" s="115" t="s">
        <v>7899</v>
      </c>
      <c r="B56" s="204" t="s">
        <v>7900</v>
      </c>
      <c r="C56" s="203" t="s">
        <v>7884</v>
      </c>
      <c r="D56" s="166">
        <v>1</v>
      </c>
      <c r="E56" s="166"/>
    </row>
    <row r="57" spans="1:5" s="6" customFormat="1">
      <c r="A57" s="115" t="s">
        <v>7901</v>
      </c>
      <c r="B57" s="204"/>
      <c r="C57" s="203" t="s">
        <v>7898</v>
      </c>
      <c r="D57" s="166">
        <v>1</v>
      </c>
      <c r="E57" s="166"/>
    </row>
    <row r="58" spans="1:5" s="6" customFormat="1">
      <c r="A58" s="115" t="s">
        <v>7902</v>
      </c>
      <c r="B58" s="204" t="s">
        <v>7903</v>
      </c>
      <c r="C58" s="203" t="s">
        <v>7904</v>
      </c>
      <c r="D58" s="166">
        <v>1</v>
      </c>
      <c r="E58" s="166"/>
    </row>
    <row r="59" spans="1:5" s="6" customFormat="1">
      <c r="A59" s="115" t="s">
        <v>7905</v>
      </c>
      <c r="B59" s="204"/>
      <c r="C59" s="203" t="s">
        <v>7906</v>
      </c>
      <c r="D59" s="166">
        <v>1</v>
      </c>
      <c r="E59" s="166"/>
    </row>
    <row r="60" spans="1:5" s="6" customFormat="1">
      <c r="A60" s="115" t="s">
        <v>7907</v>
      </c>
      <c r="B60" s="204"/>
      <c r="C60" s="203" t="s">
        <v>7906</v>
      </c>
      <c r="D60" s="166">
        <v>1</v>
      </c>
      <c r="E60" s="166"/>
    </row>
    <row r="61" spans="1:5" s="6" customFormat="1">
      <c r="A61" s="115" t="s">
        <v>7908</v>
      </c>
      <c r="B61" s="204">
        <v>365</v>
      </c>
      <c r="C61" s="203" t="s">
        <v>7909</v>
      </c>
      <c r="D61" s="166">
        <v>1</v>
      </c>
      <c r="E61" s="166"/>
    </row>
    <row r="62" spans="1:5" s="6" customFormat="1">
      <c r="A62" s="115" t="s">
        <v>7910</v>
      </c>
      <c r="B62" s="204"/>
      <c r="C62" s="204" t="s">
        <v>1476</v>
      </c>
      <c r="D62" s="166">
        <v>135</v>
      </c>
      <c r="E62" s="381" t="s">
        <v>7911</v>
      </c>
    </row>
    <row r="63" spans="1:5" s="6" customFormat="1">
      <c r="A63" s="115" t="s">
        <v>7912</v>
      </c>
      <c r="B63" s="204"/>
      <c r="C63" s="203" t="s">
        <v>1476</v>
      </c>
      <c r="D63" s="166">
        <v>18</v>
      </c>
      <c r="E63" s="381" t="s">
        <v>7911</v>
      </c>
    </row>
    <row r="64" spans="1:5" s="6" customFormat="1">
      <c r="A64" s="115" t="s">
        <v>7913</v>
      </c>
      <c r="B64" s="204" t="s">
        <v>7914</v>
      </c>
      <c r="C64" s="203" t="s">
        <v>7915</v>
      </c>
      <c r="D64" s="166">
        <v>1</v>
      </c>
      <c r="E64" s="166"/>
    </row>
    <row r="65" spans="1:5" s="6" customFormat="1">
      <c r="A65" s="115" t="s">
        <v>7916</v>
      </c>
      <c r="B65" s="204"/>
      <c r="C65" s="203" t="s">
        <v>7917</v>
      </c>
      <c r="D65" s="166">
        <v>1</v>
      </c>
      <c r="E65" s="166"/>
    </row>
    <row r="66" spans="1:5" s="6" customFormat="1">
      <c r="A66" s="115" t="s">
        <v>7918</v>
      </c>
      <c r="B66" s="204"/>
      <c r="C66" s="203" t="s">
        <v>7906</v>
      </c>
      <c r="D66" s="166">
        <v>41</v>
      </c>
      <c r="E66" s="166"/>
    </row>
    <row r="67" spans="1:5" s="6" customFormat="1">
      <c r="A67" s="115" t="s">
        <v>7919</v>
      </c>
      <c r="B67" s="204"/>
      <c r="C67" s="203" t="s">
        <v>7920</v>
      </c>
      <c r="D67" s="166">
        <v>16</v>
      </c>
      <c r="E67" s="166"/>
    </row>
    <row r="68" spans="1:5" s="6" customFormat="1">
      <c r="A68" s="115" t="s">
        <v>7921</v>
      </c>
      <c r="B68" s="204"/>
      <c r="C68" s="203" t="s">
        <v>1476</v>
      </c>
      <c r="D68" s="166">
        <v>26</v>
      </c>
      <c r="E68" s="166"/>
    </row>
    <row r="69" spans="1:5" s="6" customFormat="1">
      <c r="A69" s="115" t="s">
        <v>7922</v>
      </c>
      <c r="B69" s="204"/>
      <c r="C69" s="203" t="s">
        <v>7843</v>
      </c>
      <c r="D69" s="166">
        <v>3</v>
      </c>
      <c r="E69" s="166"/>
    </row>
    <row r="70" spans="1:5" s="6" customFormat="1">
      <c r="A70" s="115" t="s">
        <v>7923</v>
      </c>
      <c r="B70" s="204"/>
      <c r="C70" s="203" t="s">
        <v>7924</v>
      </c>
      <c r="D70" s="166">
        <v>1</v>
      </c>
      <c r="E70" s="166"/>
    </row>
    <row r="71" spans="1:5" s="6" customFormat="1">
      <c r="A71" s="115" t="s">
        <v>7925</v>
      </c>
      <c r="B71" s="204"/>
      <c r="C71" s="203" t="s">
        <v>7819</v>
      </c>
      <c r="D71" s="166">
        <v>1</v>
      </c>
      <c r="E71" s="166"/>
    </row>
    <row r="72" spans="1:5" s="6" customFormat="1">
      <c r="A72" s="115" t="s">
        <v>7926</v>
      </c>
      <c r="B72" s="204"/>
      <c r="C72" s="203" t="s">
        <v>7927</v>
      </c>
      <c r="D72" s="166">
        <v>6</v>
      </c>
      <c r="E72" s="166"/>
    </row>
    <row r="73" spans="1:5" s="6" customFormat="1">
      <c r="A73" s="115" t="s">
        <v>7928</v>
      </c>
      <c r="B73" s="204" t="s">
        <v>7929</v>
      </c>
      <c r="C73" s="203" t="s">
        <v>7930</v>
      </c>
      <c r="D73" s="166">
        <v>1</v>
      </c>
      <c r="E73" s="166"/>
    </row>
    <row r="74" spans="1:5" s="6" customFormat="1">
      <c r="A74" s="115" t="s">
        <v>7931</v>
      </c>
      <c r="B74" s="204"/>
      <c r="C74" s="203" t="s">
        <v>7932</v>
      </c>
      <c r="D74" s="166">
        <v>1</v>
      </c>
      <c r="E74" s="166"/>
    </row>
    <row r="75" spans="1:5" s="6" customFormat="1">
      <c r="A75" s="115" t="s">
        <v>7933</v>
      </c>
      <c r="B75" s="204"/>
      <c r="C75" s="203" t="s">
        <v>7934</v>
      </c>
      <c r="D75" s="166">
        <v>40</v>
      </c>
      <c r="E75" s="166"/>
    </row>
    <row r="76" spans="1:5">
      <c r="A76" s="115" t="s">
        <v>7935</v>
      </c>
      <c r="B76" s="204" t="s">
        <v>7936</v>
      </c>
      <c r="C76" s="203" t="s">
        <v>272</v>
      </c>
      <c r="D76" s="166">
        <v>1</v>
      </c>
      <c r="E76" s="166"/>
    </row>
    <row r="77" spans="1:5">
      <c r="A77" s="115" t="s">
        <v>7937</v>
      </c>
      <c r="B77" s="204"/>
      <c r="C77" s="203" t="s">
        <v>7938</v>
      </c>
      <c r="D77" s="166">
        <v>6</v>
      </c>
      <c r="E77" s="166"/>
    </row>
    <row r="78" spans="1:5">
      <c r="A78" s="115" t="s">
        <v>7939</v>
      </c>
      <c r="B78" s="204"/>
      <c r="C78" s="203" t="s">
        <v>1476</v>
      </c>
      <c r="D78" s="166">
        <v>18</v>
      </c>
      <c r="E78" s="166"/>
    </row>
    <row r="79" spans="1:5">
      <c r="A79" s="115" t="s">
        <v>7940</v>
      </c>
      <c r="B79" s="204"/>
      <c r="C79" s="203" t="s">
        <v>7906</v>
      </c>
      <c r="D79" s="166">
        <v>36</v>
      </c>
      <c r="E79" s="166"/>
    </row>
    <row r="80" spans="1:5">
      <c r="A80" s="115" t="s">
        <v>7941</v>
      </c>
      <c r="B80" s="204"/>
      <c r="C80" s="203" t="s">
        <v>7942</v>
      </c>
      <c r="D80" s="166">
        <v>1</v>
      </c>
      <c r="E80" s="166"/>
    </row>
    <row r="81" spans="1:5">
      <c r="A81" s="115" t="s">
        <v>7943</v>
      </c>
      <c r="B81" s="204"/>
      <c r="C81" s="203" t="s">
        <v>7944</v>
      </c>
      <c r="D81" s="166">
        <v>1</v>
      </c>
      <c r="E81" s="166"/>
    </row>
    <row r="82" spans="1:5">
      <c r="A82" s="115" t="s">
        <v>7945</v>
      </c>
      <c r="B82" s="204"/>
      <c r="C82" s="203" t="s">
        <v>7946</v>
      </c>
      <c r="D82" s="166">
        <v>1</v>
      </c>
      <c r="E82" s="166"/>
    </row>
    <row r="83" spans="1:5">
      <c r="A83" s="115" t="s">
        <v>7947</v>
      </c>
      <c r="B83" s="204"/>
      <c r="C83" s="203" t="s">
        <v>7948</v>
      </c>
      <c r="D83" s="166">
        <v>1</v>
      </c>
      <c r="E83" s="166"/>
    </row>
    <row r="84" spans="1:5">
      <c r="A84" s="115" t="s">
        <v>7949</v>
      </c>
      <c r="B84" s="204"/>
      <c r="C84" s="203" t="s">
        <v>7948</v>
      </c>
      <c r="D84" s="166">
        <v>3</v>
      </c>
      <c r="E84" s="166"/>
    </row>
    <row r="85" spans="1:5">
      <c r="A85" s="115" t="s">
        <v>7950</v>
      </c>
      <c r="B85" s="204"/>
      <c r="C85" s="203" t="s">
        <v>7920</v>
      </c>
      <c r="D85" s="166">
        <v>1</v>
      </c>
      <c r="E85" s="166"/>
    </row>
    <row r="86" spans="1:5">
      <c r="A86" s="115" t="s">
        <v>7951</v>
      </c>
      <c r="B86" s="204"/>
      <c r="C86" s="203" t="s">
        <v>7920</v>
      </c>
      <c r="D86" s="166">
        <v>1</v>
      </c>
      <c r="E86" s="166"/>
    </row>
    <row r="87" spans="1:5">
      <c r="A87" s="115" t="s">
        <v>7952</v>
      </c>
      <c r="B87" s="204"/>
      <c r="C87" s="203" t="s">
        <v>7920</v>
      </c>
      <c r="D87" s="166">
        <v>11</v>
      </c>
      <c r="E87" s="166"/>
    </row>
    <row r="88" spans="1:5">
      <c r="A88" s="115" t="s">
        <v>7953</v>
      </c>
      <c r="B88" s="204"/>
      <c r="C88" s="203" t="s">
        <v>7920</v>
      </c>
      <c r="D88" s="166">
        <v>1</v>
      </c>
      <c r="E88" s="166"/>
    </row>
    <row r="89" spans="1:5">
      <c r="A89" s="115" t="s">
        <v>7954</v>
      </c>
      <c r="B89" s="204"/>
      <c r="C89" s="203" t="s">
        <v>7920</v>
      </c>
      <c r="D89" s="166">
        <v>1</v>
      </c>
      <c r="E89" s="166"/>
    </row>
    <row r="90" spans="1:5">
      <c r="A90" s="115" t="s">
        <v>7955</v>
      </c>
      <c r="B90" s="204"/>
      <c r="C90" s="203" t="s">
        <v>7920</v>
      </c>
      <c r="D90" s="166">
        <v>8</v>
      </c>
      <c r="E90" s="166"/>
    </row>
    <row r="91" spans="1:5">
      <c r="A91" s="115" t="s">
        <v>7956</v>
      </c>
      <c r="B91" s="204"/>
      <c r="C91" s="203" t="s">
        <v>7957</v>
      </c>
      <c r="D91" s="166">
        <v>1</v>
      </c>
      <c r="E91" s="166"/>
    </row>
    <row r="92" spans="1:5">
      <c r="A92" s="115" t="s">
        <v>7958</v>
      </c>
      <c r="B92" s="204"/>
      <c r="C92" s="203" t="s">
        <v>7959</v>
      </c>
      <c r="D92" s="166">
        <v>1</v>
      </c>
      <c r="E92" s="166"/>
    </row>
    <row r="93" spans="1:5">
      <c r="A93" s="115" t="s">
        <v>7960</v>
      </c>
      <c r="B93" s="204"/>
      <c r="C93" s="203" t="s">
        <v>7920</v>
      </c>
      <c r="D93" s="166">
        <v>19</v>
      </c>
      <c r="E93" s="166"/>
    </row>
    <row r="94" spans="1:5">
      <c r="A94" s="115" t="s">
        <v>7961</v>
      </c>
      <c r="B94" s="204"/>
      <c r="C94" s="203" t="s">
        <v>7962</v>
      </c>
      <c r="D94" s="166">
        <v>1</v>
      </c>
      <c r="E94" s="166"/>
    </row>
    <row r="95" spans="1:5">
      <c r="A95" s="115" t="s">
        <v>7963</v>
      </c>
      <c r="B95" s="204"/>
      <c r="C95" s="203" t="s">
        <v>7964</v>
      </c>
      <c r="D95" s="166">
        <v>1</v>
      </c>
      <c r="E95" s="166"/>
    </row>
    <row r="96" spans="1:5">
      <c r="A96" s="115" t="s">
        <v>7965</v>
      </c>
      <c r="B96" s="204"/>
      <c r="C96" s="203" t="s">
        <v>7966</v>
      </c>
      <c r="D96" s="166">
        <v>1</v>
      </c>
      <c r="E96" s="166"/>
    </row>
    <row r="97" spans="1:5">
      <c r="A97" s="115" t="s">
        <v>7967</v>
      </c>
      <c r="B97" s="204"/>
      <c r="C97" s="203" t="s">
        <v>7927</v>
      </c>
      <c r="D97" s="166">
        <v>1</v>
      </c>
      <c r="E97" s="166"/>
    </row>
    <row r="98" spans="1:5">
      <c r="A98" s="115" t="s">
        <v>7968</v>
      </c>
      <c r="B98" s="204"/>
      <c r="C98" s="203" t="s">
        <v>272</v>
      </c>
      <c r="D98" s="166">
        <v>1</v>
      </c>
      <c r="E98" s="166"/>
    </row>
    <row r="99" spans="1:5">
      <c r="A99" s="115" t="s">
        <v>7969</v>
      </c>
      <c r="B99" s="204"/>
      <c r="C99" s="203" t="s">
        <v>7948</v>
      </c>
      <c r="D99" s="166">
        <v>8</v>
      </c>
      <c r="E99" s="166"/>
    </row>
    <row r="100" spans="1:5">
      <c r="A100" s="115" t="s">
        <v>7970</v>
      </c>
      <c r="B100" s="204"/>
      <c r="C100" s="203" t="s">
        <v>7920</v>
      </c>
      <c r="D100" s="166">
        <v>1</v>
      </c>
      <c r="E100" s="166"/>
    </row>
    <row r="101" spans="1:5">
      <c r="A101" s="115" t="s">
        <v>7971</v>
      </c>
      <c r="B101" s="204"/>
      <c r="C101" s="203" t="s">
        <v>7920</v>
      </c>
      <c r="D101" s="166">
        <v>6</v>
      </c>
      <c r="E101" s="166"/>
    </row>
    <row r="102" spans="1:5">
      <c r="A102" s="115" t="s">
        <v>7972</v>
      </c>
      <c r="B102" s="204"/>
      <c r="C102" s="203" t="s">
        <v>7948</v>
      </c>
      <c r="D102" s="166">
        <v>4</v>
      </c>
      <c r="E102" s="166"/>
    </row>
    <row r="103" spans="1:5">
      <c r="A103" s="115" t="s">
        <v>7973</v>
      </c>
      <c r="B103" s="204"/>
      <c r="C103" s="203" t="s">
        <v>7948</v>
      </c>
      <c r="D103" s="166">
        <v>3</v>
      </c>
      <c r="E103" s="166"/>
    </row>
    <row r="104" spans="1:5">
      <c r="A104" s="115" t="s">
        <v>7974</v>
      </c>
      <c r="B104" s="204"/>
      <c r="C104" s="203" t="s">
        <v>7948</v>
      </c>
      <c r="D104" s="166">
        <v>3</v>
      </c>
      <c r="E104" s="166"/>
    </row>
    <row r="105" spans="1:5">
      <c r="A105" s="115" t="s">
        <v>7975</v>
      </c>
      <c r="B105" s="204"/>
      <c r="C105" s="203" t="s">
        <v>7920</v>
      </c>
      <c r="D105" s="166">
        <v>6</v>
      </c>
      <c r="E105" s="166"/>
    </row>
    <row r="106" spans="1:5">
      <c r="A106" s="115" t="s">
        <v>7976</v>
      </c>
      <c r="B106" s="204"/>
      <c r="C106" s="203" t="s">
        <v>7977</v>
      </c>
      <c r="D106" s="166">
        <v>22</v>
      </c>
      <c r="E106" s="166"/>
    </row>
    <row r="107" spans="1:5">
      <c r="A107" s="115" t="s">
        <v>7978</v>
      </c>
      <c r="B107" s="204"/>
      <c r="C107" s="203" t="s">
        <v>7979</v>
      </c>
      <c r="D107" s="166">
        <v>8</v>
      </c>
      <c r="E107" s="166"/>
    </row>
    <row r="108" spans="1:5">
      <c r="A108" s="115" t="s">
        <v>7980</v>
      </c>
      <c r="B108" s="204"/>
      <c r="C108" s="203" t="s">
        <v>7920</v>
      </c>
      <c r="D108" s="166">
        <v>16</v>
      </c>
      <c r="E108" s="166"/>
    </row>
    <row r="109" spans="1:5">
      <c r="A109" s="115" t="s">
        <v>7981</v>
      </c>
      <c r="B109" s="204"/>
      <c r="C109" s="203" t="s">
        <v>7982</v>
      </c>
      <c r="D109" s="166">
        <v>1</v>
      </c>
      <c r="E109" s="166"/>
    </row>
    <row r="110" spans="1:5">
      <c r="A110" s="115" t="s">
        <v>7983</v>
      </c>
      <c r="B110" s="204"/>
      <c r="C110" s="203" t="s">
        <v>7920</v>
      </c>
      <c r="D110" s="166">
        <v>15</v>
      </c>
      <c r="E110" s="166"/>
    </row>
    <row r="111" spans="1:5">
      <c r="A111" s="115" t="s">
        <v>7984</v>
      </c>
      <c r="B111" s="204"/>
      <c r="C111" s="203" t="s">
        <v>7920</v>
      </c>
      <c r="D111" s="166">
        <v>13</v>
      </c>
      <c r="E111" s="166"/>
    </row>
    <row r="112" spans="1:5">
      <c r="A112" s="115" t="s">
        <v>7985</v>
      </c>
      <c r="B112" s="204"/>
      <c r="C112" s="203" t="s">
        <v>7920</v>
      </c>
      <c r="D112" s="166">
        <v>4</v>
      </c>
      <c r="E112" s="166"/>
    </row>
    <row r="113" spans="1:5">
      <c r="A113" s="115" t="s">
        <v>7986</v>
      </c>
      <c r="B113" s="204"/>
      <c r="C113" s="203" t="s">
        <v>7920</v>
      </c>
      <c r="D113" s="166">
        <v>4</v>
      </c>
      <c r="E113" s="166"/>
    </row>
    <row r="114" spans="1:5">
      <c r="A114" s="115" t="s">
        <v>7987</v>
      </c>
      <c r="B114" s="204"/>
      <c r="C114" s="203" t="s">
        <v>7920</v>
      </c>
      <c r="D114" s="166">
        <v>3</v>
      </c>
      <c r="E114" s="166"/>
    </row>
    <row r="115" spans="1:5">
      <c r="A115" s="115" t="s">
        <v>7988</v>
      </c>
      <c r="B115" s="204"/>
      <c r="C115" s="203" t="s">
        <v>7920</v>
      </c>
      <c r="D115" s="166">
        <v>3</v>
      </c>
      <c r="E115" s="166"/>
    </row>
    <row r="116" spans="1:5">
      <c r="A116" s="115" t="s">
        <v>7971</v>
      </c>
      <c r="B116" s="204"/>
      <c r="C116" s="203" t="s">
        <v>7920</v>
      </c>
      <c r="D116" s="166">
        <v>1</v>
      </c>
      <c r="E116" s="166"/>
    </row>
    <row r="117" spans="1:5">
      <c r="A117" s="115" t="s">
        <v>7989</v>
      </c>
      <c r="B117" s="204"/>
      <c r="C117" s="203" t="s">
        <v>7920</v>
      </c>
      <c r="D117" s="166">
        <v>7</v>
      </c>
      <c r="E117" s="166"/>
    </row>
    <row r="118" spans="1:5">
      <c r="A118" s="115" t="s">
        <v>7990</v>
      </c>
      <c r="B118" s="204"/>
      <c r="C118" s="203" t="s">
        <v>7920</v>
      </c>
      <c r="D118" s="166">
        <v>2</v>
      </c>
      <c r="E118" s="166"/>
    </row>
  </sheetData>
  <autoFilter ref="A3:O118" xr:uid="{BB300F5B-58FD-46EA-A8DE-5B93EE48820A}"/>
  <mergeCells count="1">
    <mergeCell ref="B1:C2"/>
  </mergeCells>
  <phoneticPr fontId="1" type="noConversion"/>
  <conditionalFormatting sqref="D1:E1048576 A38">
    <cfRule type="containsText" dxfId="0" priority="1" operator="containsText" text="RO">
      <formula>NOT(ISERROR(SEARCH("RO",A1)))</formula>
    </cfRule>
  </conditionalFormatting>
  <pageMargins left="0.25" right="0.25" top="0.75" bottom="0.75" header="0.3" footer="0.3"/>
  <pageSetup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Number xmlns="4ac2f05c-d765-4276-b8af-4d8fea3b6e85" xsi:nil="true"/>
    <lcf76f155ced4ddcb4097134ff3c332f xmlns="4ac2f05c-d765-4276-b8af-4d8fea3b6e85">
      <Terms xmlns="http://schemas.microsoft.com/office/infopath/2007/PartnerControls"/>
    </lcf76f155ced4ddcb4097134ff3c332f>
    <SerialNumber xmlns="4ac2f05c-d765-4276-b8af-4d8fea3b6e85" xsi:nil="true"/>
    <TaxCatchAll xmlns="814534f5-8db8-4537-9ea7-3530c759f0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2969ED5FD57C408D9AF3746E962CFD" ma:contentTypeVersion="12" ma:contentTypeDescription="Create a new document." ma:contentTypeScope="" ma:versionID="b556b64240b5ecd5a270375aa12eee69">
  <xsd:schema xmlns:xsd="http://www.w3.org/2001/XMLSchema" xmlns:xs="http://www.w3.org/2001/XMLSchema" xmlns:p="http://schemas.microsoft.com/office/2006/metadata/properties" xmlns:ns2="4ac2f05c-d765-4276-b8af-4d8fea3b6e85" xmlns:ns3="814534f5-8db8-4537-9ea7-3530c759f07d" targetNamespace="http://schemas.microsoft.com/office/2006/metadata/properties" ma:root="true" ma:fieldsID="206450fba382d1a95524030da4515492" ns2:_="" ns3:_="">
    <xsd:import namespace="4ac2f05c-d765-4276-b8af-4d8fea3b6e85"/>
    <xsd:import namespace="814534f5-8db8-4537-9ea7-3530c759f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SerialNumber" minOccurs="0"/>
                <xsd:element ref="ns2:PartNumber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c2f05c-d765-4276-b8af-4d8fea3b6e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a7b70e-5e9e-477e-a404-da89cdd10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erialNumber" ma:index="17" nillable="true" ma:displayName="Serial Number" ma:format="Dropdown" ma:internalName="SerialNumber">
      <xsd:simpleType>
        <xsd:restriction base="dms:Text">
          <xsd:maxLength value="255"/>
        </xsd:restriction>
      </xsd:simpleType>
    </xsd:element>
    <xsd:element name="PartNumber" ma:index="18" nillable="true" ma:displayName="Part Number" ma:format="Dropdown" ma:internalName="PartNumber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534f5-8db8-4537-9ea7-3530c759f07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3b40b50-496f-4f97-9c8f-4ec9cc93dc21}" ma:internalName="TaxCatchAll" ma:showField="CatchAllData" ma:web="814534f5-8db8-4537-9ea7-3530c759f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F7477-BF7B-4986-9EDE-E0F233781DFF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4ac2f05c-d765-4276-b8af-4d8fea3b6e85"/>
    <ds:schemaRef ds:uri="http://schemas.openxmlformats.org/package/2006/metadata/core-properties"/>
    <ds:schemaRef ds:uri="814534f5-8db8-4537-9ea7-3530c759f07d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4BB7473-1AB4-4BEE-90B8-5E7C6CCEDC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015CD-0EDF-476F-9ACA-34BC7F24B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c2f05c-d765-4276-b8af-4d8fea3b6e85"/>
    <ds:schemaRef ds:uri="814534f5-8db8-4537-9ea7-3530c759f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 BINS INVENTORY ACTUAL</vt:lpstr>
      <vt:lpstr> STOCK ROOM ACTUAL </vt:lpstr>
      <vt:lpstr>  PN NO REPARADAS MD82</vt:lpstr>
      <vt:lpstr>  PN NO REPARADAS 727</vt:lpstr>
      <vt:lpstr>TERRA</vt:lpstr>
      <vt:lpstr>B.E.R - R.A.I</vt:lpstr>
      <vt:lpstr>PARTES AR ASIA </vt:lpstr>
      <vt:lpstr>PARTES AR ASIA  SANFORD</vt:lpstr>
      <vt:lpstr>PARTES BOLIVIA</vt:lpstr>
      <vt:lpstr>DELTA APA</vt:lpstr>
      <vt:lpstr>' BINS INVENTORY ACTUAL'!Print_Titles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Gallagher</dc:creator>
  <cp:keywords/>
  <dc:description/>
  <cp:lastModifiedBy>Calvin Malagon</cp:lastModifiedBy>
  <cp:revision/>
  <cp:lastPrinted>2025-10-14T14:18:15Z</cp:lastPrinted>
  <dcterms:created xsi:type="dcterms:W3CDTF">2023-10-31T14:37:15Z</dcterms:created>
  <dcterms:modified xsi:type="dcterms:W3CDTF">2025-11-14T03:29:25Z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0x010100F42969ED5FD57C408D9AF3746E962CFD</vt:lpwstr>
  </property>
  <property fmtid="{D5CDD505-2E9C-101B-9397-08002B2CF9AE}" pid="3" name="MediaServiceImageTags">
    <vt:lpwstr/>
  </property>
</Properties>
</file>